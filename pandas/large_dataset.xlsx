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mployee Database" sheetId="2" state="visible" r:id="rId4"/>
    <sheet name="Monthly Sales" sheetId="3" state="visible" r:id="rId5"/>
    <sheet name="Student Records" sheetId="4" state="visible" r:id="rId6"/>
    <sheet name="Inventory" sheetId="5" state="visible" r:id="rId7"/>
  </sheets>
  <definedNames>
    <definedName function="false" hidden="true" localSheetId="1" name="_xlnm._FilterDatabase" vbProcedure="false">'Employee Database'!$A$2:$T$502</definedName>
    <definedName function="false" hidden="true" localSheetId="4" name="_xlnm._FilterDatabase" vbProcedure="false">Inventory!$A$2:$T$252</definedName>
    <definedName function="false" hidden="true" localSheetId="2" name="_xlnm._FilterDatabase" vbProcedure="false">'Monthly Sales'!$A$2:$T$302</definedName>
    <definedName function="false" hidden="true" localSheetId="3" name="_xlnm._FilterDatabase" vbProcedure="false">'Student Records'!$A$2:$T$402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<sst xmlns="http://schemas.openxmlformats.org/spreadsheetml/2006/main" count="11624" uniqueCount="3904">
  <si>
    <t xml:space="preserve">📈  Summary Dashboard</t>
  </si>
  <si>
    <t xml:space="preserve">KEY PERFORMANCE INDICATORS</t>
  </si>
  <si>
    <t xml:space="preserve">Total Employees</t>
  </si>
  <si>
    <t xml:space="preserve">Avg Base Salary (NPR)</t>
  </si>
  <si>
    <t xml:space="preserve">Total Comp Paid (NPR)</t>
  </si>
  <si>
    <t xml:space="preserve">Avg Performance</t>
  </si>
  <si>
    <t xml:space="preserve">Avg Attendance</t>
  </si>
  <si>
    <t xml:space="preserve">Total Projects Done</t>
  </si>
  <si>
    <t xml:space="preserve">Total Sales (NPR)</t>
  </si>
  <si>
    <t xml:space="preserve">Total Net Revenue (NPR)</t>
  </si>
  <si>
    <t xml:space="preserve">Gross Profit (NPR)</t>
  </si>
  <si>
    <t xml:space="preserve">Total Units Sold</t>
  </si>
  <si>
    <t xml:space="preserve">Total Returns</t>
  </si>
  <si>
    <t xml:space="preserve">COGS Total (NPR)</t>
  </si>
  <si>
    <t xml:space="preserve">Total Students</t>
  </si>
  <si>
    <t xml:space="preserve">Avg Percentage</t>
  </si>
  <si>
    <t xml:space="preserve">Avg GPA</t>
  </si>
  <si>
    <t xml:space="preserve">Total Stock Value</t>
  </si>
  <si>
    <t xml:space="preserve">Total Assets</t>
  </si>
  <si>
    <t xml:space="preserve">DEPARTMENT HEADCOUNT (from Employee DB)</t>
  </si>
  <si>
    <t xml:space="preserve">Department</t>
  </si>
  <si>
    <t xml:space="preserve">Headcount</t>
  </si>
  <si>
    <t xml:space="preserve">Avg Salary (NPR)</t>
  </si>
  <si>
    <t xml:space="preserve">Total Comp (NPR)</t>
  </si>
  <si>
    <t xml:space="preserve">Engineering</t>
  </si>
  <si>
    <t xml:space="preserve">Sales</t>
  </si>
  <si>
    <t xml:space="preserve">Marketing</t>
  </si>
  <si>
    <t xml:space="preserve">HR</t>
  </si>
  <si>
    <t xml:space="preserve">Finance</t>
  </si>
  <si>
    <t xml:space="preserve">Operations</t>
  </si>
  <si>
    <t xml:space="preserve">Legal</t>
  </si>
  <si>
    <t xml:space="preserve">Product</t>
  </si>
  <si>
    <t xml:space="preserve">Design</t>
  </si>
  <si>
    <t xml:space="preserve">Support</t>
  </si>
  <si>
    <t xml:space="preserve">🏢  Employee Database — FY 2024–25</t>
  </si>
  <si>
    <t xml:space="preserve">Emp ID</t>
  </si>
  <si>
    <t xml:space="preserve">Full Name</t>
  </si>
  <si>
    <t xml:space="preserve">Job Grade</t>
  </si>
  <si>
    <t xml:space="preserve">Location</t>
  </si>
  <si>
    <t xml:space="preserve">Gender</t>
  </si>
  <si>
    <t xml:space="preserve">Date of Birth</t>
  </si>
  <si>
    <t xml:space="preserve">Join Date</t>
  </si>
  <si>
    <t xml:space="preserve">Base Salary (NPR)</t>
  </si>
  <si>
    <t xml:space="preserve">Bonus %</t>
  </si>
  <si>
    <t xml:space="preserve">Annual Bonus (NPR)</t>
  </si>
  <si>
    <t xml:space="preserve">Experience (Yrs)</t>
  </si>
  <si>
    <t xml:space="preserve">Performance Score</t>
  </si>
  <si>
    <t xml:space="preserve">Attendance %</t>
  </si>
  <si>
    <t xml:space="preserve">Projects Done</t>
  </si>
  <si>
    <t xml:space="preserve">Training Hours</t>
  </si>
  <si>
    <t xml:space="preserve">Email</t>
  </si>
  <si>
    <t xml:space="preserve">Phone</t>
  </si>
  <si>
    <t xml:space="preserve">Status</t>
  </si>
  <si>
    <t xml:space="preserve">EMP0001</t>
  </si>
  <si>
    <t xml:space="preserve">Daniel Doyle</t>
  </si>
  <si>
    <t xml:space="preserve">Junior</t>
  </si>
  <si>
    <t xml:space="preserve">Butwal</t>
  </si>
  <si>
    <t xml:space="preserve">Male</t>
  </si>
  <si>
    <t xml:space="preserve">garzaanthony@example.org</t>
  </si>
  <si>
    <t xml:space="preserve">538.990.8386</t>
  </si>
  <si>
    <t xml:space="preserve">On Leave</t>
  </si>
  <si>
    <t xml:space="preserve">EMP0002</t>
  </si>
  <si>
    <t xml:space="preserve">Robert Wolfe</t>
  </si>
  <si>
    <t xml:space="preserve">Kathmandu</t>
  </si>
  <si>
    <t xml:space="preserve">joshua35@example.org</t>
  </si>
  <si>
    <t xml:space="preserve">361-855-9407</t>
  </si>
  <si>
    <t xml:space="preserve">Active</t>
  </si>
  <si>
    <t xml:space="preserve">EMP0003</t>
  </si>
  <si>
    <t xml:space="preserve">Stacey Ward</t>
  </si>
  <si>
    <t xml:space="preserve">Manager</t>
  </si>
  <si>
    <t xml:space="preserve">janetwilliams@example.org</t>
  </si>
  <si>
    <t xml:space="preserve">001-341-431-64</t>
  </si>
  <si>
    <t xml:space="preserve">EMP0004</t>
  </si>
  <si>
    <t xml:space="preserve">Devin Schaefer</t>
  </si>
  <si>
    <t xml:space="preserve">Hetauda</t>
  </si>
  <si>
    <t xml:space="preserve">gabriellecameron@example.org</t>
  </si>
  <si>
    <t xml:space="preserve">505.964.1395</t>
  </si>
  <si>
    <t xml:space="preserve">EMP0005</t>
  </si>
  <si>
    <t xml:space="preserve">Derek Wright</t>
  </si>
  <si>
    <t xml:space="preserve">Other</t>
  </si>
  <si>
    <t xml:space="preserve">julie69@example.com</t>
  </si>
  <si>
    <t xml:space="preserve">(332)887-1012x</t>
  </si>
  <si>
    <t xml:space="preserve">Resigned</t>
  </si>
  <si>
    <t xml:space="preserve">EMP0006</t>
  </si>
  <si>
    <t xml:space="preserve">Tricia Valencia</t>
  </si>
  <si>
    <t xml:space="preserve">VP</t>
  </si>
  <si>
    <t xml:space="preserve">frazierdanny@example.net</t>
  </si>
  <si>
    <t xml:space="preserve">001-645-514-62</t>
  </si>
  <si>
    <t xml:space="preserve">EMP0007</t>
  </si>
  <si>
    <t xml:space="preserve">Paula Moreno</t>
  </si>
  <si>
    <t xml:space="preserve">Mid</t>
  </si>
  <si>
    <t xml:space="preserve">georgetracy@example.org</t>
  </si>
  <si>
    <t xml:space="preserve">(443)903-9117x</t>
  </si>
  <si>
    <t xml:space="preserve">EMP0008</t>
  </si>
  <si>
    <t xml:space="preserve">Lisa Brandt</t>
  </si>
  <si>
    <t xml:space="preserve">Senior</t>
  </si>
  <si>
    <t xml:space="preserve">Biratnagar</t>
  </si>
  <si>
    <t xml:space="preserve">jenniferross@example.net</t>
  </si>
  <si>
    <t xml:space="preserve">+1-557-587-133</t>
  </si>
  <si>
    <t xml:space="preserve">EMP0009</t>
  </si>
  <si>
    <t xml:space="preserve">Austin Johnson</t>
  </si>
  <si>
    <t xml:space="preserve">chad34@example.net</t>
  </si>
  <si>
    <t xml:space="preserve">838.729.9737x6</t>
  </si>
  <si>
    <t xml:space="preserve">EMP0010</t>
  </si>
  <si>
    <t xml:space="preserve">Megan Joyce</t>
  </si>
  <si>
    <t xml:space="preserve">brownjessica@example.org</t>
  </si>
  <si>
    <t xml:space="preserve">933.587.2624</t>
  </si>
  <si>
    <t xml:space="preserve">EMP0011</t>
  </si>
  <si>
    <t xml:space="preserve">Savannah Garcia</t>
  </si>
  <si>
    <t xml:space="preserve">novaksara@example.org</t>
  </si>
  <si>
    <t xml:space="preserve">(267)873-6026</t>
  </si>
  <si>
    <t xml:space="preserve">EMP0012</t>
  </si>
  <si>
    <t xml:space="preserve">Jay Bernard</t>
  </si>
  <si>
    <t xml:space="preserve">Lead</t>
  </si>
  <si>
    <t xml:space="preserve">smoore@example.org</t>
  </si>
  <si>
    <t xml:space="preserve">4982050097</t>
  </si>
  <si>
    <t xml:space="preserve">EMP0013</t>
  </si>
  <si>
    <t xml:space="preserve">Kurt Leonard</t>
  </si>
  <si>
    <t xml:space="preserve">richarddavid@example.net</t>
  </si>
  <si>
    <t xml:space="preserve">799.609.1699</t>
  </si>
  <si>
    <t xml:space="preserve">EMP0014</t>
  </si>
  <si>
    <t xml:space="preserve">James Powers</t>
  </si>
  <si>
    <t xml:space="preserve">stephen10@example.com</t>
  </si>
  <si>
    <t xml:space="preserve">+1-791-618-384</t>
  </si>
  <si>
    <t xml:space="preserve">EMP0015</t>
  </si>
  <si>
    <t xml:space="preserve">Lisa Archer</t>
  </si>
  <si>
    <t xml:space="preserve">Birgunj</t>
  </si>
  <si>
    <t xml:space="preserve">contrerasangela@example.net</t>
  </si>
  <si>
    <t xml:space="preserve">524-711-8244</t>
  </si>
  <si>
    <t xml:space="preserve">EMP0016</t>
  </si>
  <si>
    <t xml:space="preserve">John Whitehead</t>
  </si>
  <si>
    <t xml:space="preserve">Pokhara</t>
  </si>
  <si>
    <t xml:space="preserve">davisrodney@example.com</t>
  </si>
  <si>
    <t xml:space="preserve">2053242786</t>
  </si>
  <si>
    <t xml:space="preserve">EMP0017</t>
  </si>
  <si>
    <t xml:space="preserve">Kimberly Davenport</t>
  </si>
  <si>
    <t xml:space="preserve">Lalitpur</t>
  </si>
  <si>
    <t xml:space="preserve">Female</t>
  </si>
  <si>
    <t xml:space="preserve">russellwilliams@example.com</t>
  </si>
  <si>
    <t xml:space="preserve">4535315869</t>
  </si>
  <si>
    <t xml:space="preserve">EMP0018</t>
  </si>
  <si>
    <t xml:space="preserve">Sierra Johnson</t>
  </si>
  <si>
    <t xml:space="preserve">Director</t>
  </si>
  <si>
    <t xml:space="preserve">kimberly63@example.com</t>
  </si>
  <si>
    <t xml:space="preserve">(616)507-3375</t>
  </si>
  <si>
    <t xml:space="preserve">EMP0019</t>
  </si>
  <si>
    <t xml:space="preserve">Donald Jones</t>
  </si>
  <si>
    <t xml:space="preserve">michael86@example.net</t>
  </si>
  <si>
    <t xml:space="preserve">+1-350-814-294</t>
  </si>
  <si>
    <t xml:space="preserve">EMP0020</t>
  </si>
  <si>
    <t xml:space="preserve">William Wilson</t>
  </si>
  <si>
    <t xml:space="preserve">Dharan</t>
  </si>
  <si>
    <t xml:space="preserve">jonathanfletcher@example.org</t>
  </si>
  <si>
    <t xml:space="preserve">783.856.1595x1</t>
  </si>
  <si>
    <t xml:space="preserve">EMP0021</t>
  </si>
  <si>
    <t xml:space="preserve">Maurice Gray</t>
  </si>
  <si>
    <t xml:space="preserve">christinaturner@example.net</t>
  </si>
  <si>
    <t xml:space="preserve">9449369957</t>
  </si>
  <si>
    <t xml:space="preserve">EMP0022</t>
  </si>
  <si>
    <t xml:space="preserve">Toni Fitzgerald</t>
  </si>
  <si>
    <t xml:space="preserve">campbellelizabeth@example.net</t>
  </si>
  <si>
    <t xml:space="preserve">813-543-3200x3</t>
  </si>
  <si>
    <t xml:space="preserve">EMP0023</t>
  </si>
  <si>
    <t xml:space="preserve">Charles Watts</t>
  </si>
  <si>
    <t xml:space="preserve">osbornejeffery@example.net</t>
  </si>
  <si>
    <t xml:space="preserve">870.983.1727x8</t>
  </si>
  <si>
    <t xml:space="preserve">EMP0024</t>
  </si>
  <si>
    <t xml:space="preserve">David Wright</t>
  </si>
  <si>
    <t xml:space="preserve">katie87@example.net</t>
  </si>
  <si>
    <t xml:space="preserve">347.414.3455</t>
  </si>
  <si>
    <t xml:space="preserve">EMP0025</t>
  </si>
  <si>
    <t xml:space="preserve">Daniel Perry</t>
  </si>
  <si>
    <t xml:space="preserve">amy60@example.org</t>
  </si>
  <si>
    <t xml:space="preserve">(569)909-6705x</t>
  </si>
  <si>
    <t xml:space="preserve">EMP0026</t>
  </si>
  <si>
    <t xml:space="preserve">George Shelton</t>
  </si>
  <si>
    <t xml:space="preserve">dramsey@example.org</t>
  </si>
  <si>
    <t xml:space="preserve">+1-280-669-901</t>
  </si>
  <si>
    <t xml:space="preserve">EMP0027</t>
  </si>
  <si>
    <t xml:space="preserve">Philip Gray</t>
  </si>
  <si>
    <t xml:space="preserve">fking@example.com</t>
  </si>
  <si>
    <t xml:space="preserve">5802531003</t>
  </si>
  <si>
    <t xml:space="preserve">EMP0028</t>
  </si>
  <si>
    <t xml:space="preserve">Brian Gould</t>
  </si>
  <si>
    <t xml:space="preserve">xlyons@example.com</t>
  </si>
  <si>
    <t xml:space="preserve">(699)812-4190</t>
  </si>
  <si>
    <t xml:space="preserve">EMP0029</t>
  </si>
  <si>
    <t xml:space="preserve">Michael Burton</t>
  </si>
  <si>
    <t xml:space="preserve">terrykevin@example.net</t>
  </si>
  <si>
    <t xml:space="preserve">+1-819-905-865</t>
  </si>
  <si>
    <t xml:space="preserve">EMP0030</t>
  </si>
  <si>
    <t xml:space="preserve">Sandra Zimmerman</t>
  </si>
  <si>
    <t xml:space="preserve">hthompson@example.net</t>
  </si>
  <si>
    <t xml:space="preserve">998-577-6945x3</t>
  </si>
  <si>
    <t xml:space="preserve">EMP0031</t>
  </si>
  <si>
    <t xml:space="preserve">Gabrielle Snyder</t>
  </si>
  <si>
    <t xml:space="preserve">hunter35@example.com</t>
  </si>
  <si>
    <t xml:space="preserve">949-948-0831x3</t>
  </si>
  <si>
    <t xml:space="preserve">EMP0032</t>
  </si>
  <si>
    <t xml:space="preserve">Jared Sanchez</t>
  </si>
  <si>
    <t xml:space="preserve">thomas85@example.com</t>
  </si>
  <si>
    <t xml:space="preserve">001-485-557-44</t>
  </si>
  <si>
    <t xml:space="preserve">EMP0033</t>
  </si>
  <si>
    <t xml:space="preserve">Vanessa Warren</t>
  </si>
  <si>
    <t xml:space="preserve">tina34@example.org</t>
  </si>
  <si>
    <t xml:space="preserve">(924)308-2400x</t>
  </si>
  <si>
    <t xml:space="preserve">EMP0034</t>
  </si>
  <si>
    <t xml:space="preserve">Jeremiah Lopez</t>
  </si>
  <si>
    <t xml:space="preserve">kingmichelle@example.org</t>
  </si>
  <si>
    <t xml:space="preserve">667-319-0229</t>
  </si>
  <si>
    <t xml:space="preserve">EMP0035</t>
  </si>
  <si>
    <t xml:space="preserve">Lisa Gibbs</t>
  </si>
  <si>
    <t xml:space="preserve">kimberlyjames@example.com</t>
  </si>
  <si>
    <t xml:space="preserve">496-549-9091x3</t>
  </si>
  <si>
    <t xml:space="preserve">EMP0036</t>
  </si>
  <si>
    <t xml:space="preserve">Jerry Wheeler</t>
  </si>
  <si>
    <t xml:space="preserve">antonio44@example.net</t>
  </si>
  <si>
    <t xml:space="preserve">413.349.3618x3</t>
  </si>
  <si>
    <t xml:space="preserve">EMP0037</t>
  </si>
  <si>
    <t xml:space="preserve">Samantha Morse</t>
  </si>
  <si>
    <t xml:space="preserve">smartinez@example.com</t>
  </si>
  <si>
    <t xml:space="preserve">001-664-288-77</t>
  </si>
  <si>
    <t xml:space="preserve">EMP0038</t>
  </si>
  <si>
    <t xml:space="preserve">Laura Sampson</t>
  </si>
  <si>
    <t xml:space="preserve">barbara27@example.net</t>
  </si>
  <si>
    <t xml:space="preserve">+1-374-429-671</t>
  </si>
  <si>
    <t xml:space="preserve">EMP0039</t>
  </si>
  <si>
    <t xml:space="preserve">Tony Cervantes</t>
  </si>
  <si>
    <t xml:space="preserve">gibsonleonard@example.com</t>
  </si>
  <si>
    <t xml:space="preserve">768-908-7603</t>
  </si>
  <si>
    <t xml:space="preserve">EMP0040</t>
  </si>
  <si>
    <t xml:space="preserve">Joshua Pennington</t>
  </si>
  <si>
    <t xml:space="preserve">fgilmore@example.org</t>
  </si>
  <si>
    <t xml:space="preserve">3935248086</t>
  </si>
  <si>
    <t xml:space="preserve">EMP0041</t>
  </si>
  <si>
    <t xml:space="preserve">Bruce Collier</t>
  </si>
  <si>
    <t xml:space="preserve">scantu@example.net</t>
  </si>
  <si>
    <t xml:space="preserve">001-446-377-37</t>
  </si>
  <si>
    <t xml:space="preserve">EMP0042</t>
  </si>
  <si>
    <t xml:space="preserve">Timothy Romero</t>
  </si>
  <si>
    <t xml:space="preserve">campbellkenneth@example.net</t>
  </si>
  <si>
    <t xml:space="preserve">001-872-978-75</t>
  </si>
  <si>
    <t xml:space="preserve">EMP0043</t>
  </si>
  <si>
    <t xml:space="preserve">Mrs. Janet Chase</t>
  </si>
  <si>
    <t xml:space="preserve">vwilliams@example.com</t>
  </si>
  <si>
    <t xml:space="preserve">001-366-927-02</t>
  </si>
  <si>
    <t xml:space="preserve">EMP0044</t>
  </si>
  <si>
    <t xml:space="preserve">Tracy Jones</t>
  </si>
  <si>
    <t xml:space="preserve">matthew61@example.com</t>
  </si>
  <si>
    <t xml:space="preserve">+1-386-357-809</t>
  </si>
  <si>
    <t xml:space="preserve">EMP0045</t>
  </si>
  <si>
    <t xml:space="preserve">Amber Flynn</t>
  </si>
  <si>
    <t xml:space="preserve">michael62@example.org</t>
  </si>
  <si>
    <t xml:space="preserve">569.922.2196x9</t>
  </si>
  <si>
    <t xml:space="preserve">EMP0046</t>
  </si>
  <si>
    <t xml:space="preserve">Stephanie Marshall</t>
  </si>
  <si>
    <t xml:space="preserve">erica21@example.com</t>
  </si>
  <si>
    <t xml:space="preserve">(894)764-7436x</t>
  </si>
  <si>
    <t xml:space="preserve">EMP0047</t>
  </si>
  <si>
    <t xml:space="preserve">William Barrett</t>
  </si>
  <si>
    <t xml:space="preserve">alan09@example.net</t>
  </si>
  <si>
    <t xml:space="preserve">943.295.3394x2</t>
  </si>
  <si>
    <t xml:space="preserve">EMP0048</t>
  </si>
  <si>
    <t xml:space="preserve">Edward Burgess</t>
  </si>
  <si>
    <t xml:space="preserve">jamesbuchanan@example.com</t>
  </si>
  <si>
    <t xml:space="preserve">784.324.7451x7</t>
  </si>
  <si>
    <t xml:space="preserve">EMP0049</t>
  </si>
  <si>
    <t xml:space="preserve">Jordan Chambers</t>
  </si>
  <si>
    <t xml:space="preserve">brenda51@example.net</t>
  </si>
  <si>
    <t xml:space="preserve">970.698.5931</t>
  </si>
  <si>
    <t xml:space="preserve">EMP0050</t>
  </si>
  <si>
    <t xml:space="preserve">Andrew Ferrell</t>
  </si>
  <si>
    <t xml:space="preserve">davispaige@example.org</t>
  </si>
  <si>
    <t xml:space="preserve">(275)786-9261x</t>
  </si>
  <si>
    <t xml:space="preserve">EMP0051</t>
  </si>
  <si>
    <t xml:space="preserve">Jack Pollard</t>
  </si>
  <si>
    <t xml:space="preserve">amy50@example.com</t>
  </si>
  <si>
    <t xml:space="preserve">531-371-3900x5</t>
  </si>
  <si>
    <t xml:space="preserve">EMP0052</t>
  </si>
  <si>
    <t xml:space="preserve">Robin Hall</t>
  </si>
  <si>
    <t xml:space="preserve">kristinacarlson@example.com</t>
  </si>
  <si>
    <t xml:space="preserve">(728)542-1020</t>
  </si>
  <si>
    <t xml:space="preserve">EMP0053</t>
  </si>
  <si>
    <t xml:space="preserve">Cameron Fisher</t>
  </si>
  <si>
    <t xml:space="preserve">reesethomas@example.com</t>
  </si>
  <si>
    <t xml:space="preserve">891.878.3908x4</t>
  </si>
  <si>
    <t xml:space="preserve">EMP0054</t>
  </si>
  <si>
    <t xml:space="preserve">Angel Miller</t>
  </si>
  <si>
    <t xml:space="preserve">cameronhill@example.net</t>
  </si>
  <si>
    <t xml:space="preserve">001-885-369-84</t>
  </si>
  <si>
    <t xml:space="preserve">EMP0055</t>
  </si>
  <si>
    <t xml:space="preserve">Sherry Arnold</t>
  </si>
  <si>
    <t xml:space="preserve">russellbeasley@example.com</t>
  </si>
  <si>
    <t xml:space="preserve">376-361-5654x5</t>
  </si>
  <si>
    <t xml:space="preserve">EMP0056</t>
  </si>
  <si>
    <t xml:space="preserve">Carlos Brown</t>
  </si>
  <si>
    <t xml:space="preserve">elizabeth65@example.net</t>
  </si>
  <si>
    <t xml:space="preserve">001-360-749-45</t>
  </si>
  <si>
    <t xml:space="preserve">EMP0057</t>
  </si>
  <si>
    <t xml:space="preserve">Laura Aguirre</t>
  </si>
  <si>
    <t xml:space="preserve">lynchdiane@example.net</t>
  </si>
  <si>
    <t xml:space="preserve">302-444-5502x2</t>
  </si>
  <si>
    <t xml:space="preserve">EMP0058</t>
  </si>
  <si>
    <t xml:space="preserve">Joseph Bennett</t>
  </si>
  <si>
    <t xml:space="preserve">xpeterson@example.com</t>
  </si>
  <si>
    <t xml:space="preserve">001-859-991-02</t>
  </si>
  <si>
    <t xml:space="preserve">EMP0059</t>
  </si>
  <si>
    <t xml:space="preserve">Jose Reed</t>
  </si>
  <si>
    <t xml:space="preserve">campbellerika@example.com</t>
  </si>
  <si>
    <t xml:space="preserve">740.336.9003x4</t>
  </si>
  <si>
    <t xml:space="preserve">EMP0060</t>
  </si>
  <si>
    <t xml:space="preserve">James Padilla</t>
  </si>
  <si>
    <t xml:space="preserve">charles06@example.org</t>
  </si>
  <si>
    <t xml:space="preserve">715.496.9664x1</t>
  </si>
  <si>
    <t xml:space="preserve">EMP0061</t>
  </si>
  <si>
    <t xml:space="preserve">Tamara Davis</t>
  </si>
  <si>
    <t xml:space="preserve">sanchezbrianna@example.net</t>
  </si>
  <si>
    <t xml:space="preserve">364-553-5218</t>
  </si>
  <si>
    <t xml:space="preserve">EMP0062</t>
  </si>
  <si>
    <t xml:space="preserve">Sabrina Briggs</t>
  </si>
  <si>
    <t xml:space="preserve">curtisscott@example.org</t>
  </si>
  <si>
    <t xml:space="preserve">+1-721-427-799</t>
  </si>
  <si>
    <t xml:space="preserve">EMP0063</t>
  </si>
  <si>
    <t xml:space="preserve">Rebecca Vargas</t>
  </si>
  <si>
    <t xml:space="preserve">william47@example.com</t>
  </si>
  <si>
    <t xml:space="preserve">8059411998</t>
  </si>
  <si>
    <t xml:space="preserve">EMP0064</t>
  </si>
  <si>
    <t xml:space="preserve">Amanda Stout</t>
  </si>
  <si>
    <t xml:space="preserve">marcalvarez@example.org</t>
  </si>
  <si>
    <t xml:space="preserve">9719518203</t>
  </si>
  <si>
    <t xml:space="preserve">EMP0065</t>
  </si>
  <si>
    <t xml:space="preserve">Thomas Hughes</t>
  </si>
  <si>
    <t xml:space="preserve">erika05@example.org</t>
  </si>
  <si>
    <t xml:space="preserve">818-464-4925x1</t>
  </si>
  <si>
    <t xml:space="preserve">EMP0066</t>
  </si>
  <si>
    <t xml:space="preserve">James Conner</t>
  </si>
  <si>
    <t xml:space="preserve">elizabethcalderon@example.net</t>
  </si>
  <si>
    <t xml:space="preserve">+1-581-468-505</t>
  </si>
  <si>
    <t xml:space="preserve">EMP0067</t>
  </si>
  <si>
    <t xml:space="preserve">Katie Fernandez</t>
  </si>
  <si>
    <t xml:space="preserve">stanleynancy@example.net</t>
  </si>
  <si>
    <t xml:space="preserve">(296)822-2927</t>
  </si>
  <si>
    <t xml:space="preserve">EMP0068</t>
  </si>
  <si>
    <t xml:space="preserve">Lisa Goodwin</t>
  </si>
  <si>
    <t xml:space="preserve">pyoung@example.com</t>
  </si>
  <si>
    <t xml:space="preserve">435.697.7468x8</t>
  </si>
  <si>
    <t xml:space="preserve">EMP0069</t>
  </si>
  <si>
    <t xml:space="preserve">Timothy Dawson</t>
  </si>
  <si>
    <t xml:space="preserve">mitchellkathryn@example.com</t>
  </si>
  <si>
    <t xml:space="preserve">782.561.3750x6</t>
  </si>
  <si>
    <t xml:space="preserve">EMP0070</t>
  </si>
  <si>
    <t xml:space="preserve">Fernando Garcia</t>
  </si>
  <si>
    <t xml:space="preserve">lacey20@example.com</t>
  </si>
  <si>
    <t xml:space="preserve">827.379.0104x3</t>
  </si>
  <si>
    <t xml:space="preserve">EMP0071</t>
  </si>
  <si>
    <t xml:space="preserve">David Fowler</t>
  </si>
  <si>
    <t xml:space="preserve">fbrown@example.net</t>
  </si>
  <si>
    <t xml:space="preserve">+1-708-593-246</t>
  </si>
  <si>
    <t xml:space="preserve">EMP0072</t>
  </si>
  <si>
    <t xml:space="preserve">Kelly Ward</t>
  </si>
  <si>
    <t xml:space="preserve">myerstheodore@example.net</t>
  </si>
  <si>
    <t xml:space="preserve">(754)705-1531x</t>
  </si>
  <si>
    <t xml:space="preserve">EMP0073</t>
  </si>
  <si>
    <t xml:space="preserve">Julie Dominguez</t>
  </si>
  <si>
    <t xml:space="preserve">lisabrown@example.com</t>
  </si>
  <si>
    <t xml:space="preserve">8439030548</t>
  </si>
  <si>
    <t xml:space="preserve">EMP0074</t>
  </si>
  <si>
    <t xml:space="preserve">Howard Norman</t>
  </si>
  <si>
    <t xml:space="preserve">joshua56@example.com</t>
  </si>
  <si>
    <t xml:space="preserve">001-876-452-77</t>
  </si>
  <si>
    <t xml:space="preserve">EMP0075</t>
  </si>
  <si>
    <t xml:space="preserve">Matthew Parker</t>
  </si>
  <si>
    <t xml:space="preserve">cjackson@example.com</t>
  </si>
  <si>
    <t xml:space="preserve">205.496.4016x5</t>
  </si>
  <si>
    <t xml:space="preserve">EMP0076</t>
  </si>
  <si>
    <t xml:space="preserve">Cameron Young</t>
  </si>
  <si>
    <t xml:space="preserve">michael90@example.net</t>
  </si>
  <si>
    <t xml:space="preserve">(775)857-1928</t>
  </si>
  <si>
    <t xml:space="preserve">EMP0077</t>
  </si>
  <si>
    <t xml:space="preserve">Allison Lopez</t>
  </si>
  <si>
    <t xml:space="preserve">hmcintyre@example.com</t>
  </si>
  <si>
    <t xml:space="preserve">001-347-739-47</t>
  </si>
  <si>
    <t xml:space="preserve">EMP0078</t>
  </si>
  <si>
    <t xml:space="preserve">Donna Evans</t>
  </si>
  <si>
    <t xml:space="preserve">jenniferho@example.net</t>
  </si>
  <si>
    <t xml:space="preserve">(258)731-3237</t>
  </si>
  <si>
    <t xml:space="preserve">EMP0079</t>
  </si>
  <si>
    <t xml:space="preserve">Kristen Salazar</t>
  </si>
  <si>
    <t xml:space="preserve">jonesraymond@example.net</t>
  </si>
  <si>
    <t xml:space="preserve">001-778-466-91</t>
  </si>
  <si>
    <t xml:space="preserve">EMP0080</t>
  </si>
  <si>
    <t xml:space="preserve">Catherine Burch</t>
  </si>
  <si>
    <t xml:space="preserve">dshaw@example.org</t>
  </si>
  <si>
    <t xml:space="preserve">624.422.5358x4</t>
  </si>
  <si>
    <t xml:space="preserve">EMP0081</t>
  </si>
  <si>
    <t xml:space="preserve">Martin Vargas</t>
  </si>
  <si>
    <t xml:space="preserve">georgeweber@example.net</t>
  </si>
  <si>
    <t xml:space="preserve">690-601-0943x9</t>
  </si>
  <si>
    <t xml:space="preserve">EMP0082</t>
  </si>
  <si>
    <t xml:space="preserve">Elizabeth Jones</t>
  </si>
  <si>
    <t xml:space="preserve">moorerobert@example.com</t>
  </si>
  <si>
    <t xml:space="preserve">759.325.5562</t>
  </si>
  <si>
    <t xml:space="preserve">EMP0083</t>
  </si>
  <si>
    <t xml:space="preserve">David Davis</t>
  </si>
  <si>
    <t xml:space="preserve">sonia96@example.org</t>
  </si>
  <si>
    <t xml:space="preserve">(959)653-2787</t>
  </si>
  <si>
    <t xml:space="preserve">EMP0084</t>
  </si>
  <si>
    <t xml:space="preserve">Jim Allen</t>
  </si>
  <si>
    <t xml:space="preserve">brandon47@example.net</t>
  </si>
  <si>
    <t xml:space="preserve">+1-874-280-162</t>
  </si>
  <si>
    <t xml:space="preserve">EMP0085</t>
  </si>
  <si>
    <t xml:space="preserve">Angel Gordon</t>
  </si>
  <si>
    <t xml:space="preserve">marcia99@example.org</t>
  </si>
  <si>
    <t xml:space="preserve">(816)255-8523</t>
  </si>
  <si>
    <t xml:space="preserve">EMP0086</t>
  </si>
  <si>
    <t xml:space="preserve">John Bryant</t>
  </si>
  <si>
    <t xml:space="preserve">markaustin@example.org</t>
  </si>
  <si>
    <t xml:space="preserve">(794)795-8887x</t>
  </si>
  <si>
    <t xml:space="preserve">EMP0087</t>
  </si>
  <si>
    <t xml:space="preserve">Rebecca Swanson</t>
  </si>
  <si>
    <t xml:space="preserve">carlsonjoseph@example.net</t>
  </si>
  <si>
    <t xml:space="preserve">001-399-530-97</t>
  </si>
  <si>
    <t xml:space="preserve">EMP0088</t>
  </si>
  <si>
    <t xml:space="preserve">Michael Jenkins</t>
  </si>
  <si>
    <t xml:space="preserve">vsalas@example.net</t>
  </si>
  <si>
    <t xml:space="preserve">7284385786</t>
  </si>
  <si>
    <t xml:space="preserve">EMP0089</t>
  </si>
  <si>
    <t xml:space="preserve">Megan Dillon</t>
  </si>
  <si>
    <t xml:space="preserve">chelsea33@example.com</t>
  </si>
  <si>
    <t xml:space="preserve">+1-743-644-375</t>
  </si>
  <si>
    <t xml:space="preserve">EMP0090</t>
  </si>
  <si>
    <t xml:space="preserve">Stephanie Foster</t>
  </si>
  <si>
    <t xml:space="preserve">stephanie24@example.org</t>
  </si>
  <si>
    <t xml:space="preserve">315-574-7338x4</t>
  </si>
  <si>
    <t xml:space="preserve">EMP0091</t>
  </si>
  <si>
    <t xml:space="preserve">Margaret Williams</t>
  </si>
  <si>
    <t xml:space="preserve">erivera@example.org</t>
  </si>
  <si>
    <t xml:space="preserve">+1-520-282-677</t>
  </si>
  <si>
    <t xml:space="preserve">EMP0092</t>
  </si>
  <si>
    <t xml:space="preserve">Casey Gillespie</t>
  </si>
  <si>
    <t xml:space="preserve">lfrench@example.net</t>
  </si>
  <si>
    <t xml:space="preserve">400-949-9154x7</t>
  </si>
  <si>
    <t xml:space="preserve">EMP0093</t>
  </si>
  <si>
    <t xml:space="preserve">Nicholas Wong</t>
  </si>
  <si>
    <t xml:space="preserve">alexisrogers@example.com</t>
  </si>
  <si>
    <t xml:space="preserve">001-832-396-68</t>
  </si>
  <si>
    <t xml:space="preserve">EMP0094</t>
  </si>
  <si>
    <t xml:space="preserve">David Green</t>
  </si>
  <si>
    <t xml:space="preserve">seanadams@example.com</t>
  </si>
  <si>
    <t xml:space="preserve">699-304-5301x7</t>
  </si>
  <si>
    <t xml:space="preserve">EMP0095</t>
  </si>
  <si>
    <t xml:space="preserve">Daniel Bernard</t>
  </si>
  <si>
    <t xml:space="preserve">vhernandez@example.net</t>
  </si>
  <si>
    <t xml:space="preserve">(768)378-3391x</t>
  </si>
  <si>
    <t xml:space="preserve">EMP0096</t>
  </si>
  <si>
    <t xml:space="preserve">Stephanie Harris</t>
  </si>
  <si>
    <t xml:space="preserve">franklinbond@example.com</t>
  </si>
  <si>
    <t xml:space="preserve">439-871-8707</t>
  </si>
  <si>
    <t xml:space="preserve">EMP0097</t>
  </si>
  <si>
    <t xml:space="preserve">Robert Cummings</t>
  </si>
  <si>
    <t xml:space="preserve">ascott@example.net</t>
  </si>
  <si>
    <t xml:space="preserve">391.906.5180</t>
  </si>
  <si>
    <t xml:space="preserve">EMP0098</t>
  </si>
  <si>
    <t xml:space="preserve">Pamela Good</t>
  </si>
  <si>
    <t xml:space="preserve">ybrooks@example.com</t>
  </si>
  <si>
    <t xml:space="preserve">(261)282-5128x</t>
  </si>
  <si>
    <t xml:space="preserve">EMP0099</t>
  </si>
  <si>
    <t xml:space="preserve">Jessica Gray</t>
  </si>
  <si>
    <t xml:space="preserve">johnreed@example.com</t>
  </si>
  <si>
    <t xml:space="preserve">310.269.0331</t>
  </si>
  <si>
    <t xml:space="preserve">EMP0100</t>
  </si>
  <si>
    <t xml:space="preserve">Dana Williams</t>
  </si>
  <si>
    <t xml:space="preserve">nyoung@example.org</t>
  </si>
  <si>
    <t xml:space="preserve">(584)639-5995</t>
  </si>
  <si>
    <t xml:space="preserve">EMP0101</t>
  </si>
  <si>
    <t xml:space="preserve">Jennifer Hill</t>
  </si>
  <si>
    <t xml:space="preserve">conniesimmons@example.com</t>
  </si>
  <si>
    <t xml:space="preserve">8564856624</t>
  </si>
  <si>
    <t xml:space="preserve">EMP0102</t>
  </si>
  <si>
    <t xml:space="preserve">Elizabeth Zimmerman</t>
  </si>
  <si>
    <t xml:space="preserve">jmelendez@example.com</t>
  </si>
  <si>
    <t xml:space="preserve">(588)226-3435x</t>
  </si>
  <si>
    <t xml:space="preserve">EMP0103</t>
  </si>
  <si>
    <t xml:space="preserve">Shelly Lopez</t>
  </si>
  <si>
    <t xml:space="preserve">timothybooth@example.com</t>
  </si>
  <si>
    <t xml:space="preserve">603-831-7393x6</t>
  </si>
  <si>
    <t xml:space="preserve">EMP0104</t>
  </si>
  <si>
    <t xml:space="preserve">Ian Andrade</t>
  </si>
  <si>
    <t xml:space="preserve">ugarcia@example.com</t>
  </si>
  <si>
    <t xml:space="preserve">001-853-655-60</t>
  </si>
  <si>
    <t xml:space="preserve">EMP0105</t>
  </si>
  <si>
    <t xml:space="preserve">Roy Porter</t>
  </si>
  <si>
    <t xml:space="preserve">jonathan77@example.com</t>
  </si>
  <si>
    <t xml:space="preserve">(252)328-7280</t>
  </si>
  <si>
    <t xml:space="preserve">EMP0106</t>
  </si>
  <si>
    <t xml:space="preserve">Jennifer Kirby</t>
  </si>
  <si>
    <t xml:space="preserve">carloshernandez@example.org</t>
  </si>
  <si>
    <t xml:space="preserve">275.609.9770x0</t>
  </si>
  <si>
    <t xml:space="preserve">EMP0107</t>
  </si>
  <si>
    <t xml:space="preserve">Melissa Jordan</t>
  </si>
  <si>
    <t xml:space="preserve">danieldavis@example.org</t>
  </si>
  <si>
    <t xml:space="preserve">739.884.5461</t>
  </si>
  <si>
    <t xml:space="preserve">EMP0108</t>
  </si>
  <si>
    <t xml:space="preserve">Elizabeth Clayton</t>
  </si>
  <si>
    <t xml:space="preserve">valdezmichele@example.org</t>
  </si>
  <si>
    <t xml:space="preserve">366-968-7002</t>
  </si>
  <si>
    <t xml:space="preserve">EMP0109</t>
  </si>
  <si>
    <t xml:space="preserve">William Dickson</t>
  </si>
  <si>
    <t xml:space="preserve">hallrachel@example.net</t>
  </si>
  <si>
    <t xml:space="preserve">001-474-701-48</t>
  </si>
  <si>
    <t xml:space="preserve">EMP0110</t>
  </si>
  <si>
    <t xml:space="preserve">Robert Nicholson</t>
  </si>
  <si>
    <t xml:space="preserve">evansanne@example.net</t>
  </si>
  <si>
    <t xml:space="preserve">(785)862-1850x</t>
  </si>
  <si>
    <t xml:space="preserve">EMP0111</t>
  </si>
  <si>
    <t xml:space="preserve">Rachel Hayes</t>
  </si>
  <si>
    <t xml:space="preserve">michaelpugh@example.com</t>
  </si>
  <si>
    <t xml:space="preserve">(696)419-4311</t>
  </si>
  <si>
    <t xml:space="preserve">EMP0112</t>
  </si>
  <si>
    <t xml:space="preserve">James Ward</t>
  </si>
  <si>
    <t xml:space="preserve">smithkyle@example.com</t>
  </si>
  <si>
    <t xml:space="preserve">001-341-721-26</t>
  </si>
  <si>
    <t xml:space="preserve">EMP0113</t>
  </si>
  <si>
    <t xml:space="preserve">Sharon Smith</t>
  </si>
  <si>
    <t xml:space="preserve">fhughes@example.net</t>
  </si>
  <si>
    <t xml:space="preserve">+1-639-682-622</t>
  </si>
  <si>
    <t xml:space="preserve">EMP0114</t>
  </si>
  <si>
    <t xml:space="preserve">Jason Washington</t>
  </si>
  <si>
    <t xml:space="preserve">wardsheryl@example.net</t>
  </si>
  <si>
    <t xml:space="preserve">+1-879-793-712</t>
  </si>
  <si>
    <t xml:space="preserve">EMP0115</t>
  </si>
  <si>
    <t xml:space="preserve">Marilyn Wheeler</t>
  </si>
  <si>
    <t xml:space="preserve">malik37@example.com</t>
  </si>
  <si>
    <t xml:space="preserve">(665)847-9356</t>
  </si>
  <si>
    <t xml:space="preserve">EMP0116</t>
  </si>
  <si>
    <t xml:space="preserve">Zachary White</t>
  </si>
  <si>
    <t xml:space="preserve">bentonsteven@example.net</t>
  </si>
  <si>
    <t xml:space="preserve">674.416.7243</t>
  </si>
  <si>
    <t xml:space="preserve">EMP0117</t>
  </si>
  <si>
    <t xml:space="preserve">William Mendoza</t>
  </si>
  <si>
    <t xml:space="preserve">sferguson@example.com</t>
  </si>
  <si>
    <t xml:space="preserve">+1-405-289-113</t>
  </si>
  <si>
    <t xml:space="preserve">EMP0118</t>
  </si>
  <si>
    <t xml:space="preserve">Tracy Rivera</t>
  </si>
  <si>
    <t xml:space="preserve">grodriguez@example.com</t>
  </si>
  <si>
    <t xml:space="preserve">888.989.9375</t>
  </si>
  <si>
    <t xml:space="preserve">EMP0119</t>
  </si>
  <si>
    <t xml:space="preserve">Haley Johnson</t>
  </si>
  <si>
    <t xml:space="preserve">phillipssamantha@example.org</t>
  </si>
  <si>
    <t xml:space="preserve">725-945-7387</t>
  </si>
  <si>
    <t xml:space="preserve">EMP0120</t>
  </si>
  <si>
    <t xml:space="preserve">Austin Williams</t>
  </si>
  <si>
    <t xml:space="preserve">johnsonmatthew@example.org</t>
  </si>
  <si>
    <t xml:space="preserve">+1-423-882-825</t>
  </si>
  <si>
    <t xml:space="preserve">EMP0121</t>
  </si>
  <si>
    <t xml:space="preserve">Joanna Jordan</t>
  </si>
  <si>
    <t xml:space="preserve">bushjamie@example.net</t>
  </si>
  <si>
    <t xml:space="preserve">391-682-5537</t>
  </si>
  <si>
    <t xml:space="preserve">EMP0122</t>
  </si>
  <si>
    <t xml:space="preserve">Emily Price</t>
  </si>
  <si>
    <t xml:space="preserve">wmatthews@example.com</t>
  </si>
  <si>
    <t xml:space="preserve">392.449.9125x1</t>
  </si>
  <si>
    <t xml:space="preserve">EMP0123</t>
  </si>
  <si>
    <t xml:space="preserve">Kyle Andrews</t>
  </si>
  <si>
    <t xml:space="preserve">olopez@example.net</t>
  </si>
  <si>
    <t xml:space="preserve">001-728-227-42</t>
  </si>
  <si>
    <t xml:space="preserve">EMP0124</t>
  </si>
  <si>
    <t xml:space="preserve">Justin Delgado</t>
  </si>
  <si>
    <t xml:space="preserve">acohen@example.net</t>
  </si>
  <si>
    <t xml:space="preserve">672.419.0340x4</t>
  </si>
  <si>
    <t xml:space="preserve">EMP0125</t>
  </si>
  <si>
    <t xml:space="preserve">Kathleen Dixon</t>
  </si>
  <si>
    <t xml:space="preserve">adamsamy@example.com</t>
  </si>
  <si>
    <t xml:space="preserve">+1-207-983-613</t>
  </si>
  <si>
    <t xml:space="preserve">EMP0126</t>
  </si>
  <si>
    <t xml:space="preserve">Sean Wilson</t>
  </si>
  <si>
    <t xml:space="preserve">jasonrojas@example.net</t>
  </si>
  <si>
    <t xml:space="preserve">(696)429-2330x</t>
  </si>
  <si>
    <t xml:space="preserve">EMP0127</t>
  </si>
  <si>
    <t xml:space="preserve">Derek Hodge</t>
  </si>
  <si>
    <t xml:space="preserve">taylorkaren@example.com</t>
  </si>
  <si>
    <t xml:space="preserve">9424232536</t>
  </si>
  <si>
    <t xml:space="preserve">EMP0128</t>
  </si>
  <si>
    <t xml:space="preserve">Jesse Schultz</t>
  </si>
  <si>
    <t xml:space="preserve">powellkara@example.net</t>
  </si>
  <si>
    <t xml:space="preserve">(577)859-0175x</t>
  </si>
  <si>
    <t xml:space="preserve">EMP0129</t>
  </si>
  <si>
    <t xml:space="preserve">Drew Kelley</t>
  </si>
  <si>
    <t xml:space="preserve">ashleewashington@example.com</t>
  </si>
  <si>
    <t xml:space="preserve">+1-600-417-012</t>
  </si>
  <si>
    <t xml:space="preserve">EMP0130</t>
  </si>
  <si>
    <t xml:space="preserve">Isaac Miller</t>
  </si>
  <si>
    <t xml:space="preserve">brettgarrett@example.net</t>
  </si>
  <si>
    <t xml:space="preserve">001-936-211-03</t>
  </si>
  <si>
    <t xml:space="preserve">EMP0131</t>
  </si>
  <si>
    <t xml:space="preserve">Scott Benson</t>
  </si>
  <si>
    <t xml:space="preserve">yjones@example.org</t>
  </si>
  <si>
    <t xml:space="preserve">001-211-455-42</t>
  </si>
  <si>
    <t xml:space="preserve">EMP0132</t>
  </si>
  <si>
    <t xml:space="preserve">Brittany Jenkins</t>
  </si>
  <si>
    <t xml:space="preserve">fheath@example.org</t>
  </si>
  <si>
    <t xml:space="preserve">(619)365-6523</t>
  </si>
  <si>
    <t xml:space="preserve">EMP0133</t>
  </si>
  <si>
    <t xml:space="preserve">Dominique Pugh</t>
  </si>
  <si>
    <t xml:space="preserve">abbottdominique@example.com</t>
  </si>
  <si>
    <t xml:space="preserve">989.883.6403</t>
  </si>
  <si>
    <t xml:space="preserve">EMP0134</t>
  </si>
  <si>
    <t xml:space="preserve">Kelsey Levine</t>
  </si>
  <si>
    <t xml:space="preserve">sarah26@example.net</t>
  </si>
  <si>
    <t xml:space="preserve">(858)627-1091x</t>
  </si>
  <si>
    <t xml:space="preserve">EMP0135</t>
  </si>
  <si>
    <t xml:space="preserve">Michael Miller</t>
  </si>
  <si>
    <t xml:space="preserve">joshuacollins@example.net</t>
  </si>
  <si>
    <t xml:space="preserve">528.256.9146</t>
  </si>
  <si>
    <t xml:space="preserve">EMP0136</t>
  </si>
  <si>
    <t xml:space="preserve">Logan Brown</t>
  </si>
  <si>
    <t xml:space="preserve">davidzimmerman@example.net</t>
  </si>
  <si>
    <t xml:space="preserve">4276588425</t>
  </si>
  <si>
    <t xml:space="preserve">EMP0137</t>
  </si>
  <si>
    <t xml:space="preserve">Frances Patterson</t>
  </si>
  <si>
    <t xml:space="preserve">bakertheresa@example.net</t>
  </si>
  <si>
    <t xml:space="preserve">777-485-0792</t>
  </si>
  <si>
    <t xml:space="preserve">EMP0138</t>
  </si>
  <si>
    <t xml:space="preserve">Miranda Perez</t>
  </si>
  <si>
    <t xml:space="preserve">williamsmichelle@example.org</t>
  </si>
  <si>
    <t xml:space="preserve">5757622086</t>
  </si>
  <si>
    <t xml:space="preserve">EMP0139</t>
  </si>
  <si>
    <t xml:space="preserve">Roger Duncan</t>
  </si>
  <si>
    <t xml:space="preserve">shawrachel@example.org</t>
  </si>
  <si>
    <t xml:space="preserve">380.961.7445</t>
  </si>
  <si>
    <t xml:space="preserve">EMP0140</t>
  </si>
  <si>
    <t xml:space="preserve">Elizabeth Dean</t>
  </si>
  <si>
    <t xml:space="preserve">frichardson@example.org</t>
  </si>
  <si>
    <t xml:space="preserve">001-883-620-60</t>
  </si>
  <si>
    <t xml:space="preserve">EMP0141</t>
  </si>
  <si>
    <t xml:space="preserve">Johnathan Brown</t>
  </si>
  <si>
    <t xml:space="preserve">jenniferdavis@example.org</t>
  </si>
  <si>
    <t xml:space="preserve">865.471.9182x6</t>
  </si>
  <si>
    <t xml:space="preserve">EMP0142</t>
  </si>
  <si>
    <t xml:space="preserve">Robert Haynes</t>
  </si>
  <si>
    <t xml:space="preserve">louis43@example.org</t>
  </si>
  <si>
    <t xml:space="preserve">729.812.1277</t>
  </si>
  <si>
    <t xml:space="preserve">EMP0143</t>
  </si>
  <si>
    <t xml:space="preserve">Jodi Ford</t>
  </si>
  <si>
    <t xml:space="preserve">davislindsey@example.com</t>
  </si>
  <si>
    <t xml:space="preserve">001-690-635-21</t>
  </si>
  <si>
    <t xml:space="preserve">EMP0144</t>
  </si>
  <si>
    <t xml:space="preserve">Sarah Hawkins</t>
  </si>
  <si>
    <t xml:space="preserve">codygarcia@example.org</t>
  </si>
  <si>
    <t xml:space="preserve">600-332-3651</t>
  </si>
  <si>
    <t xml:space="preserve">EMP0145</t>
  </si>
  <si>
    <t xml:space="preserve">Jill Anderson</t>
  </si>
  <si>
    <t xml:space="preserve">david70@example.org</t>
  </si>
  <si>
    <t xml:space="preserve">001-566-470-66</t>
  </si>
  <si>
    <t xml:space="preserve">EMP0146</t>
  </si>
  <si>
    <t xml:space="preserve">Lucas Jensen</t>
  </si>
  <si>
    <t xml:space="preserve">victor87@example.org</t>
  </si>
  <si>
    <t xml:space="preserve">246-826-3838</t>
  </si>
  <si>
    <t xml:space="preserve">EMP0147</t>
  </si>
  <si>
    <t xml:space="preserve">Kari Durham</t>
  </si>
  <si>
    <t xml:space="preserve">paul20@example.com</t>
  </si>
  <si>
    <t xml:space="preserve">+1-530-540-785</t>
  </si>
  <si>
    <t xml:space="preserve">EMP0148</t>
  </si>
  <si>
    <t xml:space="preserve">Amy Davies</t>
  </si>
  <si>
    <t xml:space="preserve">barbaramcgrath@example.com</t>
  </si>
  <si>
    <t xml:space="preserve">(422)539-5590x</t>
  </si>
  <si>
    <t xml:space="preserve">EMP0149</t>
  </si>
  <si>
    <t xml:space="preserve">Kimberly Thompson</t>
  </si>
  <si>
    <t xml:space="preserve">davisjesse@example.org</t>
  </si>
  <si>
    <t xml:space="preserve">4877059325</t>
  </si>
  <si>
    <t xml:space="preserve">EMP0150</t>
  </si>
  <si>
    <t xml:space="preserve">Brenda Rodriguez</t>
  </si>
  <si>
    <t xml:space="preserve">susan56@example.net</t>
  </si>
  <si>
    <t xml:space="preserve">454-752-2675</t>
  </si>
  <si>
    <t xml:space="preserve">EMP0151</t>
  </si>
  <si>
    <t xml:space="preserve">Eric Barker</t>
  </si>
  <si>
    <t xml:space="preserve">gregorysmith@example.net</t>
  </si>
  <si>
    <t xml:space="preserve">001-369-902-95</t>
  </si>
  <si>
    <t xml:space="preserve">EMP0152</t>
  </si>
  <si>
    <t xml:space="preserve">William Jackson</t>
  </si>
  <si>
    <t xml:space="preserve">underwoodelizabeth@example.net</t>
  </si>
  <si>
    <t xml:space="preserve">870-443-3154x1</t>
  </si>
  <si>
    <t xml:space="preserve">EMP0153</t>
  </si>
  <si>
    <t xml:space="preserve">Joshua Garcia</t>
  </si>
  <si>
    <t xml:space="preserve">kkramer@example.net</t>
  </si>
  <si>
    <t xml:space="preserve">001-832-471-04</t>
  </si>
  <si>
    <t xml:space="preserve">EMP0154</t>
  </si>
  <si>
    <t xml:space="preserve">Anna Wheeler</t>
  </si>
  <si>
    <t xml:space="preserve">bbush@example.net</t>
  </si>
  <si>
    <t xml:space="preserve">(896)620-1533</t>
  </si>
  <si>
    <t xml:space="preserve">EMP0155</t>
  </si>
  <si>
    <t xml:space="preserve">James Dunn</t>
  </si>
  <si>
    <t xml:space="preserve">xhernandez@example.org</t>
  </si>
  <si>
    <t xml:space="preserve">(614)897-3103x</t>
  </si>
  <si>
    <t xml:space="preserve">EMP0156</t>
  </si>
  <si>
    <t xml:space="preserve">Martin Hughes</t>
  </si>
  <si>
    <t xml:space="preserve">nicole52@example.com</t>
  </si>
  <si>
    <t xml:space="preserve">4473743490</t>
  </si>
  <si>
    <t xml:space="preserve">EMP0157</t>
  </si>
  <si>
    <t xml:space="preserve">Tracy Lawrence</t>
  </si>
  <si>
    <t xml:space="preserve">randallloretta@example.com</t>
  </si>
  <si>
    <t xml:space="preserve">+1-479-337-416</t>
  </si>
  <si>
    <t xml:space="preserve">EMP0158</t>
  </si>
  <si>
    <t xml:space="preserve">Carol Lewis</t>
  </si>
  <si>
    <t xml:space="preserve">davidhenderson@example.net</t>
  </si>
  <si>
    <t xml:space="preserve">(932)294-5116x</t>
  </si>
  <si>
    <t xml:space="preserve">EMP0159</t>
  </si>
  <si>
    <t xml:space="preserve">Jennifer Perry</t>
  </si>
  <si>
    <t xml:space="preserve">ashleyaguilar@example.org</t>
  </si>
  <si>
    <t xml:space="preserve">991-948-5646</t>
  </si>
  <si>
    <t xml:space="preserve">EMP0160</t>
  </si>
  <si>
    <t xml:space="preserve">Lee Steele</t>
  </si>
  <si>
    <t xml:space="preserve">fosternatasha@example.net</t>
  </si>
  <si>
    <t xml:space="preserve">607.945.0544</t>
  </si>
  <si>
    <t xml:space="preserve">EMP0161</t>
  </si>
  <si>
    <t xml:space="preserve">Crystal Turner</t>
  </si>
  <si>
    <t xml:space="preserve">uschroeder@example.com</t>
  </si>
  <si>
    <t xml:space="preserve">001-469-313-73</t>
  </si>
  <si>
    <t xml:space="preserve">EMP0162</t>
  </si>
  <si>
    <t xml:space="preserve">Samuel Suarez</t>
  </si>
  <si>
    <t xml:space="preserve">thompsonnancy@example.org</t>
  </si>
  <si>
    <t xml:space="preserve">9308705345</t>
  </si>
  <si>
    <t xml:space="preserve">EMP0163</t>
  </si>
  <si>
    <t xml:space="preserve">Jaime Wheeler</t>
  </si>
  <si>
    <t xml:space="preserve">susanwells@example.net</t>
  </si>
  <si>
    <t xml:space="preserve">(552)541-4060x</t>
  </si>
  <si>
    <t xml:space="preserve">EMP0164</t>
  </si>
  <si>
    <t xml:space="preserve">Alejandro Deleon</t>
  </si>
  <si>
    <t xml:space="preserve">wellsdavid@example.org</t>
  </si>
  <si>
    <t xml:space="preserve">+1-503-949-446</t>
  </si>
  <si>
    <t xml:space="preserve">EMP0165</t>
  </si>
  <si>
    <t xml:space="preserve">Lauren Smith</t>
  </si>
  <si>
    <t xml:space="preserve">anna99@example.com</t>
  </si>
  <si>
    <t xml:space="preserve">517-215-4544x4</t>
  </si>
  <si>
    <t xml:space="preserve">EMP0166</t>
  </si>
  <si>
    <t xml:space="preserve">Mary Becker</t>
  </si>
  <si>
    <t xml:space="preserve">rioswhitney@example.com</t>
  </si>
  <si>
    <t xml:space="preserve">(466)409-9353x</t>
  </si>
  <si>
    <t xml:space="preserve">EMP0167</t>
  </si>
  <si>
    <t xml:space="preserve">Molly Hansen</t>
  </si>
  <si>
    <t xml:space="preserve">staceylam@example.net</t>
  </si>
  <si>
    <t xml:space="preserve">635-934-6554</t>
  </si>
  <si>
    <t xml:space="preserve">EMP0168</t>
  </si>
  <si>
    <t xml:space="preserve">Lauren Blackburn</t>
  </si>
  <si>
    <t xml:space="preserve">kennedyjames@example.org</t>
  </si>
  <si>
    <t xml:space="preserve">+1-768-446-022</t>
  </si>
  <si>
    <t xml:space="preserve">EMP0169</t>
  </si>
  <si>
    <t xml:space="preserve">Cassandra Walters</t>
  </si>
  <si>
    <t xml:space="preserve">hayesjason@example.org</t>
  </si>
  <si>
    <t xml:space="preserve">001-827-912-96</t>
  </si>
  <si>
    <t xml:space="preserve">EMP0170</t>
  </si>
  <si>
    <t xml:space="preserve">Jake Smith</t>
  </si>
  <si>
    <t xml:space="preserve">katherine83@example.org</t>
  </si>
  <si>
    <t xml:space="preserve">+1-203-635-421</t>
  </si>
  <si>
    <t xml:space="preserve">EMP0171</t>
  </si>
  <si>
    <t xml:space="preserve">Kelly Hamilton</t>
  </si>
  <si>
    <t xml:space="preserve">matthewvalenzuela@example.com</t>
  </si>
  <si>
    <t xml:space="preserve">001-732-260-33</t>
  </si>
  <si>
    <t xml:space="preserve">EMP0172</t>
  </si>
  <si>
    <t xml:space="preserve">Lisa Wheeler</t>
  </si>
  <si>
    <t xml:space="preserve">stanleydesiree@example.org</t>
  </si>
  <si>
    <t xml:space="preserve">4165761847</t>
  </si>
  <si>
    <t xml:space="preserve">EMP0173</t>
  </si>
  <si>
    <t xml:space="preserve">Matthew Bates</t>
  </si>
  <si>
    <t xml:space="preserve">cindy26@example.org</t>
  </si>
  <si>
    <t xml:space="preserve">891.641.1739x3</t>
  </si>
  <si>
    <t xml:space="preserve">EMP0174</t>
  </si>
  <si>
    <t xml:space="preserve">Melissa Castillo</t>
  </si>
  <si>
    <t xml:space="preserve">aaronpowers@example.org</t>
  </si>
  <si>
    <t xml:space="preserve">001-972-618-11</t>
  </si>
  <si>
    <t xml:space="preserve">EMP0175</t>
  </si>
  <si>
    <t xml:space="preserve">Shelly Phelps</t>
  </si>
  <si>
    <t xml:space="preserve">laurie56@example.net</t>
  </si>
  <si>
    <t xml:space="preserve">610-302-2557</t>
  </si>
  <si>
    <t xml:space="preserve">EMP0176</t>
  </si>
  <si>
    <t xml:space="preserve">James Bryant</t>
  </si>
  <si>
    <t xml:space="preserve">evaughn@example.com</t>
  </si>
  <si>
    <t xml:space="preserve">+1-821-720-216</t>
  </si>
  <si>
    <t xml:space="preserve">EMP0177</t>
  </si>
  <si>
    <t xml:space="preserve">Monica Snow</t>
  </si>
  <si>
    <t xml:space="preserve">hknapp@example.com</t>
  </si>
  <si>
    <t xml:space="preserve">301.845.0899x3</t>
  </si>
  <si>
    <t xml:space="preserve">EMP0178</t>
  </si>
  <si>
    <t xml:space="preserve">Michael Cruz</t>
  </si>
  <si>
    <t xml:space="preserve">smithsarah@example.net</t>
  </si>
  <si>
    <t xml:space="preserve">872.817.5354x0</t>
  </si>
  <si>
    <t xml:space="preserve">EMP0179</t>
  </si>
  <si>
    <t xml:space="preserve">Kenneth Miller</t>
  </si>
  <si>
    <t xml:space="preserve">hwest@example.com</t>
  </si>
  <si>
    <t xml:space="preserve">001-501-966-08</t>
  </si>
  <si>
    <t xml:space="preserve">EMP0180</t>
  </si>
  <si>
    <t xml:space="preserve">Daniel Gibson</t>
  </si>
  <si>
    <t xml:space="preserve">xmoran@example.net</t>
  </si>
  <si>
    <t xml:space="preserve">211.430.5548x8</t>
  </si>
  <si>
    <t xml:space="preserve">EMP0181</t>
  </si>
  <si>
    <t xml:space="preserve">Jennifer King</t>
  </si>
  <si>
    <t xml:space="preserve">jacobconrad@example.com</t>
  </si>
  <si>
    <t xml:space="preserve">973.951.6091</t>
  </si>
  <si>
    <t xml:space="preserve">EMP0182</t>
  </si>
  <si>
    <t xml:space="preserve">Jonathan Moreno</t>
  </si>
  <si>
    <t xml:space="preserve">tranryan@example.net</t>
  </si>
  <si>
    <t xml:space="preserve">882.592.2169x9</t>
  </si>
  <si>
    <t xml:space="preserve">EMP0183</t>
  </si>
  <si>
    <t xml:space="preserve">Jodi Anderson</t>
  </si>
  <si>
    <t xml:space="preserve">vmorrison@example.net</t>
  </si>
  <si>
    <t xml:space="preserve">785-383-3394x5</t>
  </si>
  <si>
    <t xml:space="preserve">EMP0184</t>
  </si>
  <si>
    <t xml:space="preserve">Terri Mckinney</t>
  </si>
  <si>
    <t xml:space="preserve">natalie60@example.net</t>
  </si>
  <si>
    <t xml:space="preserve">606-620-0342</t>
  </si>
  <si>
    <t xml:space="preserve">EMP0185</t>
  </si>
  <si>
    <t xml:space="preserve">Christina Weaver</t>
  </si>
  <si>
    <t xml:space="preserve">lisa19@example.net</t>
  </si>
  <si>
    <t xml:space="preserve">001-283-286-38</t>
  </si>
  <si>
    <t xml:space="preserve">EMP0186</t>
  </si>
  <si>
    <t xml:space="preserve">Shannon Ramos</t>
  </si>
  <si>
    <t xml:space="preserve">rhondabush@example.net</t>
  </si>
  <si>
    <t xml:space="preserve">(398)893-3472x</t>
  </si>
  <si>
    <t xml:space="preserve">EMP0187</t>
  </si>
  <si>
    <t xml:space="preserve">Christopher Singleton</t>
  </si>
  <si>
    <t xml:space="preserve">riverajenna@example.org</t>
  </si>
  <si>
    <t xml:space="preserve">7253909479</t>
  </si>
  <si>
    <t xml:space="preserve">EMP0188</t>
  </si>
  <si>
    <t xml:space="preserve">Clinton Jones</t>
  </si>
  <si>
    <t xml:space="preserve">robertherrera@example.org</t>
  </si>
  <si>
    <t xml:space="preserve">(233)355-5439x</t>
  </si>
  <si>
    <t xml:space="preserve">EMP0189</t>
  </si>
  <si>
    <t xml:space="preserve">Lisa Oliver</t>
  </si>
  <si>
    <t xml:space="preserve">flemingmanuel@example.org</t>
  </si>
  <si>
    <t xml:space="preserve">(548)740-8588x</t>
  </si>
  <si>
    <t xml:space="preserve">EMP0190</t>
  </si>
  <si>
    <t xml:space="preserve">Tyler Medina</t>
  </si>
  <si>
    <t xml:space="preserve">simsjason@example.net</t>
  </si>
  <si>
    <t xml:space="preserve">001-336-213-86</t>
  </si>
  <si>
    <t xml:space="preserve">EMP0191</t>
  </si>
  <si>
    <t xml:space="preserve">Roberto Bartlett</t>
  </si>
  <si>
    <t xml:space="preserve">ohughes@example.com</t>
  </si>
  <si>
    <t xml:space="preserve">(350)661-8091x</t>
  </si>
  <si>
    <t xml:space="preserve">EMP0192</t>
  </si>
  <si>
    <t xml:space="preserve">Preston Kim</t>
  </si>
  <si>
    <t xml:space="preserve">bshort@example.com</t>
  </si>
  <si>
    <t xml:space="preserve">(783)226-8424</t>
  </si>
  <si>
    <t xml:space="preserve">EMP0193</t>
  </si>
  <si>
    <t xml:space="preserve">Aaron Carlson</t>
  </si>
  <si>
    <t xml:space="preserve">torreskaitlin@example.net</t>
  </si>
  <si>
    <t xml:space="preserve">(436)282-2239x</t>
  </si>
  <si>
    <t xml:space="preserve">EMP0194</t>
  </si>
  <si>
    <t xml:space="preserve">Julia Dunn MD</t>
  </si>
  <si>
    <t xml:space="preserve">kingjames@example.net</t>
  </si>
  <si>
    <t xml:space="preserve">755.623.1491x3</t>
  </si>
  <si>
    <t xml:space="preserve">EMP0195</t>
  </si>
  <si>
    <t xml:space="preserve">Rhonda Benjamin</t>
  </si>
  <si>
    <t xml:space="preserve">adamsanchez@example.org</t>
  </si>
  <si>
    <t xml:space="preserve">001-364-452-57</t>
  </si>
  <si>
    <t xml:space="preserve">EMP0196</t>
  </si>
  <si>
    <t xml:space="preserve">Ronald Vance</t>
  </si>
  <si>
    <t xml:space="preserve">josemercado@example.org</t>
  </si>
  <si>
    <t xml:space="preserve">001-910-480-99</t>
  </si>
  <si>
    <t xml:space="preserve">EMP0197</t>
  </si>
  <si>
    <t xml:space="preserve">Morgan Carter</t>
  </si>
  <si>
    <t xml:space="preserve">fmason@example.com</t>
  </si>
  <si>
    <t xml:space="preserve">(480)939-2827x</t>
  </si>
  <si>
    <t xml:space="preserve">EMP0198</t>
  </si>
  <si>
    <t xml:space="preserve">Crystal Baker</t>
  </si>
  <si>
    <t xml:space="preserve">bradclark@example.com</t>
  </si>
  <si>
    <t xml:space="preserve">(477)800-5184x</t>
  </si>
  <si>
    <t xml:space="preserve">EMP0199</t>
  </si>
  <si>
    <t xml:space="preserve">Sara Black</t>
  </si>
  <si>
    <t xml:space="preserve">okaufman@example.net</t>
  </si>
  <si>
    <t xml:space="preserve">(655)577-9082x</t>
  </si>
  <si>
    <t xml:space="preserve">EMP0200</t>
  </si>
  <si>
    <t xml:space="preserve">Ruth Guerrero</t>
  </si>
  <si>
    <t xml:space="preserve">ushepherd@example.org</t>
  </si>
  <si>
    <t xml:space="preserve">477.439.2603x0</t>
  </si>
  <si>
    <t xml:space="preserve">EMP0201</t>
  </si>
  <si>
    <t xml:space="preserve">Amy Scott</t>
  </si>
  <si>
    <t xml:space="preserve">zacharysullivan@example.net</t>
  </si>
  <si>
    <t xml:space="preserve">+1-404-413-797</t>
  </si>
  <si>
    <t xml:space="preserve">EMP0202</t>
  </si>
  <si>
    <t xml:space="preserve">Michael Nielsen</t>
  </si>
  <si>
    <t xml:space="preserve">hallpaul@example.org</t>
  </si>
  <si>
    <t xml:space="preserve">9382862912</t>
  </si>
  <si>
    <t xml:space="preserve">EMP0203</t>
  </si>
  <si>
    <t xml:space="preserve">Anna Hopkins</t>
  </si>
  <si>
    <t xml:space="preserve">princekimberly@example.net</t>
  </si>
  <si>
    <t xml:space="preserve">(886)450-8637x</t>
  </si>
  <si>
    <t xml:space="preserve">EMP0204</t>
  </si>
  <si>
    <t xml:space="preserve">Angela George</t>
  </si>
  <si>
    <t xml:space="preserve">001-409-881-80</t>
  </si>
  <si>
    <t xml:space="preserve">EMP0205</t>
  </si>
  <si>
    <t xml:space="preserve">Jessica Diaz</t>
  </si>
  <si>
    <t xml:space="preserve">victoria63@example.com</t>
  </si>
  <si>
    <t xml:space="preserve">+1-687-725-887</t>
  </si>
  <si>
    <t xml:space="preserve">EMP0206</t>
  </si>
  <si>
    <t xml:space="preserve">Scott Wilson</t>
  </si>
  <si>
    <t xml:space="preserve">seanlyons@example.org</t>
  </si>
  <si>
    <t xml:space="preserve">838-265-8902</t>
  </si>
  <si>
    <t xml:space="preserve">EMP0207</t>
  </si>
  <si>
    <t xml:space="preserve">Kyle Davis</t>
  </si>
  <si>
    <t xml:space="preserve">jeffrey19@example.org</t>
  </si>
  <si>
    <t xml:space="preserve">001-666-598-49</t>
  </si>
  <si>
    <t xml:space="preserve">EMP0208</t>
  </si>
  <si>
    <t xml:space="preserve">Crystal Jackson</t>
  </si>
  <si>
    <t xml:space="preserve">warddiana@example.org</t>
  </si>
  <si>
    <t xml:space="preserve">246-356-6938</t>
  </si>
  <si>
    <t xml:space="preserve">EMP0209</t>
  </si>
  <si>
    <t xml:space="preserve">Kristin Aguilar</t>
  </si>
  <si>
    <t xml:space="preserve">sylvia43@example.net</t>
  </si>
  <si>
    <t xml:space="preserve">376.390.4268</t>
  </si>
  <si>
    <t xml:space="preserve">EMP0210</t>
  </si>
  <si>
    <t xml:space="preserve">Jose Scott</t>
  </si>
  <si>
    <t xml:space="preserve">heather69@example.com</t>
  </si>
  <si>
    <t xml:space="preserve">001-735-877-90</t>
  </si>
  <si>
    <t xml:space="preserve">EMP0211</t>
  </si>
  <si>
    <t xml:space="preserve">Ronnie Wright</t>
  </si>
  <si>
    <t xml:space="preserve">rosskaitlyn@example.com</t>
  </si>
  <si>
    <t xml:space="preserve">482-575-5394</t>
  </si>
  <si>
    <t xml:space="preserve">EMP0212</t>
  </si>
  <si>
    <t xml:space="preserve">Shelley Clark</t>
  </si>
  <si>
    <t xml:space="preserve">maryhuff@example.com</t>
  </si>
  <si>
    <t xml:space="preserve">(911)717-9080</t>
  </si>
  <si>
    <t xml:space="preserve">EMP0213</t>
  </si>
  <si>
    <t xml:space="preserve">Dr. Sheila Henry</t>
  </si>
  <si>
    <t xml:space="preserve">raymond92@example.org</t>
  </si>
  <si>
    <t xml:space="preserve">267.280.8562x7</t>
  </si>
  <si>
    <t xml:space="preserve">EMP0214</t>
  </si>
  <si>
    <t xml:space="preserve">Isaiah Hensley</t>
  </si>
  <si>
    <t xml:space="preserve">amyyoung@example.com</t>
  </si>
  <si>
    <t xml:space="preserve">+1-955-427-636</t>
  </si>
  <si>
    <t xml:space="preserve">EMP0215</t>
  </si>
  <si>
    <t xml:space="preserve">Robin Le</t>
  </si>
  <si>
    <t xml:space="preserve">angelachase@example.org</t>
  </si>
  <si>
    <t xml:space="preserve">(727)902-6728</t>
  </si>
  <si>
    <t xml:space="preserve">EMP0216</t>
  </si>
  <si>
    <t xml:space="preserve">Jennifer Vaughn</t>
  </si>
  <si>
    <t xml:space="preserve">lewisjonathan@example.net</t>
  </si>
  <si>
    <t xml:space="preserve">775-245-5884</t>
  </si>
  <si>
    <t xml:space="preserve">EMP0217</t>
  </si>
  <si>
    <t xml:space="preserve">Lisa Ray</t>
  </si>
  <si>
    <t xml:space="preserve">tiffanymitchell@example.com</t>
  </si>
  <si>
    <t xml:space="preserve">+1-887-371-694</t>
  </si>
  <si>
    <t xml:space="preserve">EMP0218</t>
  </si>
  <si>
    <t xml:space="preserve">Matthew Page</t>
  </si>
  <si>
    <t xml:space="preserve">cnelson@example.com</t>
  </si>
  <si>
    <t xml:space="preserve">001-498-876-22</t>
  </si>
  <si>
    <t xml:space="preserve">EMP0219</t>
  </si>
  <si>
    <t xml:space="preserve">Kimberly Johnson</t>
  </si>
  <si>
    <t xml:space="preserve">fwarren@example.org</t>
  </si>
  <si>
    <t xml:space="preserve">492-216-4334x7</t>
  </si>
  <si>
    <t xml:space="preserve">EMP0220</t>
  </si>
  <si>
    <t xml:space="preserve">Sharon Mcdonald</t>
  </si>
  <si>
    <t xml:space="preserve">amy28@example.org</t>
  </si>
  <si>
    <t xml:space="preserve">001-997-596-88</t>
  </si>
  <si>
    <t xml:space="preserve">EMP0221</t>
  </si>
  <si>
    <t xml:space="preserve">David Torres</t>
  </si>
  <si>
    <t xml:space="preserve">millskatherine@example.org</t>
  </si>
  <si>
    <t xml:space="preserve">(547)280-7740x</t>
  </si>
  <si>
    <t xml:space="preserve">EMP0222</t>
  </si>
  <si>
    <t xml:space="preserve">Jessica Wright</t>
  </si>
  <si>
    <t xml:space="preserve">oclayton@example.com</t>
  </si>
  <si>
    <t xml:space="preserve">863-589-4484</t>
  </si>
  <si>
    <t xml:space="preserve">EMP0223</t>
  </si>
  <si>
    <t xml:space="preserve">Mark Williamson</t>
  </si>
  <si>
    <t xml:space="preserve">jackie73@example.com</t>
  </si>
  <si>
    <t xml:space="preserve">4209802144</t>
  </si>
  <si>
    <t xml:space="preserve">EMP0224</t>
  </si>
  <si>
    <t xml:space="preserve">Johnny Peterson</t>
  </si>
  <si>
    <t xml:space="preserve">kristi75@example.com</t>
  </si>
  <si>
    <t xml:space="preserve">001-505-612-04</t>
  </si>
  <si>
    <t xml:space="preserve">EMP0225</t>
  </si>
  <si>
    <t xml:space="preserve">Randy Wright</t>
  </si>
  <si>
    <t xml:space="preserve">cwright@example.org</t>
  </si>
  <si>
    <t xml:space="preserve">318.637.6452x0</t>
  </si>
  <si>
    <t xml:space="preserve">EMP0226</t>
  </si>
  <si>
    <t xml:space="preserve">Anthony Estrada</t>
  </si>
  <si>
    <t xml:space="preserve">youngryan@example.org</t>
  </si>
  <si>
    <t xml:space="preserve">(949)416-3009</t>
  </si>
  <si>
    <t xml:space="preserve">EMP0227</t>
  </si>
  <si>
    <t xml:space="preserve">Brandon Montgomery</t>
  </si>
  <si>
    <t xml:space="preserve">browndeanna@example.net</t>
  </si>
  <si>
    <t xml:space="preserve">+1-512-273-585</t>
  </si>
  <si>
    <t xml:space="preserve">EMP0228</t>
  </si>
  <si>
    <t xml:space="preserve">Steven Washington</t>
  </si>
  <si>
    <t xml:space="preserve">ihansen@example.net</t>
  </si>
  <si>
    <t xml:space="preserve">439.928.5574x9</t>
  </si>
  <si>
    <t xml:space="preserve">EMP0229</t>
  </si>
  <si>
    <t xml:space="preserve">Aaron Little</t>
  </si>
  <si>
    <t xml:space="preserve">bgross@example.net</t>
  </si>
  <si>
    <t xml:space="preserve">(693)751-8638x</t>
  </si>
  <si>
    <t xml:space="preserve">EMP0230</t>
  </si>
  <si>
    <t xml:space="preserve">Matthew Williams</t>
  </si>
  <si>
    <t xml:space="preserve">gregoryjohnson@example.org</t>
  </si>
  <si>
    <t xml:space="preserve">531.309.6789x9</t>
  </si>
  <si>
    <t xml:space="preserve">EMP0231</t>
  </si>
  <si>
    <t xml:space="preserve">Tanya Collier</t>
  </si>
  <si>
    <t xml:space="preserve">dowen@example.com</t>
  </si>
  <si>
    <t xml:space="preserve">+1-665-309-480</t>
  </si>
  <si>
    <t xml:space="preserve">EMP0232</t>
  </si>
  <si>
    <t xml:space="preserve">Neil Schmidt</t>
  </si>
  <si>
    <t xml:space="preserve">jamessandoval@example.net</t>
  </si>
  <si>
    <t xml:space="preserve">+1-828-786-195</t>
  </si>
  <si>
    <t xml:space="preserve">EMP0233</t>
  </si>
  <si>
    <t xml:space="preserve">Taylor Orr</t>
  </si>
  <si>
    <t xml:space="preserve">megan66@example.net</t>
  </si>
  <si>
    <t xml:space="preserve">293-698-3684x5</t>
  </si>
  <si>
    <t xml:space="preserve">EMP0234</t>
  </si>
  <si>
    <t xml:space="preserve">Elizabeth Evans MD</t>
  </si>
  <si>
    <t xml:space="preserve">andrew48@example.net</t>
  </si>
  <si>
    <t xml:space="preserve">+1-499-621-075</t>
  </si>
  <si>
    <t xml:space="preserve">EMP0235</t>
  </si>
  <si>
    <t xml:space="preserve">Robert Davis</t>
  </si>
  <si>
    <t xml:space="preserve">ncarroll@example.net</t>
  </si>
  <si>
    <t xml:space="preserve">257-827-9194</t>
  </si>
  <si>
    <t xml:space="preserve">EMP0236</t>
  </si>
  <si>
    <t xml:space="preserve">Hannah Montoya</t>
  </si>
  <si>
    <t xml:space="preserve">hconrad@example.org</t>
  </si>
  <si>
    <t xml:space="preserve">001-590-460-48</t>
  </si>
  <si>
    <t xml:space="preserve">EMP0237</t>
  </si>
  <si>
    <t xml:space="preserve">Jeremy Larson</t>
  </si>
  <si>
    <t xml:space="preserve">walkerkeith@example.com</t>
  </si>
  <si>
    <t xml:space="preserve">(625)317-9086</t>
  </si>
  <si>
    <t xml:space="preserve">EMP0238</t>
  </si>
  <si>
    <t xml:space="preserve">Pamela Castillo</t>
  </si>
  <si>
    <t xml:space="preserve">tonypearson@example.org</t>
  </si>
  <si>
    <t xml:space="preserve">+1-398-333-146</t>
  </si>
  <si>
    <t xml:space="preserve">EMP0239</t>
  </si>
  <si>
    <t xml:space="preserve">Frank Wheeler</t>
  </si>
  <si>
    <t xml:space="preserve">carrillogary@example.com</t>
  </si>
  <si>
    <t xml:space="preserve">+1-279-527-033</t>
  </si>
  <si>
    <t xml:space="preserve">EMP0240</t>
  </si>
  <si>
    <t xml:space="preserve">Samantha Smith</t>
  </si>
  <si>
    <t xml:space="preserve">torresthomas@example.com</t>
  </si>
  <si>
    <t xml:space="preserve">483.238.8487</t>
  </si>
  <si>
    <t xml:space="preserve">EMP0241</t>
  </si>
  <si>
    <t xml:space="preserve">Dawn Brown</t>
  </si>
  <si>
    <t xml:space="preserve">kristinawilliamson@example.org</t>
  </si>
  <si>
    <t xml:space="preserve">301.764.5104x6</t>
  </si>
  <si>
    <t xml:space="preserve">EMP0242</t>
  </si>
  <si>
    <t xml:space="preserve">Cristian Rasmussen</t>
  </si>
  <si>
    <t xml:space="preserve">williamssandra@example.com</t>
  </si>
  <si>
    <t xml:space="preserve">876-220-5554x3</t>
  </si>
  <si>
    <t xml:space="preserve">EMP0243</t>
  </si>
  <si>
    <t xml:space="preserve">Glenn Long</t>
  </si>
  <si>
    <t xml:space="preserve">christopherreyes@example.net</t>
  </si>
  <si>
    <t xml:space="preserve">+1-436-539-264</t>
  </si>
  <si>
    <t xml:space="preserve">EMP0244</t>
  </si>
  <si>
    <t xml:space="preserve">Christina Taylor</t>
  </si>
  <si>
    <t xml:space="preserve">russellstout@example.org</t>
  </si>
  <si>
    <t xml:space="preserve">+1-892-851-881</t>
  </si>
  <si>
    <t xml:space="preserve">EMP0245</t>
  </si>
  <si>
    <t xml:space="preserve">Mallory Rodgers</t>
  </si>
  <si>
    <t xml:space="preserve">kimberlyrodriguez@example.org</t>
  </si>
  <si>
    <t xml:space="preserve">5995499939</t>
  </si>
  <si>
    <t xml:space="preserve">EMP0246</t>
  </si>
  <si>
    <t xml:space="preserve">Karen Shaw</t>
  </si>
  <si>
    <t xml:space="preserve">xjoseph@example.org</t>
  </si>
  <si>
    <t xml:space="preserve">(577)522-3306x</t>
  </si>
  <si>
    <t xml:space="preserve">EMP0247</t>
  </si>
  <si>
    <t xml:space="preserve">Dr. Katherine Nguyen</t>
  </si>
  <si>
    <t xml:space="preserve">bclay@example.com</t>
  </si>
  <si>
    <t xml:space="preserve">001-909-965-69</t>
  </si>
  <si>
    <t xml:space="preserve">EMP0248</t>
  </si>
  <si>
    <t xml:space="preserve">Kelly Foster PhD</t>
  </si>
  <si>
    <t xml:space="preserve">oblack@example.org</t>
  </si>
  <si>
    <t xml:space="preserve">647.264.4726</t>
  </si>
  <si>
    <t xml:space="preserve">EMP0249</t>
  </si>
  <si>
    <t xml:space="preserve">Matthew Davis</t>
  </si>
  <si>
    <t xml:space="preserve">whitebrenda@example.net</t>
  </si>
  <si>
    <t xml:space="preserve">+1-526-965-702</t>
  </si>
  <si>
    <t xml:space="preserve">EMP0250</t>
  </si>
  <si>
    <t xml:space="preserve">Michelle Martin</t>
  </si>
  <si>
    <t xml:space="preserve">davisjasmin@example.net</t>
  </si>
  <si>
    <t xml:space="preserve">(718)468-9268x</t>
  </si>
  <si>
    <t xml:space="preserve">EMP0251</t>
  </si>
  <si>
    <t xml:space="preserve">Amber Parker</t>
  </si>
  <si>
    <t xml:space="preserve">lroberts@example.org</t>
  </si>
  <si>
    <t xml:space="preserve">(230)994-0777</t>
  </si>
  <si>
    <t xml:space="preserve">EMP0252</t>
  </si>
  <si>
    <t xml:space="preserve">Jason Miller</t>
  </si>
  <si>
    <t xml:space="preserve">sanchezamy@example.net</t>
  </si>
  <si>
    <t xml:space="preserve">+1-683-702-205</t>
  </si>
  <si>
    <t xml:space="preserve">EMP0253</t>
  </si>
  <si>
    <t xml:space="preserve">Christopher Powers</t>
  </si>
  <si>
    <t xml:space="preserve">tammycurry@example.com</t>
  </si>
  <si>
    <t xml:space="preserve">3146556168</t>
  </si>
  <si>
    <t xml:space="preserve">EMP0254</t>
  </si>
  <si>
    <t xml:space="preserve">Erin Gutierrez</t>
  </si>
  <si>
    <t xml:space="preserve">heathersalazar@example.org</t>
  </si>
  <si>
    <t xml:space="preserve">001-681-779-46</t>
  </si>
  <si>
    <t xml:space="preserve">EMP0255</t>
  </si>
  <si>
    <t xml:space="preserve">Nicholas Jimenez PhD</t>
  </si>
  <si>
    <t xml:space="preserve">jeanettekrause@example.org</t>
  </si>
  <si>
    <t xml:space="preserve">707-713-9660</t>
  </si>
  <si>
    <t xml:space="preserve">EMP0256</t>
  </si>
  <si>
    <t xml:space="preserve">Curtis Campbell</t>
  </si>
  <si>
    <t xml:space="preserve">parkerwilliam@example.com</t>
  </si>
  <si>
    <t xml:space="preserve">001-901-255-69</t>
  </si>
  <si>
    <t xml:space="preserve">EMP0257</t>
  </si>
  <si>
    <t xml:space="preserve">Stephanie Herrera</t>
  </si>
  <si>
    <t xml:space="preserve">steven60@example.net</t>
  </si>
  <si>
    <t xml:space="preserve">295-788-0395x5</t>
  </si>
  <si>
    <t xml:space="preserve">EMP0258</t>
  </si>
  <si>
    <t xml:space="preserve">Laura Price</t>
  </si>
  <si>
    <t xml:space="preserve">hancockkaren@example.net</t>
  </si>
  <si>
    <t xml:space="preserve">304-761-7357x4</t>
  </si>
  <si>
    <t xml:space="preserve">EMP0259</t>
  </si>
  <si>
    <t xml:space="preserve">Jill Johnson</t>
  </si>
  <si>
    <t xml:space="preserve">jstein@example.org</t>
  </si>
  <si>
    <t xml:space="preserve">378-245-2182x3</t>
  </si>
  <si>
    <t xml:space="preserve">EMP0260</t>
  </si>
  <si>
    <t xml:space="preserve">Shelby Cook</t>
  </si>
  <si>
    <t xml:space="preserve">garciakatie@example.net</t>
  </si>
  <si>
    <t xml:space="preserve">309-643-5334x4</t>
  </si>
  <si>
    <t xml:space="preserve">EMP0261</t>
  </si>
  <si>
    <t xml:space="preserve">Marcus Palmer</t>
  </si>
  <si>
    <t xml:space="preserve">amydunn@example.com</t>
  </si>
  <si>
    <t xml:space="preserve">(949)232-1495</t>
  </si>
  <si>
    <t xml:space="preserve">EMP0262</t>
  </si>
  <si>
    <t xml:space="preserve">Ashley Brown</t>
  </si>
  <si>
    <t xml:space="preserve">tmyers@example.net</t>
  </si>
  <si>
    <t xml:space="preserve">001-979-454-53</t>
  </si>
  <si>
    <t xml:space="preserve">EMP0263</t>
  </si>
  <si>
    <t xml:space="preserve">Anne Collins</t>
  </si>
  <si>
    <t xml:space="preserve">oruiz@example.org</t>
  </si>
  <si>
    <t xml:space="preserve">+1-345-762-557</t>
  </si>
  <si>
    <t xml:space="preserve">EMP0264</t>
  </si>
  <si>
    <t xml:space="preserve">Gregory Andrews</t>
  </si>
  <si>
    <t xml:space="preserve">sullivanjennifer@example.org</t>
  </si>
  <si>
    <t xml:space="preserve">981-848-7696x3</t>
  </si>
  <si>
    <t xml:space="preserve">EMP0265</t>
  </si>
  <si>
    <t xml:space="preserve">Jessica Baird</t>
  </si>
  <si>
    <t xml:space="preserve">amy32@example.net</t>
  </si>
  <si>
    <t xml:space="preserve">+1-819-371-997</t>
  </si>
  <si>
    <t xml:space="preserve">EMP0266</t>
  </si>
  <si>
    <t xml:space="preserve">Sally Murphy</t>
  </si>
  <si>
    <t xml:space="preserve">davislisa@example.net</t>
  </si>
  <si>
    <t xml:space="preserve">001-602-627-84</t>
  </si>
  <si>
    <t xml:space="preserve">EMP0267</t>
  </si>
  <si>
    <t xml:space="preserve">Suzanne Mooney</t>
  </si>
  <si>
    <t xml:space="preserve">carrwilliam@example.org</t>
  </si>
  <si>
    <t xml:space="preserve">805-780-0851x4</t>
  </si>
  <si>
    <t xml:space="preserve">EMP0268</t>
  </si>
  <si>
    <t xml:space="preserve">Daniel Thompson</t>
  </si>
  <si>
    <t xml:space="preserve">jacobcruz@example.com</t>
  </si>
  <si>
    <t xml:space="preserve">(824)922-0102x</t>
  </si>
  <si>
    <t xml:space="preserve">EMP0269</t>
  </si>
  <si>
    <t xml:space="preserve">Lisa Gibson</t>
  </si>
  <si>
    <t xml:space="preserve">carnold@example.com</t>
  </si>
  <si>
    <t xml:space="preserve">(732)269-0973x</t>
  </si>
  <si>
    <t xml:space="preserve">EMP0270</t>
  </si>
  <si>
    <t xml:space="preserve">Ashley Olson</t>
  </si>
  <si>
    <t xml:space="preserve">thomasjessica@example.com</t>
  </si>
  <si>
    <t xml:space="preserve">281.789.1371x8</t>
  </si>
  <si>
    <t xml:space="preserve">EMP0271</t>
  </si>
  <si>
    <t xml:space="preserve">Taylor Berry</t>
  </si>
  <si>
    <t xml:space="preserve">robert44@example.org</t>
  </si>
  <si>
    <t xml:space="preserve">2946940792</t>
  </si>
  <si>
    <t xml:space="preserve">EMP0272</t>
  </si>
  <si>
    <t xml:space="preserve">Bradley Wagner</t>
  </si>
  <si>
    <t xml:space="preserve">johnathan94@example.com</t>
  </si>
  <si>
    <t xml:space="preserve">901-492-9275x2</t>
  </si>
  <si>
    <t xml:space="preserve">EMP0273</t>
  </si>
  <si>
    <t xml:space="preserve">Bradley Thomas</t>
  </si>
  <si>
    <t xml:space="preserve">marymullins@example.com</t>
  </si>
  <si>
    <t xml:space="preserve">001-863-972-39</t>
  </si>
  <si>
    <t xml:space="preserve">EMP0274</t>
  </si>
  <si>
    <t xml:space="preserve">Kim James</t>
  </si>
  <si>
    <t xml:space="preserve">jwells@example.net</t>
  </si>
  <si>
    <t xml:space="preserve">(704)676-5801x</t>
  </si>
  <si>
    <t xml:space="preserve">EMP0275</t>
  </si>
  <si>
    <t xml:space="preserve">Jeanne Mejia</t>
  </si>
  <si>
    <t xml:space="preserve">jessicachapman@example.org</t>
  </si>
  <si>
    <t xml:space="preserve">752.558.0010x6</t>
  </si>
  <si>
    <t xml:space="preserve">EMP0276</t>
  </si>
  <si>
    <t xml:space="preserve">Manuel Brown</t>
  </si>
  <si>
    <t xml:space="preserve">stephanielittle@example.net</t>
  </si>
  <si>
    <t xml:space="preserve">619-626-9212</t>
  </si>
  <si>
    <t xml:space="preserve">EMP0277</t>
  </si>
  <si>
    <t xml:space="preserve">Tammy Hill</t>
  </si>
  <si>
    <t xml:space="preserve">qschwartz@example.com</t>
  </si>
  <si>
    <t xml:space="preserve">921-340-6650x4</t>
  </si>
  <si>
    <t xml:space="preserve">EMP0278</t>
  </si>
  <si>
    <t xml:space="preserve">Cassandra Vasquez</t>
  </si>
  <si>
    <t xml:space="preserve">amberreynolds@example.net</t>
  </si>
  <si>
    <t xml:space="preserve">+1-417-241-011</t>
  </si>
  <si>
    <t xml:space="preserve">EMP0279</t>
  </si>
  <si>
    <t xml:space="preserve">Michael Conway</t>
  </si>
  <si>
    <t xml:space="preserve">robertsonshelby@example.com</t>
  </si>
  <si>
    <t xml:space="preserve">766.618.3067x1</t>
  </si>
  <si>
    <t xml:space="preserve">EMP0280</t>
  </si>
  <si>
    <t xml:space="preserve">Ann Nichols</t>
  </si>
  <si>
    <t xml:space="preserve">christopher74@example.net</t>
  </si>
  <si>
    <t xml:space="preserve">728.906.3461</t>
  </si>
  <si>
    <t xml:space="preserve">EMP0281</t>
  </si>
  <si>
    <t xml:space="preserve">Brenda Lee</t>
  </si>
  <si>
    <t xml:space="preserve">tracybrown@example.net</t>
  </si>
  <si>
    <t xml:space="preserve">+1-547-987-005</t>
  </si>
  <si>
    <t xml:space="preserve">EMP0282</t>
  </si>
  <si>
    <t xml:space="preserve">Natalie Hall</t>
  </si>
  <si>
    <t xml:space="preserve">johnsondonald@example.net</t>
  </si>
  <si>
    <t xml:space="preserve">6793032020</t>
  </si>
  <si>
    <t xml:space="preserve">EMP0283</t>
  </si>
  <si>
    <t xml:space="preserve">Sabrina Rodriguez</t>
  </si>
  <si>
    <t xml:space="preserve">nlarson@example.org</t>
  </si>
  <si>
    <t xml:space="preserve">436-756-5198</t>
  </si>
  <si>
    <t xml:space="preserve">EMP0284</t>
  </si>
  <si>
    <t xml:space="preserve">Leslie Rogers</t>
  </si>
  <si>
    <t xml:space="preserve">hillkatherine@example.org</t>
  </si>
  <si>
    <t xml:space="preserve">001-458-227-39</t>
  </si>
  <si>
    <t xml:space="preserve">EMP0285</t>
  </si>
  <si>
    <t xml:space="preserve">Timothy Mann</t>
  </si>
  <si>
    <t xml:space="preserve">robert72@example.org</t>
  </si>
  <si>
    <t xml:space="preserve">(448)976-3290</t>
  </si>
  <si>
    <t xml:space="preserve">EMP0286</t>
  </si>
  <si>
    <t xml:space="preserve">Elizabeth Barnes</t>
  </si>
  <si>
    <t xml:space="preserve">jamesdowns@example.org</t>
  </si>
  <si>
    <t xml:space="preserve">+1-958-983-734</t>
  </si>
  <si>
    <t xml:space="preserve">EMP0287</t>
  </si>
  <si>
    <t xml:space="preserve">Matthew Mitchell</t>
  </si>
  <si>
    <t xml:space="preserve">nking@example.com</t>
  </si>
  <si>
    <t xml:space="preserve">3103822078</t>
  </si>
  <si>
    <t xml:space="preserve">EMP0288</t>
  </si>
  <si>
    <t xml:space="preserve">Erika Gonzalez</t>
  </si>
  <si>
    <t xml:space="preserve">jerry15@example.org</t>
  </si>
  <si>
    <t xml:space="preserve">936-236-3179</t>
  </si>
  <si>
    <t xml:space="preserve">EMP0289</t>
  </si>
  <si>
    <t xml:space="preserve">Jordan Hughes</t>
  </si>
  <si>
    <t xml:space="preserve">stephenlee@example.com</t>
  </si>
  <si>
    <t xml:space="preserve">835-420-9042x1</t>
  </si>
  <si>
    <t xml:space="preserve">EMP0290</t>
  </si>
  <si>
    <t xml:space="preserve">Christopher Norton</t>
  </si>
  <si>
    <t xml:space="preserve">belindatran@example.org</t>
  </si>
  <si>
    <t xml:space="preserve">268-873-9774</t>
  </si>
  <si>
    <t xml:space="preserve">EMP0291</t>
  </si>
  <si>
    <t xml:space="preserve">Kevin Snow</t>
  </si>
  <si>
    <t xml:space="preserve">robinvillanueva@example.com</t>
  </si>
  <si>
    <t xml:space="preserve">3079806867</t>
  </si>
  <si>
    <t xml:space="preserve">EMP0292</t>
  </si>
  <si>
    <t xml:space="preserve">Melissa Russell</t>
  </si>
  <si>
    <t xml:space="preserve">davidphillips@example.net</t>
  </si>
  <si>
    <t xml:space="preserve">907-942-7990</t>
  </si>
  <si>
    <t xml:space="preserve">EMP0293</t>
  </si>
  <si>
    <t xml:space="preserve">Richard Wood</t>
  </si>
  <si>
    <t xml:space="preserve">apadilla@example.net</t>
  </si>
  <si>
    <t xml:space="preserve">565-380-4649</t>
  </si>
  <si>
    <t xml:space="preserve">EMP0294</t>
  </si>
  <si>
    <t xml:space="preserve">Kayla Kent</t>
  </si>
  <si>
    <t xml:space="preserve">pamela16@example.com</t>
  </si>
  <si>
    <t xml:space="preserve">590.355.2818x3</t>
  </si>
  <si>
    <t xml:space="preserve">EMP0295</t>
  </si>
  <si>
    <t xml:space="preserve">Shelby Warner</t>
  </si>
  <si>
    <t xml:space="preserve">lukehurst@example.net</t>
  </si>
  <si>
    <t xml:space="preserve">+1-664-901-557</t>
  </si>
  <si>
    <t xml:space="preserve">EMP0296</t>
  </si>
  <si>
    <t xml:space="preserve">Rhonda Everett</t>
  </si>
  <si>
    <t xml:space="preserve">lopeznicole@example.org</t>
  </si>
  <si>
    <t xml:space="preserve">462-941-1241</t>
  </si>
  <si>
    <t xml:space="preserve">EMP0297</t>
  </si>
  <si>
    <t xml:space="preserve">Alison Butler</t>
  </si>
  <si>
    <t xml:space="preserve">thomasfisher@example.net</t>
  </si>
  <si>
    <t xml:space="preserve">+1-904-931-038</t>
  </si>
  <si>
    <t xml:space="preserve">EMP0298</t>
  </si>
  <si>
    <t xml:space="preserve">Elizabeth Mccormick</t>
  </si>
  <si>
    <t xml:space="preserve">toddarellano@example.org</t>
  </si>
  <si>
    <t xml:space="preserve">(454)472-9284</t>
  </si>
  <si>
    <t xml:space="preserve">EMP0299</t>
  </si>
  <si>
    <t xml:space="preserve">Brittany Young</t>
  </si>
  <si>
    <t xml:space="preserve">chaneyautumn@example.com</t>
  </si>
  <si>
    <t xml:space="preserve">452-638-0552x5</t>
  </si>
  <si>
    <t xml:space="preserve">EMP0300</t>
  </si>
  <si>
    <t xml:space="preserve">Patricia Gould</t>
  </si>
  <si>
    <t xml:space="preserve">eric88@example.com</t>
  </si>
  <si>
    <t xml:space="preserve">+1-347-649-297</t>
  </si>
  <si>
    <t xml:space="preserve">EMP0301</t>
  </si>
  <si>
    <t xml:space="preserve">Hunter Nguyen</t>
  </si>
  <si>
    <t xml:space="preserve">brandywalker@example.com</t>
  </si>
  <si>
    <t xml:space="preserve">901.787.1863</t>
  </si>
  <si>
    <t xml:space="preserve">EMP0302</t>
  </si>
  <si>
    <t xml:space="preserve">Melvin Sanders</t>
  </si>
  <si>
    <t xml:space="preserve">xwood@example.org</t>
  </si>
  <si>
    <t xml:space="preserve">855-847-8137x6</t>
  </si>
  <si>
    <t xml:space="preserve">EMP0303</t>
  </si>
  <si>
    <t xml:space="preserve">Daniel Wells</t>
  </si>
  <si>
    <t xml:space="preserve">carl96@example.org</t>
  </si>
  <si>
    <t xml:space="preserve">5644628792</t>
  </si>
  <si>
    <t xml:space="preserve">EMP0304</t>
  </si>
  <si>
    <t xml:space="preserve">Rodney Turner MD</t>
  </si>
  <si>
    <t xml:space="preserve">dhansen@example.org</t>
  </si>
  <si>
    <t xml:space="preserve">4029447146</t>
  </si>
  <si>
    <t xml:space="preserve">EMP0305</t>
  </si>
  <si>
    <t xml:space="preserve">Phillip Snyder</t>
  </si>
  <si>
    <t xml:space="preserve">georgemichael@example.com</t>
  </si>
  <si>
    <t xml:space="preserve">001-664-471-58</t>
  </si>
  <si>
    <t xml:space="preserve">EMP0306</t>
  </si>
  <si>
    <t xml:space="preserve">Michael Howard</t>
  </si>
  <si>
    <t xml:space="preserve">nelsonrobert@example.com</t>
  </si>
  <si>
    <t xml:space="preserve">4447818321</t>
  </si>
  <si>
    <t xml:space="preserve">EMP0307</t>
  </si>
  <si>
    <t xml:space="preserve">Elizabeth Jennings</t>
  </si>
  <si>
    <t xml:space="preserve">cody95@example.org</t>
  </si>
  <si>
    <t xml:space="preserve">3285457652</t>
  </si>
  <si>
    <t xml:space="preserve">EMP0308</t>
  </si>
  <si>
    <t xml:space="preserve">Steven Austin</t>
  </si>
  <si>
    <t xml:space="preserve">butlersabrina@example.org</t>
  </si>
  <si>
    <t xml:space="preserve">(707)454-5279</t>
  </si>
  <si>
    <t xml:space="preserve">EMP0309</t>
  </si>
  <si>
    <t xml:space="preserve">Courtney Vincent</t>
  </si>
  <si>
    <t xml:space="preserve">haileyparker@example.org</t>
  </si>
  <si>
    <t xml:space="preserve">(516)311-0760</t>
  </si>
  <si>
    <t xml:space="preserve">EMP0310</t>
  </si>
  <si>
    <t xml:space="preserve">Julie Kerr</t>
  </si>
  <si>
    <t xml:space="preserve">joneselizabeth@example.org</t>
  </si>
  <si>
    <t xml:space="preserve">493-693-2501</t>
  </si>
  <si>
    <t xml:space="preserve">EMP0311</t>
  </si>
  <si>
    <t xml:space="preserve">Jonathan Chandler</t>
  </si>
  <si>
    <t xml:space="preserve">williamjones@example.net</t>
  </si>
  <si>
    <t xml:space="preserve">001-408-933-42</t>
  </si>
  <si>
    <t xml:space="preserve">EMP0312</t>
  </si>
  <si>
    <t xml:space="preserve">Vicki Coleman</t>
  </si>
  <si>
    <t xml:space="preserve">rickjuarez@example.com</t>
  </si>
  <si>
    <t xml:space="preserve">271-382-7548</t>
  </si>
  <si>
    <t xml:space="preserve">EMP0313</t>
  </si>
  <si>
    <t xml:space="preserve">Kyle Collins</t>
  </si>
  <si>
    <t xml:space="preserve">aperez@example.com</t>
  </si>
  <si>
    <t xml:space="preserve">(431)875-2071x</t>
  </si>
  <si>
    <t xml:space="preserve">EMP0314</t>
  </si>
  <si>
    <t xml:space="preserve">Timothy Levine</t>
  </si>
  <si>
    <t xml:space="preserve">coxjames@example.org</t>
  </si>
  <si>
    <t xml:space="preserve">+1-961-836-749</t>
  </si>
  <si>
    <t xml:space="preserve">EMP0315</t>
  </si>
  <si>
    <t xml:space="preserve">Jesse Martinez</t>
  </si>
  <si>
    <t xml:space="preserve">ocrawford@example.org</t>
  </si>
  <si>
    <t xml:space="preserve">7104170269</t>
  </si>
  <si>
    <t xml:space="preserve">EMP0316</t>
  </si>
  <si>
    <t xml:space="preserve">Mary Meyer</t>
  </si>
  <si>
    <t xml:space="preserve">msparks@example.com</t>
  </si>
  <si>
    <t xml:space="preserve">+1-977-784-858</t>
  </si>
  <si>
    <t xml:space="preserve">EMP0317</t>
  </si>
  <si>
    <t xml:space="preserve">Christopher Hopkins</t>
  </si>
  <si>
    <t xml:space="preserve">nicole27@example.com</t>
  </si>
  <si>
    <t xml:space="preserve">(946)971-9788</t>
  </si>
  <si>
    <t xml:space="preserve">EMP0318</t>
  </si>
  <si>
    <t xml:space="preserve">Dennis Garza</t>
  </si>
  <si>
    <t xml:space="preserve">wjensen@example.com</t>
  </si>
  <si>
    <t xml:space="preserve">700-790-2559x0</t>
  </si>
  <si>
    <t xml:space="preserve">EMP0319</t>
  </si>
  <si>
    <t xml:space="preserve">David Collins</t>
  </si>
  <si>
    <t xml:space="preserve">lozanocameron@example.com</t>
  </si>
  <si>
    <t xml:space="preserve">852-608-5076</t>
  </si>
  <si>
    <t xml:space="preserve">EMP0320</t>
  </si>
  <si>
    <t xml:space="preserve">Eugene Hudson</t>
  </si>
  <si>
    <t xml:space="preserve">ashley71@example.net</t>
  </si>
  <si>
    <t xml:space="preserve">+1-535-678-529</t>
  </si>
  <si>
    <t xml:space="preserve">EMP0321</t>
  </si>
  <si>
    <t xml:space="preserve">Regina Weber</t>
  </si>
  <si>
    <t xml:space="preserve">robbinsbelinda@example.net</t>
  </si>
  <si>
    <t xml:space="preserve">741-598-7635x1</t>
  </si>
  <si>
    <t xml:space="preserve">EMP0322</t>
  </si>
  <si>
    <t xml:space="preserve">Megan Kelley</t>
  </si>
  <si>
    <t xml:space="preserve">burtonzachary@example.org</t>
  </si>
  <si>
    <t xml:space="preserve">001-273-574-89</t>
  </si>
  <si>
    <t xml:space="preserve">EMP0323</t>
  </si>
  <si>
    <t xml:space="preserve">Michael Evans</t>
  </si>
  <si>
    <t xml:space="preserve">ejenkins@example.net</t>
  </si>
  <si>
    <t xml:space="preserve">564.342.4936</t>
  </si>
  <si>
    <t xml:space="preserve">EMP0324</t>
  </si>
  <si>
    <t xml:space="preserve">Emily Washington</t>
  </si>
  <si>
    <t xml:space="preserve">chenderson@example.org</t>
  </si>
  <si>
    <t xml:space="preserve">(942)204-4820</t>
  </si>
  <si>
    <t xml:space="preserve">EMP0325</t>
  </si>
  <si>
    <t xml:space="preserve">Edward Brown</t>
  </si>
  <si>
    <t xml:space="preserve">qmosley@example.net</t>
  </si>
  <si>
    <t xml:space="preserve">662-931-9818</t>
  </si>
  <si>
    <t xml:space="preserve">EMP0326</t>
  </si>
  <si>
    <t xml:space="preserve">Robert Murphy</t>
  </si>
  <si>
    <t xml:space="preserve">vshaffer@example.org</t>
  </si>
  <si>
    <t xml:space="preserve">(732)312-3476x</t>
  </si>
  <si>
    <t xml:space="preserve">EMP0327</t>
  </si>
  <si>
    <t xml:space="preserve">Tracey Suarez</t>
  </si>
  <si>
    <t xml:space="preserve">michaelbaldwin@example.com</t>
  </si>
  <si>
    <t xml:space="preserve">7903034864</t>
  </si>
  <si>
    <t xml:space="preserve">EMP0328</t>
  </si>
  <si>
    <t xml:space="preserve">Adam Yu</t>
  </si>
  <si>
    <t xml:space="preserve">kevin34@example.org</t>
  </si>
  <si>
    <t xml:space="preserve">(875)760-4177</t>
  </si>
  <si>
    <t xml:space="preserve">EMP0329</t>
  </si>
  <si>
    <t xml:space="preserve">Samantha Hale</t>
  </si>
  <si>
    <t xml:space="preserve">bellcarrie@example.net</t>
  </si>
  <si>
    <t xml:space="preserve">001-357-300-27</t>
  </si>
  <si>
    <t xml:space="preserve">EMP0330</t>
  </si>
  <si>
    <t xml:space="preserve">Sandra Hines</t>
  </si>
  <si>
    <t xml:space="preserve">usparks@example.com</t>
  </si>
  <si>
    <t xml:space="preserve">824.529.5431x6</t>
  </si>
  <si>
    <t xml:space="preserve">EMP0331</t>
  </si>
  <si>
    <t xml:space="preserve">Lisa Perez</t>
  </si>
  <si>
    <t xml:space="preserve">mccannjames@example.net</t>
  </si>
  <si>
    <t xml:space="preserve">(706)496-9421</t>
  </si>
  <si>
    <t xml:space="preserve">EMP0332</t>
  </si>
  <si>
    <t xml:space="preserve">Jessica Mora</t>
  </si>
  <si>
    <t xml:space="preserve">fwilcox@example.org</t>
  </si>
  <si>
    <t xml:space="preserve">533.544.7626</t>
  </si>
  <si>
    <t xml:space="preserve">EMP0333</t>
  </si>
  <si>
    <t xml:space="preserve">Jennifer Ortiz</t>
  </si>
  <si>
    <t xml:space="preserve">anthonycherry@example.org</t>
  </si>
  <si>
    <t xml:space="preserve">+1-573-859-710</t>
  </si>
  <si>
    <t xml:space="preserve">EMP0334</t>
  </si>
  <si>
    <t xml:space="preserve">Brandon Brown</t>
  </si>
  <si>
    <t xml:space="preserve">sarah75@example.net</t>
  </si>
  <si>
    <t xml:space="preserve">+1-490-604-896</t>
  </si>
  <si>
    <t xml:space="preserve">EMP0335</t>
  </si>
  <si>
    <t xml:space="preserve">John Davis</t>
  </si>
  <si>
    <t xml:space="preserve">hthomas@example.com</t>
  </si>
  <si>
    <t xml:space="preserve">6277456449</t>
  </si>
  <si>
    <t xml:space="preserve">EMP0336</t>
  </si>
  <si>
    <t xml:space="preserve">Katherine Dodson</t>
  </si>
  <si>
    <t xml:space="preserve">jbrown@example.org</t>
  </si>
  <si>
    <t xml:space="preserve">920.274.2761</t>
  </si>
  <si>
    <t xml:space="preserve">EMP0337</t>
  </si>
  <si>
    <t xml:space="preserve">Judith Rodriguez</t>
  </si>
  <si>
    <t xml:space="preserve">daviddavis@example.com</t>
  </si>
  <si>
    <t xml:space="preserve">(428)849-9390</t>
  </si>
  <si>
    <t xml:space="preserve">EMP0338</t>
  </si>
  <si>
    <t xml:space="preserve">Mr. Gary Mitchell DVM</t>
  </si>
  <si>
    <t xml:space="preserve">longbrittany@example.org</t>
  </si>
  <si>
    <t xml:space="preserve">720-417-7749x0</t>
  </si>
  <si>
    <t xml:space="preserve">EMP0339</t>
  </si>
  <si>
    <t xml:space="preserve">Erica Brown</t>
  </si>
  <si>
    <t xml:space="preserve">paynecarrie@example.org</t>
  </si>
  <si>
    <t xml:space="preserve">(342)636-1032x</t>
  </si>
  <si>
    <t xml:space="preserve">EMP0340</t>
  </si>
  <si>
    <t xml:space="preserve">Emily Cohen</t>
  </si>
  <si>
    <t xml:space="preserve">michaeldavis@example.com</t>
  </si>
  <si>
    <t xml:space="preserve">437.876.7499x6</t>
  </si>
  <si>
    <t xml:space="preserve">EMP0341</t>
  </si>
  <si>
    <t xml:space="preserve">Valerie Rhodes</t>
  </si>
  <si>
    <t xml:space="preserve">sarahrose@example.net</t>
  </si>
  <si>
    <t xml:space="preserve">614.276.1742x2</t>
  </si>
  <si>
    <t xml:space="preserve">EMP0342</t>
  </si>
  <si>
    <t xml:space="preserve">Kayla Gutierrez</t>
  </si>
  <si>
    <t xml:space="preserve">kguerrero@example.com</t>
  </si>
  <si>
    <t xml:space="preserve">(349)818-0172x</t>
  </si>
  <si>
    <t xml:space="preserve">EMP0343</t>
  </si>
  <si>
    <t xml:space="preserve">Jordan Santiago</t>
  </si>
  <si>
    <t xml:space="preserve">matthew23@example.org</t>
  </si>
  <si>
    <t xml:space="preserve">394-216-8006</t>
  </si>
  <si>
    <t xml:space="preserve">EMP0344</t>
  </si>
  <si>
    <t xml:space="preserve">Sheila Church</t>
  </si>
  <si>
    <t xml:space="preserve">nturner@example.com</t>
  </si>
  <si>
    <t xml:space="preserve">001-564-912-20</t>
  </si>
  <si>
    <t xml:space="preserve">EMP0345</t>
  </si>
  <si>
    <t xml:space="preserve">Mark Tyler</t>
  </si>
  <si>
    <t xml:space="preserve">christophercarrillo@example.org</t>
  </si>
  <si>
    <t xml:space="preserve">560.612.2777x0</t>
  </si>
  <si>
    <t xml:space="preserve">EMP0346</t>
  </si>
  <si>
    <t xml:space="preserve">Adam Mccoy</t>
  </si>
  <si>
    <t xml:space="preserve">fpetty@example.net</t>
  </si>
  <si>
    <t xml:space="preserve">001-998-540-76</t>
  </si>
  <si>
    <t xml:space="preserve">EMP0347</t>
  </si>
  <si>
    <t xml:space="preserve">Ethan Brown</t>
  </si>
  <si>
    <t xml:space="preserve">hsmall@example.com</t>
  </si>
  <si>
    <t xml:space="preserve">+1-557-760-243</t>
  </si>
  <si>
    <t xml:space="preserve">EMP0348</t>
  </si>
  <si>
    <t xml:space="preserve">Julie Ware</t>
  </si>
  <si>
    <t xml:space="preserve">rmoyer@example.net</t>
  </si>
  <si>
    <t xml:space="preserve">001-957-329-34</t>
  </si>
  <si>
    <t xml:space="preserve">EMP0349</t>
  </si>
  <si>
    <t xml:space="preserve">David Hawkins DVM</t>
  </si>
  <si>
    <t xml:space="preserve">nicole52@example.org</t>
  </si>
  <si>
    <t xml:space="preserve">701.256.1931x8</t>
  </si>
  <si>
    <t xml:space="preserve">EMP0350</t>
  </si>
  <si>
    <t xml:space="preserve">Sarah Russo</t>
  </si>
  <si>
    <t xml:space="preserve">mccarthysara@example.com</t>
  </si>
  <si>
    <t xml:space="preserve">511.799.1808x1</t>
  </si>
  <si>
    <t xml:space="preserve">EMP0351</t>
  </si>
  <si>
    <t xml:space="preserve">Jonathan Oconnor</t>
  </si>
  <si>
    <t xml:space="preserve">mooremichael@example.org</t>
  </si>
  <si>
    <t xml:space="preserve">437-360-3754</t>
  </si>
  <si>
    <t xml:space="preserve">EMP0352</t>
  </si>
  <si>
    <t xml:space="preserve">Mark Sanchez</t>
  </si>
  <si>
    <t xml:space="preserve">icobb@example.com</t>
  </si>
  <si>
    <t xml:space="preserve">(867)485-0720x</t>
  </si>
  <si>
    <t xml:space="preserve">EMP0353</t>
  </si>
  <si>
    <t xml:space="preserve">Thomas Hernandez</t>
  </si>
  <si>
    <t xml:space="preserve">levinetina@example.net</t>
  </si>
  <si>
    <t xml:space="preserve">946.568.4550x4</t>
  </si>
  <si>
    <t xml:space="preserve">EMP0354</t>
  </si>
  <si>
    <t xml:space="preserve">Jessica Reed</t>
  </si>
  <si>
    <t xml:space="preserve">trowe@example.org</t>
  </si>
  <si>
    <t xml:space="preserve">3856628843</t>
  </si>
  <si>
    <t xml:space="preserve">EMP0355</t>
  </si>
  <si>
    <t xml:space="preserve">Alexis Hogan</t>
  </si>
  <si>
    <t xml:space="preserve">john46@example.net</t>
  </si>
  <si>
    <t xml:space="preserve">905-648-5101</t>
  </si>
  <si>
    <t xml:space="preserve">EMP0356</t>
  </si>
  <si>
    <t xml:space="preserve">David Reese</t>
  </si>
  <si>
    <t xml:space="preserve">michaelmitchell@example.net</t>
  </si>
  <si>
    <t xml:space="preserve">001-526-783-15</t>
  </si>
  <si>
    <t xml:space="preserve">EMP0357</t>
  </si>
  <si>
    <t xml:space="preserve">Jason Davis</t>
  </si>
  <si>
    <t xml:space="preserve">ebeasley@example.org</t>
  </si>
  <si>
    <t xml:space="preserve">815.986.9886x4</t>
  </si>
  <si>
    <t xml:space="preserve">EMP0358</t>
  </si>
  <si>
    <t xml:space="preserve">Jennifer Martin</t>
  </si>
  <si>
    <t xml:space="preserve">toddellis@example.net</t>
  </si>
  <si>
    <t xml:space="preserve">381.737.7028x5</t>
  </si>
  <si>
    <t xml:space="preserve">EMP0359</t>
  </si>
  <si>
    <t xml:space="preserve">Jacob Ritter</t>
  </si>
  <si>
    <t xml:space="preserve">kelly02@example.org</t>
  </si>
  <si>
    <t xml:space="preserve">001-360-744-32</t>
  </si>
  <si>
    <t xml:space="preserve">EMP0360</t>
  </si>
  <si>
    <t xml:space="preserve">Mr. Jesse Morgan</t>
  </si>
  <si>
    <t xml:space="preserve">ualvarez@example.net</t>
  </si>
  <si>
    <t xml:space="preserve">(828)877-7251</t>
  </si>
  <si>
    <t xml:space="preserve">EMP0361</t>
  </si>
  <si>
    <t xml:space="preserve">Tina Wu</t>
  </si>
  <si>
    <t xml:space="preserve">debbie20@example.net</t>
  </si>
  <si>
    <t xml:space="preserve">+1-548-918-139</t>
  </si>
  <si>
    <t xml:space="preserve">EMP0362</t>
  </si>
  <si>
    <t xml:space="preserve">Kim Rivers</t>
  </si>
  <si>
    <t xml:space="preserve">kristin39@example.com</t>
  </si>
  <si>
    <t xml:space="preserve">789-856-9070</t>
  </si>
  <si>
    <t xml:space="preserve">EMP0363</t>
  </si>
  <si>
    <t xml:space="preserve">Janet Davis</t>
  </si>
  <si>
    <t xml:space="preserve">weaverjustin@example.org</t>
  </si>
  <si>
    <t xml:space="preserve">612-846-2095x2</t>
  </si>
  <si>
    <t xml:space="preserve">EMP0364</t>
  </si>
  <si>
    <t xml:space="preserve">Deanna David</t>
  </si>
  <si>
    <t xml:space="preserve">williamsjohn@example.net</t>
  </si>
  <si>
    <t xml:space="preserve">001-737-988-61</t>
  </si>
  <si>
    <t xml:space="preserve">EMP0365</t>
  </si>
  <si>
    <t xml:space="preserve">Mark Mcintyre</t>
  </si>
  <si>
    <t xml:space="preserve">adamstabitha@example.net</t>
  </si>
  <si>
    <t xml:space="preserve">538-424-9671</t>
  </si>
  <si>
    <t xml:space="preserve">EMP0366</t>
  </si>
  <si>
    <t xml:space="preserve">Kimberly Henderson</t>
  </si>
  <si>
    <t xml:space="preserve">dwilliams@example.net</t>
  </si>
  <si>
    <t xml:space="preserve">620-207-4946x5</t>
  </si>
  <si>
    <t xml:space="preserve">EMP0367</t>
  </si>
  <si>
    <t xml:space="preserve">Brandon Hale</t>
  </si>
  <si>
    <t xml:space="preserve">jessicalutz@example.com</t>
  </si>
  <si>
    <t xml:space="preserve">798.755.4743</t>
  </si>
  <si>
    <t xml:space="preserve">EMP0368</t>
  </si>
  <si>
    <t xml:space="preserve">Thomas Anderson</t>
  </si>
  <si>
    <t xml:space="preserve">lynchadam@example.org</t>
  </si>
  <si>
    <t xml:space="preserve">+1-826-787-681</t>
  </si>
  <si>
    <t xml:space="preserve">EMP0369</t>
  </si>
  <si>
    <t xml:space="preserve">Victoria Martinez</t>
  </si>
  <si>
    <t xml:space="preserve">sharon70@example.org</t>
  </si>
  <si>
    <t xml:space="preserve">001-604-953-19</t>
  </si>
  <si>
    <t xml:space="preserve">EMP0370</t>
  </si>
  <si>
    <t xml:space="preserve">Craig Nicholson</t>
  </si>
  <si>
    <t xml:space="preserve">rrodriguez@example.net</t>
  </si>
  <si>
    <t xml:space="preserve">672.583.9992x1</t>
  </si>
  <si>
    <t xml:space="preserve">EMP0371</t>
  </si>
  <si>
    <t xml:space="preserve">Ryan Johnson</t>
  </si>
  <si>
    <t xml:space="preserve">erin70@example.com</t>
  </si>
  <si>
    <t xml:space="preserve">+1-505-266-418</t>
  </si>
  <si>
    <t xml:space="preserve">EMP0372</t>
  </si>
  <si>
    <t xml:space="preserve">Aaron Lee</t>
  </si>
  <si>
    <t xml:space="preserve">beardlindsey@example.net</t>
  </si>
  <si>
    <t xml:space="preserve">361.233.2541</t>
  </si>
  <si>
    <t xml:space="preserve">EMP0373</t>
  </si>
  <si>
    <t xml:space="preserve">Lori Cook</t>
  </si>
  <si>
    <t xml:space="preserve">john73@example.com</t>
  </si>
  <si>
    <t xml:space="preserve">9583319971</t>
  </si>
  <si>
    <t xml:space="preserve">EMP0374</t>
  </si>
  <si>
    <t xml:space="preserve">Erik Abbott</t>
  </si>
  <si>
    <t xml:space="preserve">pattonbryan@example.com</t>
  </si>
  <si>
    <t xml:space="preserve">6498611080</t>
  </si>
  <si>
    <t xml:space="preserve">EMP0375</t>
  </si>
  <si>
    <t xml:space="preserve">Sean Cobb</t>
  </si>
  <si>
    <t xml:space="preserve">chavezsteven@example.com</t>
  </si>
  <si>
    <t xml:space="preserve">+1-291-350-785</t>
  </si>
  <si>
    <t xml:space="preserve">EMP0376</t>
  </si>
  <si>
    <t xml:space="preserve">Beth Hicks</t>
  </si>
  <si>
    <t xml:space="preserve">robert97@example.org</t>
  </si>
  <si>
    <t xml:space="preserve">720.602.4968</t>
  </si>
  <si>
    <t xml:space="preserve">EMP0377</t>
  </si>
  <si>
    <t xml:space="preserve">John Morrison</t>
  </si>
  <si>
    <t xml:space="preserve">miguel08@example.net</t>
  </si>
  <si>
    <t xml:space="preserve">+1-520-938-806</t>
  </si>
  <si>
    <t xml:space="preserve">EMP0378</t>
  </si>
  <si>
    <t xml:space="preserve">Erin Lane</t>
  </si>
  <si>
    <t xml:space="preserve">christina65@example.org</t>
  </si>
  <si>
    <t xml:space="preserve">570-573-0337</t>
  </si>
  <si>
    <t xml:space="preserve">EMP0379</t>
  </si>
  <si>
    <t xml:space="preserve">Renee Bennett</t>
  </si>
  <si>
    <t xml:space="preserve">alopez@example.com</t>
  </si>
  <si>
    <t xml:space="preserve">5157081247</t>
  </si>
  <si>
    <t xml:space="preserve">EMP0380</t>
  </si>
  <si>
    <t xml:space="preserve">Christopher Mcclure</t>
  </si>
  <si>
    <t xml:space="preserve">matthewspencer@example.org</t>
  </si>
  <si>
    <t xml:space="preserve">702.541.0261</t>
  </si>
  <si>
    <t xml:space="preserve">EMP0381</t>
  </si>
  <si>
    <t xml:space="preserve">Mary Pugh</t>
  </si>
  <si>
    <t xml:space="preserve">ejohns@example.org</t>
  </si>
  <si>
    <t xml:space="preserve">(823)538-6559</t>
  </si>
  <si>
    <t xml:space="preserve">EMP0382</t>
  </si>
  <si>
    <t xml:space="preserve">Sarah Phillips</t>
  </si>
  <si>
    <t xml:space="preserve">markbrown@example.com</t>
  </si>
  <si>
    <t xml:space="preserve">(489)873-1791</t>
  </si>
  <si>
    <t xml:space="preserve">EMP0383</t>
  </si>
  <si>
    <t xml:space="preserve">Kathleen Marshall</t>
  </si>
  <si>
    <t xml:space="preserve">jennifer87@example.net</t>
  </si>
  <si>
    <t xml:space="preserve">574.696.9033x3</t>
  </si>
  <si>
    <t xml:space="preserve">EMP0384</t>
  </si>
  <si>
    <t xml:space="preserve">Ryan Scott</t>
  </si>
  <si>
    <t xml:space="preserve">taylorchristopher@example.com</t>
  </si>
  <si>
    <t xml:space="preserve">753.990.7895x6</t>
  </si>
  <si>
    <t xml:space="preserve">EMP0385</t>
  </si>
  <si>
    <t xml:space="preserve">David Brewer</t>
  </si>
  <si>
    <t xml:space="preserve">rachel48@example.net</t>
  </si>
  <si>
    <t xml:space="preserve">+1-514-731-115</t>
  </si>
  <si>
    <t xml:space="preserve">EMP0386</t>
  </si>
  <si>
    <t xml:space="preserve">Robert Sutton</t>
  </si>
  <si>
    <t xml:space="preserve">james92@example.net</t>
  </si>
  <si>
    <t xml:space="preserve">001-484-804-45</t>
  </si>
  <si>
    <t xml:space="preserve">EMP0387</t>
  </si>
  <si>
    <t xml:space="preserve">David Matthews</t>
  </si>
  <si>
    <t xml:space="preserve">dsharp@example.com</t>
  </si>
  <si>
    <t xml:space="preserve">253-766-3778</t>
  </si>
  <si>
    <t xml:space="preserve">EMP0388</t>
  </si>
  <si>
    <t xml:space="preserve">Oscar Porter</t>
  </si>
  <si>
    <t xml:space="preserve">matthew66@example.net</t>
  </si>
  <si>
    <t xml:space="preserve">001-868-845-90</t>
  </si>
  <si>
    <t xml:space="preserve">EMP0389</t>
  </si>
  <si>
    <t xml:space="preserve">Chelsea Rodriguez</t>
  </si>
  <si>
    <t xml:space="preserve">tfowler@example.org</t>
  </si>
  <si>
    <t xml:space="preserve">(518)320-9702</t>
  </si>
  <si>
    <t xml:space="preserve">EMP0390</t>
  </si>
  <si>
    <t xml:space="preserve">Eddie Warren</t>
  </si>
  <si>
    <t xml:space="preserve">hbrown@example.org</t>
  </si>
  <si>
    <t xml:space="preserve">(956)362-1286</t>
  </si>
  <si>
    <t xml:space="preserve">EMP0391</t>
  </si>
  <si>
    <t xml:space="preserve">Seth Collins</t>
  </si>
  <si>
    <t xml:space="preserve">kmoore@example.com</t>
  </si>
  <si>
    <t xml:space="preserve">001-338-874-30</t>
  </si>
  <si>
    <t xml:space="preserve">EMP0392</t>
  </si>
  <si>
    <t xml:space="preserve">Keith Henry</t>
  </si>
  <si>
    <t xml:space="preserve">vjohnston@example.org</t>
  </si>
  <si>
    <t xml:space="preserve">875-446-9263x2</t>
  </si>
  <si>
    <t xml:space="preserve">EMP0393</t>
  </si>
  <si>
    <t xml:space="preserve">Amanda Mcclure</t>
  </si>
  <si>
    <t xml:space="preserve">joshuafuller@example.com</t>
  </si>
  <si>
    <t xml:space="preserve">+1-413-676-815</t>
  </si>
  <si>
    <t xml:space="preserve">EMP0394</t>
  </si>
  <si>
    <t xml:space="preserve">Mark Lowe</t>
  </si>
  <si>
    <t xml:space="preserve">vjames@example.com</t>
  </si>
  <si>
    <t xml:space="preserve">960.904.1257</t>
  </si>
  <si>
    <t xml:space="preserve">EMP0395</t>
  </si>
  <si>
    <t xml:space="preserve">Travis Taylor</t>
  </si>
  <si>
    <t xml:space="preserve">mckenzie20@example.net</t>
  </si>
  <si>
    <t xml:space="preserve">624-418-6210</t>
  </si>
  <si>
    <t xml:space="preserve">EMP0396</t>
  </si>
  <si>
    <t xml:space="preserve">Stephanie Patel</t>
  </si>
  <si>
    <t xml:space="preserve">ohorton@example.net</t>
  </si>
  <si>
    <t xml:space="preserve">+1-516-547-090</t>
  </si>
  <si>
    <t xml:space="preserve">EMP0397</t>
  </si>
  <si>
    <t xml:space="preserve">Gabrielle Lee DDS</t>
  </si>
  <si>
    <t xml:space="preserve">susandavis@example.net</t>
  </si>
  <si>
    <t xml:space="preserve">(520)568-1558</t>
  </si>
  <si>
    <t xml:space="preserve">EMP0398</t>
  </si>
  <si>
    <t xml:space="preserve">David Rodriguez</t>
  </si>
  <si>
    <t xml:space="preserve">glenn65@example.org</t>
  </si>
  <si>
    <t xml:space="preserve">(937)331-4950x</t>
  </si>
  <si>
    <t xml:space="preserve">EMP0399</t>
  </si>
  <si>
    <t xml:space="preserve">Laura King</t>
  </si>
  <si>
    <t xml:space="preserve">greenetina@example.net</t>
  </si>
  <si>
    <t xml:space="preserve">(525)225-7150x</t>
  </si>
  <si>
    <t xml:space="preserve">EMP0400</t>
  </si>
  <si>
    <t xml:space="preserve">Ellen Rojas</t>
  </si>
  <si>
    <t xml:space="preserve">christinebrown@example.com</t>
  </si>
  <si>
    <t xml:space="preserve">743.226.3039x7</t>
  </si>
  <si>
    <t xml:space="preserve">EMP0401</t>
  </si>
  <si>
    <t xml:space="preserve">Donna Johnson</t>
  </si>
  <si>
    <t xml:space="preserve">matthew38@example.org</t>
  </si>
  <si>
    <t xml:space="preserve">+1-233-496-852</t>
  </si>
  <si>
    <t xml:space="preserve">EMP0402</t>
  </si>
  <si>
    <t xml:space="preserve">Joshua Pope</t>
  </si>
  <si>
    <t xml:space="preserve">joelmiller@example.net</t>
  </si>
  <si>
    <t xml:space="preserve">942.533.6293x4</t>
  </si>
  <si>
    <t xml:space="preserve">EMP0403</t>
  </si>
  <si>
    <t xml:space="preserve">William Sanders</t>
  </si>
  <si>
    <t xml:space="preserve">thomashenderson@example.net</t>
  </si>
  <si>
    <t xml:space="preserve">001-462-670-66</t>
  </si>
  <si>
    <t xml:space="preserve">EMP0404</t>
  </si>
  <si>
    <t xml:space="preserve">Justin Castillo</t>
  </si>
  <si>
    <t xml:space="preserve">derrick73@example.org</t>
  </si>
  <si>
    <t xml:space="preserve">700.885.7666</t>
  </si>
  <si>
    <t xml:space="preserve">EMP0405</t>
  </si>
  <si>
    <t xml:space="preserve">Jennifer Williams</t>
  </si>
  <si>
    <t xml:space="preserve">cruzariel@example.org</t>
  </si>
  <si>
    <t xml:space="preserve">001-764-258-75</t>
  </si>
  <si>
    <t xml:space="preserve">EMP0406</t>
  </si>
  <si>
    <t xml:space="preserve">Jesus Becker</t>
  </si>
  <si>
    <t xml:space="preserve">john92@example.org</t>
  </si>
  <si>
    <t xml:space="preserve">416-869-1836</t>
  </si>
  <si>
    <t xml:space="preserve">EMP0407</t>
  </si>
  <si>
    <t xml:space="preserve">Mary Reyes</t>
  </si>
  <si>
    <t xml:space="preserve">jessica11@example.net</t>
  </si>
  <si>
    <t xml:space="preserve">001-952-243-64</t>
  </si>
  <si>
    <t xml:space="preserve">EMP0408</t>
  </si>
  <si>
    <t xml:space="preserve">Jason Roberts</t>
  </si>
  <si>
    <t xml:space="preserve">xjackson@example.org</t>
  </si>
  <si>
    <t xml:space="preserve">001-223-472-81</t>
  </si>
  <si>
    <t xml:space="preserve">EMP0409</t>
  </si>
  <si>
    <t xml:space="preserve">Dr. Jessica Durham</t>
  </si>
  <si>
    <t xml:space="preserve">oneillgabriel@example.com</t>
  </si>
  <si>
    <t xml:space="preserve">961-941-5093</t>
  </si>
  <si>
    <t xml:space="preserve">EMP0410</t>
  </si>
  <si>
    <t xml:space="preserve">Paul Smith</t>
  </si>
  <si>
    <t xml:space="preserve">davisalexa@example.org</t>
  </si>
  <si>
    <t xml:space="preserve">(598)747-7596x</t>
  </si>
  <si>
    <t xml:space="preserve">EMP0411</t>
  </si>
  <si>
    <t xml:space="preserve">Henry Rivera</t>
  </si>
  <si>
    <t xml:space="preserve">smithmonica@example.com</t>
  </si>
  <si>
    <t xml:space="preserve">001-820-591-84</t>
  </si>
  <si>
    <t xml:space="preserve">EMP0412</t>
  </si>
  <si>
    <t xml:space="preserve">Erica Schultz</t>
  </si>
  <si>
    <t xml:space="preserve">montesjill@example.net</t>
  </si>
  <si>
    <t xml:space="preserve">639.576.9156x7</t>
  </si>
  <si>
    <t xml:space="preserve">EMP0413</t>
  </si>
  <si>
    <t xml:space="preserve">Rachel Moran</t>
  </si>
  <si>
    <t xml:space="preserve">andersonlaura@example.com</t>
  </si>
  <si>
    <t xml:space="preserve">+1-887-227-178</t>
  </si>
  <si>
    <t xml:space="preserve">EMP0414</t>
  </si>
  <si>
    <t xml:space="preserve">Pamela Robinson</t>
  </si>
  <si>
    <t xml:space="preserve">elizabeth12@example.net</t>
  </si>
  <si>
    <t xml:space="preserve">+1-571-553-991</t>
  </si>
  <si>
    <t xml:space="preserve">EMP0415</t>
  </si>
  <si>
    <t xml:space="preserve">Gerald Vargas</t>
  </si>
  <si>
    <t xml:space="preserve">juliewilson@example.com</t>
  </si>
  <si>
    <t xml:space="preserve">(556)890-4098</t>
  </si>
  <si>
    <t xml:space="preserve">EMP0416</t>
  </si>
  <si>
    <t xml:space="preserve">Michael Hogan</t>
  </si>
  <si>
    <t xml:space="preserve">danielsmith@example.com</t>
  </si>
  <si>
    <t xml:space="preserve">324-637-7294x2</t>
  </si>
  <si>
    <t xml:space="preserve">EMP0417</t>
  </si>
  <si>
    <t xml:space="preserve">Ronald Simpson</t>
  </si>
  <si>
    <t xml:space="preserve">zbrown@example.com</t>
  </si>
  <si>
    <t xml:space="preserve">(233)802-7642</t>
  </si>
  <si>
    <t xml:space="preserve">EMP0418</t>
  </si>
  <si>
    <t xml:space="preserve">Norma Myers DDS</t>
  </si>
  <si>
    <t xml:space="preserve">justin38@example.com</t>
  </si>
  <si>
    <t xml:space="preserve">425-990-4729</t>
  </si>
  <si>
    <t xml:space="preserve">EMP0419</t>
  </si>
  <si>
    <t xml:space="preserve">Daniel Goodman</t>
  </si>
  <si>
    <t xml:space="preserve">coxmelissa@example.org</t>
  </si>
  <si>
    <t xml:space="preserve">+1-826-462-015</t>
  </si>
  <si>
    <t xml:space="preserve">EMP0420</t>
  </si>
  <si>
    <t xml:space="preserve">David Burns</t>
  </si>
  <si>
    <t xml:space="preserve">denisebennett@example.net</t>
  </si>
  <si>
    <t xml:space="preserve">+1-517-264-750</t>
  </si>
  <si>
    <t xml:space="preserve">EMP0421</t>
  </si>
  <si>
    <t xml:space="preserve">Michael Davis</t>
  </si>
  <si>
    <t xml:space="preserve">patrickcooke@example.net</t>
  </si>
  <si>
    <t xml:space="preserve">(949)321-5182x</t>
  </si>
  <si>
    <t xml:space="preserve">EMP0422</t>
  </si>
  <si>
    <t xml:space="preserve">Rachel Martinez</t>
  </si>
  <si>
    <t xml:space="preserve">tammymerritt@example.org</t>
  </si>
  <si>
    <t xml:space="preserve">+1-320-687-510</t>
  </si>
  <si>
    <t xml:space="preserve">EMP0423</t>
  </si>
  <si>
    <t xml:space="preserve">Katie Cox</t>
  </si>
  <si>
    <t xml:space="preserve">rodneylandry@example.org</t>
  </si>
  <si>
    <t xml:space="preserve">940.784.8729</t>
  </si>
  <si>
    <t xml:space="preserve">EMP0424</t>
  </si>
  <si>
    <t xml:space="preserve">Joshua Clark</t>
  </si>
  <si>
    <t xml:space="preserve">batesbradley@example.org</t>
  </si>
  <si>
    <t xml:space="preserve">724.632.9839</t>
  </si>
  <si>
    <t xml:space="preserve">EMP0425</t>
  </si>
  <si>
    <t xml:space="preserve">David James</t>
  </si>
  <si>
    <t xml:space="preserve">ricardomiller@example.com</t>
  </si>
  <si>
    <t xml:space="preserve">+1-462-783-143</t>
  </si>
  <si>
    <t xml:space="preserve">EMP0426</t>
  </si>
  <si>
    <t xml:space="preserve">Larry Jones</t>
  </si>
  <si>
    <t xml:space="preserve">schmidtgabriella@example.com</t>
  </si>
  <si>
    <t xml:space="preserve">251-355-4234</t>
  </si>
  <si>
    <t xml:space="preserve">EMP0427</t>
  </si>
  <si>
    <t xml:space="preserve">Brian Frost</t>
  </si>
  <si>
    <t xml:space="preserve">alishahutchinson@example.net</t>
  </si>
  <si>
    <t xml:space="preserve">818.459.4849x1</t>
  </si>
  <si>
    <t xml:space="preserve">EMP0428</t>
  </si>
  <si>
    <t xml:space="preserve">Kim Wheeler</t>
  </si>
  <si>
    <t xml:space="preserve">iwoods@example.com</t>
  </si>
  <si>
    <t xml:space="preserve">7825226940</t>
  </si>
  <si>
    <t xml:space="preserve">EMP0429</t>
  </si>
  <si>
    <t xml:space="preserve">Jeffrey Gomez</t>
  </si>
  <si>
    <t xml:space="preserve">rshaw@example.com</t>
  </si>
  <si>
    <t xml:space="preserve">234.314.6511x1</t>
  </si>
  <si>
    <t xml:space="preserve">EMP0430</t>
  </si>
  <si>
    <t xml:space="preserve">Shannon Hayden MD</t>
  </si>
  <si>
    <t xml:space="preserve">timothyrobertson@example.net</t>
  </si>
  <si>
    <t xml:space="preserve">+1-716-509-306</t>
  </si>
  <si>
    <t xml:space="preserve">EMP0431</t>
  </si>
  <si>
    <t xml:space="preserve">Yvonne Duffy</t>
  </si>
  <si>
    <t xml:space="preserve">lawsontami@example.net</t>
  </si>
  <si>
    <t xml:space="preserve">001-783-321-52</t>
  </si>
  <si>
    <t xml:space="preserve">EMP0432</t>
  </si>
  <si>
    <t xml:space="preserve">Sarah Hodge</t>
  </si>
  <si>
    <t xml:space="preserve">kevin44@example.org</t>
  </si>
  <si>
    <t xml:space="preserve">9962348079</t>
  </si>
  <si>
    <t xml:space="preserve">EMP0433</t>
  </si>
  <si>
    <t xml:space="preserve">Hector Smith</t>
  </si>
  <si>
    <t xml:space="preserve">richardsmith@example.com</t>
  </si>
  <si>
    <t xml:space="preserve">931.888.2617x0</t>
  </si>
  <si>
    <t xml:space="preserve">EMP0434</t>
  </si>
  <si>
    <t xml:space="preserve">Kimberly Adams</t>
  </si>
  <si>
    <t xml:space="preserve">cdouglas@example.org</t>
  </si>
  <si>
    <t xml:space="preserve">(256)405-3134</t>
  </si>
  <si>
    <t xml:space="preserve">EMP0435</t>
  </si>
  <si>
    <t xml:space="preserve">Caitlin Gonzalez</t>
  </si>
  <si>
    <t xml:space="preserve">rmoyer@example.org</t>
  </si>
  <si>
    <t xml:space="preserve">(478)772-5686x</t>
  </si>
  <si>
    <t xml:space="preserve">EMP0436</t>
  </si>
  <si>
    <t xml:space="preserve">Michael Peterson</t>
  </si>
  <si>
    <t xml:space="preserve">hamiltonkeith@example.com</t>
  </si>
  <si>
    <t xml:space="preserve">363-692-8234</t>
  </si>
  <si>
    <t xml:space="preserve">EMP0437</t>
  </si>
  <si>
    <t xml:space="preserve">Christina Mccarthy</t>
  </si>
  <si>
    <t xml:space="preserve">hayneswayne@example.org</t>
  </si>
  <si>
    <t xml:space="preserve">592.431.2604</t>
  </si>
  <si>
    <t xml:space="preserve">EMP0438</t>
  </si>
  <si>
    <t xml:space="preserve">Anthony Russell</t>
  </si>
  <si>
    <t xml:space="preserve">isabel33@example.com</t>
  </si>
  <si>
    <t xml:space="preserve">(770)286-0414x</t>
  </si>
  <si>
    <t xml:space="preserve">EMP0439</t>
  </si>
  <si>
    <t xml:space="preserve">Erica Mitchell</t>
  </si>
  <si>
    <t xml:space="preserve">rebekah16@example.org</t>
  </si>
  <si>
    <t xml:space="preserve">775-754-1108x2</t>
  </si>
  <si>
    <t xml:space="preserve">EMP0440</t>
  </si>
  <si>
    <t xml:space="preserve">Anita Rodriguez</t>
  </si>
  <si>
    <t xml:space="preserve">williamstanya@example.net</t>
  </si>
  <si>
    <t xml:space="preserve">937.511.8954</t>
  </si>
  <si>
    <t xml:space="preserve">EMP0441</t>
  </si>
  <si>
    <t xml:space="preserve">Jason Dawson</t>
  </si>
  <si>
    <t xml:space="preserve">patricia71@example.com</t>
  </si>
  <si>
    <t xml:space="preserve">476-688-0294</t>
  </si>
  <si>
    <t xml:space="preserve">EMP0442</t>
  </si>
  <si>
    <t xml:space="preserve">Melissa Yang</t>
  </si>
  <si>
    <t xml:space="preserve">isimpson@example.net</t>
  </si>
  <si>
    <t xml:space="preserve">627-586-8669</t>
  </si>
  <si>
    <t xml:space="preserve">EMP0443</t>
  </si>
  <si>
    <t xml:space="preserve">Michael Suarez</t>
  </si>
  <si>
    <t xml:space="preserve">ugordon@example.net</t>
  </si>
  <si>
    <t xml:space="preserve">643-244-8123x0</t>
  </si>
  <si>
    <t xml:space="preserve">EMP0444</t>
  </si>
  <si>
    <t xml:space="preserve">Casey Marks</t>
  </si>
  <si>
    <t xml:space="preserve">dayjohn@example.org</t>
  </si>
  <si>
    <t xml:space="preserve">+1-610-459-551</t>
  </si>
  <si>
    <t xml:space="preserve">EMP0445</t>
  </si>
  <si>
    <t xml:space="preserve">Anthony Cabrera</t>
  </si>
  <si>
    <t xml:space="preserve">jeffrey42@example.com</t>
  </si>
  <si>
    <t xml:space="preserve">9895164983</t>
  </si>
  <si>
    <t xml:space="preserve">EMP0446</t>
  </si>
  <si>
    <t xml:space="preserve">Shannon Foster</t>
  </si>
  <si>
    <t xml:space="preserve">uhall@example.com</t>
  </si>
  <si>
    <t xml:space="preserve">(427)617-2722x</t>
  </si>
  <si>
    <t xml:space="preserve">EMP0447</t>
  </si>
  <si>
    <t xml:space="preserve">James Franklin</t>
  </si>
  <si>
    <t xml:space="preserve">thomasronald@example.com</t>
  </si>
  <si>
    <t xml:space="preserve">+1-261-482-091</t>
  </si>
  <si>
    <t xml:space="preserve">EMP0448</t>
  </si>
  <si>
    <t xml:space="preserve">Mark Smith</t>
  </si>
  <si>
    <t xml:space="preserve">rosariodaniel@example.net</t>
  </si>
  <si>
    <t xml:space="preserve">613-327-9724x5</t>
  </si>
  <si>
    <t xml:space="preserve">EMP0449</t>
  </si>
  <si>
    <t xml:space="preserve">Ashley Tanner</t>
  </si>
  <si>
    <t xml:space="preserve">othomas@example.org</t>
  </si>
  <si>
    <t xml:space="preserve">966.425.4361</t>
  </si>
  <si>
    <t xml:space="preserve">EMP0450</t>
  </si>
  <si>
    <t xml:space="preserve">Diane Jones</t>
  </si>
  <si>
    <t xml:space="preserve">david10@example.net</t>
  </si>
  <si>
    <t xml:space="preserve">(626)685-9262</t>
  </si>
  <si>
    <t xml:space="preserve">EMP0451</t>
  </si>
  <si>
    <t xml:space="preserve">Mary Cantu</t>
  </si>
  <si>
    <t xml:space="preserve">mccormickmichelle@example.org</t>
  </si>
  <si>
    <t xml:space="preserve">001-725-426-77</t>
  </si>
  <si>
    <t xml:space="preserve">EMP0452</t>
  </si>
  <si>
    <t xml:space="preserve">Jeff Steele</t>
  </si>
  <si>
    <t xml:space="preserve">oguzman@example.com</t>
  </si>
  <si>
    <t xml:space="preserve">(536)868-7887</t>
  </si>
  <si>
    <t xml:space="preserve">EMP0453</t>
  </si>
  <si>
    <t xml:space="preserve">Paula Shepherd</t>
  </si>
  <si>
    <t xml:space="preserve">jacquelineyoung@example.org</t>
  </si>
  <si>
    <t xml:space="preserve">705.487.2105</t>
  </si>
  <si>
    <t xml:space="preserve">EMP0454</t>
  </si>
  <si>
    <t xml:space="preserve">Valerie Durham</t>
  </si>
  <si>
    <t xml:space="preserve">jasonwalker@example.net</t>
  </si>
  <si>
    <t xml:space="preserve">(312)960-6501</t>
  </si>
  <si>
    <t xml:space="preserve">EMP0455</t>
  </si>
  <si>
    <t xml:space="preserve">Jacob Miller</t>
  </si>
  <si>
    <t xml:space="preserve">smithmariah@example.com</t>
  </si>
  <si>
    <t xml:space="preserve">(927)228-4765</t>
  </si>
  <si>
    <t xml:space="preserve">EMP0456</t>
  </si>
  <si>
    <t xml:space="preserve">Amanda Potter</t>
  </si>
  <si>
    <t xml:space="preserve">alexwall@example.net</t>
  </si>
  <si>
    <t xml:space="preserve">884.498.4362x4</t>
  </si>
  <si>
    <t xml:space="preserve">EMP0457</t>
  </si>
  <si>
    <t xml:space="preserve">James Carson</t>
  </si>
  <si>
    <t xml:space="preserve">velasqueztaylor@example.com</t>
  </si>
  <si>
    <t xml:space="preserve">+1-766-220-563</t>
  </si>
  <si>
    <t xml:space="preserve">EMP0458</t>
  </si>
  <si>
    <t xml:space="preserve">Daniel Smith</t>
  </si>
  <si>
    <t xml:space="preserve">jacob30@example.org</t>
  </si>
  <si>
    <t xml:space="preserve">219-790-9700x5</t>
  </si>
  <si>
    <t xml:space="preserve">EMP0459</t>
  </si>
  <si>
    <t xml:space="preserve">Emily Myers</t>
  </si>
  <si>
    <t xml:space="preserve">terri15@example.com</t>
  </si>
  <si>
    <t xml:space="preserve">001-481-982-09</t>
  </si>
  <si>
    <t xml:space="preserve">EMP0460</t>
  </si>
  <si>
    <t xml:space="preserve">Crystal Lewis</t>
  </si>
  <si>
    <t xml:space="preserve">kaylamartin@example.net</t>
  </si>
  <si>
    <t xml:space="preserve">598.357.2545x9</t>
  </si>
  <si>
    <t xml:space="preserve">EMP0461</t>
  </si>
  <si>
    <t xml:space="preserve">Anne Smith PhD</t>
  </si>
  <si>
    <t xml:space="preserve">amy17@example.org</t>
  </si>
  <si>
    <t xml:space="preserve">452.942.1495x5</t>
  </si>
  <si>
    <t xml:space="preserve">EMP0462</t>
  </si>
  <si>
    <t xml:space="preserve">Shawn Santos</t>
  </si>
  <si>
    <t xml:space="preserve">shelbybonilla@example.com</t>
  </si>
  <si>
    <t xml:space="preserve">7547669275</t>
  </si>
  <si>
    <t xml:space="preserve">EMP0463</t>
  </si>
  <si>
    <t xml:space="preserve">Shawn Esparza</t>
  </si>
  <si>
    <t xml:space="preserve">oliverdawn@example.net</t>
  </si>
  <si>
    <t xml:space="preserve">880.321.4629</t>
  </si>
  <si>
    <t xml:space="preserve">EMP0464</t>
  </si>
  <si>
    <t xml:space="preserve">Hannah Mcdonald</t>
  </si>
  <si>
    <t xml:space="preserve">lrodriguez@example.net</t>
  </si>
  <si>
    <t xml:space="preserve">966-536-5155</t>
  </si>
  <si>
    <t xml:space="preserve">EMP0465</t>
  </si>
  <si>
    <t xml:space="preserve">Andrew Moore</t>
  </si>
  <si>
    <t xml:space="preserve">nthomas@example.com</t>
  </si>
  <si>
    <t xml:space="preserve">001-209-560-56</t>
  </si>
  <si>
    <t xml:space="preserve">EMP0466</t>
  </si>
  <si>
    <t xml:space="preserve">Debra Reid</t>
  </si>
  <si>
    <t xml:space="preserve">thomasjoshua@example.org</t>
  </si>
  <si>
    <t xml:space="preserve">576-783-4201x6</t>
  </si>
  <si>
    <t xml:space="preserve">EMP0467</t>
  </si>
  <si>
    <t xml:space="preserve">Rachel Sheppard</t>
  </si>
  <si>
    <t xml:space="preserve">sgomez@example.net</t>
  </si>
  <si>
    <t xml:space="preserve">(908)493-1992x</t>
  </si>
  <si>
    <t xml:space="preserve">EMP0468</t>
  </si>
  <si>
    <t xml:space="preserve">Megan Baker</t>
  </si>
  <si>
    <t xml:space="preserve">mcneilsherry@example.org</t>
  </si>
  <si>
    <t xml:space="preserve">+1-779-510-336</t>
  </si>
  <si>
    <t xml:space="preserve">EMP0469</t>
  </si>
  <si>
    <t xml:space="preserve">Alexis Cervantes</t>
  </si>
  <si>
    <t xml:space="preserve">turnerkurt@example.org</t>
  </si>
  <si>
    <t xml:space="preserve">001-477-966-55</t>
  </si>
  <si>
    <t xml:space="preserve">EMP0470</t>
  </si>
  <si>
    <t xml:space="preserve">Kimberly James</t>
  </si>
  <si>
    <t xml:space="preserve">swalters@example.net</t>
  </si>
  <si>
    <t xml:space="preserve">311-910-9617</t>
  </si>
  <si>
    <t xml:space="preserve">EMP0471</t>
  </si>
  <si>
    <t xml:space="preserve">Sarah Lewis</t>
  </si>
  <si>
    <t xml:space="preserve">harnold@example.org</t>
  </si>
  <si>
    <t xml:space="preserve">615.876.6053x8</t>
  </si>
  <si>
    <t xml:space="preserve">EMP0472</t>
  </si>
  <si>
    <t xml:space="preserve">Amanda Johnson</t>
  </si>
  <si>
    <t xml:space="preserve">mary89@example.com</t>
  </si>
  <si>
    <t xml:space="preserve">829-463-8639x6</t>
  </si>
  <si>
    <t xml:space="preserve">EMP0473</t>
  </si>
  <si>
    <t xml:space="preserve">David Mckinney</t>
  </si>
  <si>
    <t xml:space="preserve">williamwelch@example.com</t>
  </si>
  <si>
    <t xml:space="preserve">001-348-825-31</t>
  </si>
  <si>
    <t xml:space="preserve">EMP0474</t>
  </si>
  <si>
    <t xml:space="preserve">Miss Paula Lopez</t>
  </si>
  <si>
    <t xml:space="preserve">kennethnichols@example.org</t>
  </si>
  <si>
    <t xml:space="preserve">001-364-304-12</t>
  </si>
  <si>
    <t xml:space="preserve">EMP0475</t>
  </si>
  <si>
    <t xml:space="preserve">Billy Kirk</t>
  </si>
  <si>
    <t xml:space="preserve">peterhenry@example.org</t>
  </si>
  <si>
    <t xml:space="preserve">(217)313-6657x</t>
  </si>
  <si>
    <t xml:space="preserve">EMP0476</t>
  </si>
  <si>
    <t xml:space="preserve">Mr. Joshua Moore</t>
  </si>
  <si>
    <t xml:space="preserve">sara39@example.org</t>
  </si>
  <si>
    <t xml:space="preserve">+1-208-782-351</t>
  </si>
  <si>
    <t xml:space="preserve">EMP0477</t>
  </si>
  <si>
    <t xml:space="preserve">Beth Hill</t>
  </si>
  <si>
    <t xml:space="preserve">stephaniebailey@example.net</t>
  </si>
  <si>
    <t xml:space="preserve">+1-347-676-863</t>
  </si>
  <si>
    <t xml:space="preserve">EMP0478</t>
  </si>
  <si>
    <t xml:space="preserve">Jessica Griffin</t>
  </si>
  <si>
    <t xml:space="preserve">lisa91@example.net</t>
  </si>
  <si>
    <t xml:space="preserve">(863)695-5172x</t>
  </si>
  <si>
    <t xml:space="preserve">EMP0479</t>
  </si>
  <si>
    <t xml:space="preserve">Kerry Sanders</t>
  </si>
  <si>
    <t xml:space="preserve">whitemarcus@example.org</t>
  </si>
  <si>
    <t xml:space="preserve">(731)535-5251x</t>
  </si>
  <si>
    <t xml:space="preserve">EMP0480</t>
  </si>
  <si>
    <t xml:space="preserve">Kristina Cruz</t>
  </si>
  <si>
    <t xml:space="preserve">alisongarcia@example.com</t>
  </si>
  <si>
    <t xml:space="preserve">001-991-296-65</t>
  </si>
  <si>
    <t xml:space="preserve">EMP0481</t>
  </si>
  <si>
    <t xml:space="preserve">Christopher Murphy</t>
  </si>
  <si>
    <t xml:space="preserve">byoung@example.com</t>
  </si>
  <si>
    <t xml:space="preserve">2907742608</t>
  </si>
  <si>
    <t xml:space="preserve">EMP0482</t>
  </si>
  <si>
    <t xml:space="preserve">logan56@example.org</t>
  </si>
  <si>
    <t xml:space="preserve">+1-357-790-647</t>
  </si>
  <si>
    <t xml:space="preserve">EMP0483</t>
  </si>
  <si>
    <t xml:space="preserve">Roger Taylor</t>
  </si>
  <si>
    <t xml:space="preserve">michelle63@example.org</t>
  </si>
  <si>
    <t xml:space="preserve">235-680-0401</t>
  </si>
  <si>
    <t xml:space="preserve">EMP0484</t>
  </si>
  <si>
    <t xml:space="preserve">Robin Nelson</t>
  </si>
  <si>
    <t xml:space="preserve">sarasilva@example.org</t>
  </si>
  <si>
    <t xml:space="preserve">(552)996-7188</t>
  </si>
  <si>
    <t xml:space="preserve">EMP0485</t>
  </si>
  <si>
    <t xml:space="preserve">Nicholas Perez</t>
  </si>
  <si>
    <t xml:space="preserve">katie15@example.net</t>
  </si>
  <si>
    <t xml:space="preserve">931.817.0303</t>
  </si>
  <si>
    <t xml:space="preserve">EMP0486</t>
  </si>
  <si>
    <t xml:space="preserve">Kevin Rose</t>
  </si>
  <si>
    <t xml:space="preserve">kathleen47@example.net</t>
  </si>
  <si>
    <t xml:space="preserve">(581)823-5679</t>
  </si>
  <si>
    <t xml:space="preserve">EMP0487</t>
  </si>
  <si>
    <t xml:space="preserve">Eric Kane</t>
  </si>
  <si>
    <t xml:space="preserve">thomasnancy@example.net</t>
  </si>
  <si>
    <t xml:space="preserve">930-772-4078</t>
  </si>
  <si>
    <t xml:space="preserve">EMP0488</t>
  </si>
  <si>
    <t xml:space="preserve">Jeffrey Hernandez</t>
  </si>
  <si>
    <t xml:space="preserve">dromero@example.com</t>
  </si>
  <si>
    <t xml:space="preserve">651-906-6343x6</t>
  </si>
  <si>
    <t xml:space="preserve">EMP0489</t>
  </si>
  <si>
    <t xml:space="preserve">brownaustin@example.com</t>
  </si>
  <si>
    <t xml:space="preserve">818.314.3966</t>
  </si>
  <si>
    <t xml:space="preserve">EMP0490</t>
  </si>
  <si>
    <t xml:space="preserve">Kathleen Jackson</t>
  </si>
  <si>
    <t xml:space="preserve">michaelroberts@example.net</t>
  </si>
  <si>
    <t xml:space="preserve">401-728-9743x2</t>
  </si>
  <si>
    <t xml:space="preserve">EMP0491</t>
  </si>
  <si>
    <t xml:space="preserve">John Cook</t>
  </si>
  <si>
    <t xml:space="preserve">terriibarra@example.org</t>
  </si>
  <si>
    <t xml:space="preserve">+1-609-557-907</t>
  </si>
  <si>
    <t xml:space="preserve">EMP0492</t>
  </si>
  <si>
    <t xml:space="preserve">Brandon Torres</t>
  </si>
  <si>
    <t xml:space="preserve">shaun58@example.com</t>
  </si>
  <si>
    <t xml:space="preserve">+1-274-457-054</t>
  </si>
  <si>
    <t xml:space="preserve">EMP0493</t>
  </si>
  <si>
    <t xml:space="preserve">Brenda Jimenez</t>
  </si>
  <si>
    <t xml:space="preserve">beckydominguez@example.com</t>
  </si>
  <si>
    <t xml:space="preserve">(731)736-1487x</t>
  </si>
  <si>
    <t xml:space="preserve">EMP0494</t>
  </si>
  <si>
    <t xml:space="preserve">Ellen Williams DDS</t>
  </si>
  <si>
    <t xml:space="preserve">mary16@example.com</t>
  </si>
  <si>
    <t xml:space="preserve">001-654-410-72</t>
  </si>
  <si>
    <t xml:space="preserve">EMP0495</t>
  </si>
  <si>
    <t xml:space="preserve">Alexis Williams</t>
  </si>
  <si>
    <t xml:space="preserve">margaret10@example.com</t>
  </si>
  <si>
    <t xml:space="preserve">306-650-0425x4</t>
  </si>
  <si>
    <t xml:space="preserve">EMP0496</t>
  </si>
  <si>
    <t xml:space="preserve">Thomas Carter</t>
  </si>
  <si>
    <t xml:space="preserve">kennedymichael@example.net</t>
  </si>
  <si>
    <t xml:space="preserve">+1-466-561-449</t>
  </si>
  <si>
    <t xml:space="preserve">EMP0497</t>
  </si>
  <si>
    <t xml:space="preserve">Eric Evans</t>
  </si>
  <si>
    <t xml:space="preserve">ygardner@example.com</t>
  </si>
  <si>
    <t xml:space="preserve">828-975-8575</t>
  </si>
  <si>
    <t xml:space="preserve">EMP0498</t>
  </si>
  <si>
    <t xml:space="preserve">Justin Bernard</t>
  </si>
  <si>
    <t xml:space="preserve">idavis@example.net</t>
  </si>
  <si>
    <t xml:space="preserve">839-285-2989x4</t>
  </si>
  <si>
    <t xml:space="preserve">EMP0499</t>
  </si>
  <si>
    <t xml:space="preserve">Sara Miller</t>
  </si>
  <si>
    <t xml:space="preserve">maria15@example.net</t>
  </si>
  <si>
    <t xml:space="preserve">249-575-0198</t>
  </si>
  <si>
    <t xml:space="preserve">EMP0500</t>
  </si>
  <si>
    <t xml:space="preserve">Brandy Jacobson</t>
  </si>
  <si>
    <t xml:space="preserve">kevincollins@example.org</t>
  </si>
  <si>
    <t xml:space="preserve">393.911.0291x8</t>
  </si>
  <si>
    <t xml:space="preserve">TOTALS / AVERAGES</t>
  </si>
  <si>
    <t xml:space="preserve">📊  Monthly Sales Report — 2022 to 2024</t>
  </si>
  <si>
    <t xml:space="preserve">Sale ID</t>
  </si>
  <si>
    <t xml:space="preserve">Month</t>
  </si>
  <si>
    <t xml:space="preserve">Year</t>
  </si>
  <si>
    <t xml:space="preserve">Category</t>
  </si>
  <si>
    <t xml:space="preserve">Region</t>
  </si>
  <si>
    <t xml:space="preserve">Channel</t>
  </si>
  <si>
    <t xml:space="preserve">Units Sold</t>
  </si>
  <si>
    <t xml:space="preserve">Unit Price (NPR)</t>
  </si>
  <si>
    <t xml:space="preserve">Revenue (NPR)</t>
  </si>
  <si>
    <t xml:space="preserve">COGS (NPR)</t>
  </si>
  <si>
    <t xml:space="preserve">Gross Margin %</t>
  </si>
  <si>
    <t xml:space="preserve">Discount %</t>
  </si>
  <si>
    <t xml:space="preserve">Net Revenue (NPR)</t>
  </si>
  <si>
    <t xml:space="preserve">Returns</t>
  </si>
  <si>
    <t xml:space="preserve">Return Rate %</t>
  </si>
  <si>
    <t xml:space="preserve">Rep Name</t>
  </si>
  <si>
    <t xml:space="preserve">Quarter</t>
  </si>
  <si>
    <t xml:space="preserve">Target Met?</t>
  </si>
  <si>
    <t xml:space="preserve">SL00001</t>
  </si>
  <si>
    <t xml:space="preserve">Feb</t>
  </si>
  <si>
    <t xml:space="preserve">Drawing Tablet</t>
  </si>
  <si>
    <t xml:space="preserve">Input</t>
  </si>
  <si>
    <t xml:space="preserve">Gandaki</t>
  </si>
  <si>
    <t xml:space="preserve">Government</t>
  </si>
  <si>
    <t xml:space="preserve">Jonathan Myers</t>
  </si>
  <si>
    <t xml:space="preserve">Q1</t>
  </si>
  <si>
    <t xml:space="preserve">Yes</t>
  </si>
  <si>
    <t xml:space="preserve">SL00002</t>
  </si>
  <si>
    <t xml:space="preserve">Nov</t>
  </si>
  <si>
    <t xml:space="preserve">Cooling Pad</t>
  </si>
  <si>
    <t xml:space="preserve">Accessories</t>
  </si>
  <si>
    <t xml:space="preserve">Karnali</t>
  </si>
  <si>
    <t xml:space="preserve">Wholesale</t>
  </si>
  <si>
    <t xml:space="preserve">Elizabeth Webb</t>
  </si>
  <si>
    <t xml:space="preserve">Q4</t>
  </si>
  <si>
    <t xml:space="preserve">SL00003</t>
  </si>
  <si>
    <t xml:space="preserve">Smart Headset</t>
  </si>
  <si>
    <t xml:space="preserve">Audio</t>
  </si>
  <si>
    <t xml:space="preserve">Lumbini</t>
  </si>
  <si>
    <t xml:space="preserve">David Abbott</t>
  </si>
  <si>
    <t xml:space="preserve">SL00004</t>
  </si>
  <si>
    <t xml:space="preserve">Sep</t>
  </si>
  <si>
    <t xml:space="preserve">USB-C Hub</t>
  </si>
  <si>
    <t xml:space="preserve">Bagmati</t>
  </si>
  <si>
    <t xml:space="preserve">Lonnie Gonzales</t>
  </si>
  <si>
    <t xml:space="preserve">Q3</t>
  </si>
  <si>
    <t xml:space="preserve">SL00005</t>
  </si>
  <si>
    <t xml:space="preserve">Mar</t>
  </si>
  <si>
    <t xml:space="preserve">RAM 16GB</t>
  </si>
  <si>
    <t xml:space="preserve">Memory</t>
  </si>
  <si>
    <t xml:space="preserve">Barbara Thomas</t>
  </si>
  <si>
    <t xml:space="preserve">No</t>
  </si>
  <si>
    <t xml:space="preserve">SL00006</t>
  </si>
  <si>
    <t xml:space="preserve">Dec</t>
  </si>
  <si>
    <t xml:space="preserve">Webcam HD</t>
  </si>
  <si>
    <t xml:space="preserve">Peripherals</t>
  </si>
  <si>
    <t xml:space="preserve">Retail Store</t>
  </si>
  <si>
    <t xml:space="preserve">Charles Garner</t>
  </si>
  <si>
    <t xml:space="preserve">SL00007</t>
  </si>
  <si>
    <t xml:space="preserve">Apr</t>
  </si>
  <si>
    <t xml:space="preserve">Cable Organiser</t>
  </si>
  <si>
    <t xml:space="preserve">Online</t>
  </si>
  <si>
    <t xml:space="preserve">Jorge Lyons</t>
  </si>
  <si>
    <t xml:space="preserve">Q2</t>
  </si>
  <si>
    <t xml:space="preserve">SL00008</t>
  </si>
  <si>
    <t xml:space="preserve">Mechanical Keyboard</t>
  </si>
  <si>
    <t xml:space="preserve">John Roberts</t>
  </si>
  <si>
    <t xml:space="preserve">SL00009</t>
  </si>
  <si>
    <t xml:space="preserve">Jun</t>
  </si>
  <si>
    <t xml:space="preserve">Sudurpashchim</t>
  </si>
  <si>
    <t xml:space="preserve">Kevin Richardson</t>
  </si>
  <si>
    <t xml:space="preserve">SL00010</t>
  </si>
  <si>
    <t xml:space="preserve">Screen Cleaner</t>
  </si>
  <si>
    <t xml:space="preserve">James Marsh</t>
  </si>
  <si>
    <t xml:space="preserve">SL00011</t>
  </si>
  <si>
    <t xml:space="preserve">May</t>
  </si>
  <si>
    <t xml:space="preserve">Wireless Mouse</t>
  </si>
  <si>
    <t xml:space="preserve">Robert Hernandez</t>
  </si>
  <si>
    <t xml:space="preserve">SL00012</t>
  </si>
  <si>
    <t xml:space="preserve">Bryan Price</t>
  </si>
  <si>
    <t xml:space="preserve">SL00013</t>
  </si>
  <si>
    <t xml:space="preserve">Amanda Santos</t>
  </si>
  <si>
    <t xml:space="preserve">SL00014</t>
  </si>
  <si>
    <t xml:space="preserve">Aug</t>
  </si>
  <si>
    <t xml:space="preserve">Corporate</t>
  </si>
  <si>
    <t xml:space="preserve">Jill Odonnell</t>
  </si>
  <si>
    <t xml:space="preserve">SL00015</t>
  </si>
  <si>
    <t xml:space="preserve">Charles Khan</t>
  </si>
  <si>
    <t xml:space="preserve">SL00016</t>
  </si>
  <si>
    <t xml:space="preserve">Oct</t>
  </si>
  <si>
    <t xml:space="preserve">Adam Moore</t>
  </si>
  <si>
    <t xml:space="preserve">SL00017</t>
  </si>
  <si>
    <t xml:space="preserve">Jan</t>
  </si>
  <si>
    <t xml:space="preserve">Shannon Clark</t>
  </si>
  <si>
    <t xml:space="preserve">SL00018</t>
  </si>
  <si>
    <t xml:space="preserve">Kelly Palmer</t>
  </si>
  <si>
    <t xml:space="preserve">SL00019</t>
  </si>
  <si>
    <t xml:space="preserve">Christian Rios</t>
  </si>
  <si>
    <t xml:space="preserve">SL00020</t>
  </si>
  <si>
    <t xml:space="preserve">Julia Trevino</t>
  </si>
  <si>
    <t xml:space="preserve">SL00021</t>
  </si>
  <si>
    <t xml:space="preserve">Portable Charger</t>
  </si>
  <si>
    <t xml:space="preserve">Madhesh</t>
  </si>
  <si>
    <t xml:space="preserve">Richard Barrett</t>
  </si>
  <si>
    <t xml:space="preserve">SL00022</t>
  </si>
  <si>
    <t xml:space="preserve">Andrea Franco</t>
  </si>
  <si>
    <t xml:space="preserve">SL00023</t>
  </si>
  <si>
    <t xml:space="preserve">Laptop Pro X</t>
  </si>
  <si>
    <t xml:space="preserve">Computing</t>
  </si>
  <si>
    <t xml:space="preserve">Dr. Larry White</t>
  </si>
  <si>
    <t xml:space="preserve">SL00024</t>
  </si>
  <si>
    <t xml:space="preserve">Katie Hopkins</t>
  </si>
  <si>
    <t xml:space="preserve">SL00025</t>
  </si>
  <si>
    <t xml:space="preserve">Michael Chapman</t>
  </si>
  <si>
    <t xml:space="preserve">SL00026</t>
  </si>
  <si>
    <t xml:space="preserve">Lauren Gallegos</t>
  </si>
  <si>
    <t xml:space="preserve">SL00027</t>
  </si>
  <si>
    <t xml:space="preserve">Allen Quinn</t>
  </si>
  <si>
    <t xml:space="preserve">SL00028</t>
  </si>
  <si>
    <t xml:space="preserve">Maurice Porter</t>
  </si>
  <si>
    <t xml:space="preserve">SL00029</t>
  </si>
  <si>
    <t xml:space="preserve">Koshi</t>
  </si>
  <si>
    <t xml:space="preserve">Erica Hall</t>
  </si>
  <si>
    <t xml:space="preserve">SL00030</t>
  </si>
  <si>
    <t xml:space="preserve">Sylvia Flynn</t>
  </si>
  <si>
    <t xml:space="preserve">SL00031</t>
  </si>
  <si>
    <t xml:space="preserve">Spencer Chandler</t>
  </si>
  <si>
    <t xml:space="preserve">SL00032</t>
  </si>
  <si>
    <t xml:space="preserve">William Nielsen</t>
  </si>
  <si>
    <t xml:space="preserve">SL00033</t>
  </si>
  <si>
    <t xml:space="preserve">David Johnson</t>
  </si>
  <si>
    <t xml:space="preserve">SL00034</t>
  </si>
  <si>
    <t xml:space="preserve">Jessica Brooks</t>
  </si>
  <si>
    <t xml:space="preserve">SL00035</t>
  </si>
  <si>
    <t xml:space="preserve">SSD 1TB</t>
  </si>
  <si>
    <t xml:space="preserve">Storage</t>
  </si>
  <si>
    <t xml:space="preserve">Alyssa Thompson</t>
  </si>
  <si>
    <t xml:space="preserve">SL00036</t>
  </si>
  <si>
    <t xml:space="preserve">Jerry Anderson</t>
  </si>
  <si>
    <t xml:space="preserve">SL00037</t>
  </si>
  <si>
    <t xml:space="preserve">Jul</t>
  </si>
  <si>
    <t xml:space="preserve">LED Desk Lamp</t>
  </si>
  <si>
    <t xml:space="preserve">Kristie Gonzalez</t>
  </si>
  <si>
    <t xml:space="preserve">SL00038</t>
  </si>
  <si>
    <t xml:space="preserve">Michael Perez DDS</t>
  </si>
  <si>
    <t xml:space="preserve">SL00039</t>
  </si>
  <si>
    <t xml:space="preserve">Joseph Tyler</t>
  </si>
  <si>
    <t xml:space="preserve">SL00040</t>
  </si>
  <si>
    <t xml:space="preserve">Alexander Moyer</t>
  </si>
  <si>
    <t xml:space="preserve">SL00041</t>
  </si>
  <si>
    <t xml:space="preserve">Andrew Taylor</t>
  </si>
  <si>
    <t xml:space="preserve">SL00042</t>
  </si>
  <si>
    <t xml:space="preserve">Raymond Carroll</t>
  </si>
  <si>
    <t xml:space="preserve">SL00043</t>
  </si>
  <si>
    <t xml:space="preserve">Gina Fleming</t>
  </si>
  <si>
    <t xml:space="preserve">SL00044</t>
  </si>
  <si>
    <t xml:space="preserve">Monica Rice</t>
  </si>
  <si>
    <t xml:space="preserve">SL00045</t>
  </si>
  <si>
    <t xml:space="preserve">Daniel Carey</t>
  </si>
  <si>
    <t xml:space="preserve">SL00046</t>
  </si>
  <si>
    <t xml:space="preserve">Heather Yoder</t>
  </si>
  <si>
    <t xml:space="preserve">SL00047</t>
  </si>
  <si>
    <t xml:space="preserve">Rebecca Gonzales</t>
  </si>
  <si>
    <t xml:space="preserve">SL00048</t>
  </si>
  <si>
    <t xml:space="preserve">Shelly Carroll</t>
  </si>
  <si>
    <t xml:space="preserve">SL00049</t>
  </si>
  <si>
    <t xml:space="preserve">Joseph Garcia</t>
  </si>
  <si>
    <t xml:space="preserve">SL00050</t>
  </si>
  <si>
    <t xml:space="preserve">Mr. Joshua Johnson PhD</t>
  </si>
  <si>
    <t xml:space="preserve">SL00051</t>
  </si>
  <si>
    <t xml:space="preserve">4K Monitor</t>
  </si>
  <si>
    <t xml:space="preserve">Display</t>
  </si>
  <si>
    <t xml:space="preserve">Ronald Myers</t>
  </si>
  <si>
    <t xml:space="preserve">SL00052</t>
  </si>
  <si>
    <t xml:space="preserve">Shane Moore</t>
  </si>
  <si>
    <t xml:space="preserve">SL00053</t>
  </si>
  <si>
    <t xml:space="preserve">Joseph Allen</t>
  </si>
  <si>
    <t xml:space="preserve">SL00054</t>
  </si>
  <si>
    <t xml:space="preserve">Lisa Collins</t>
  </si>
  <si>
    <t xml:space="preserve">SL00055</t>
  </si>
  <si>
    <t xml:space="preserve">Kimberly Snow</t>
  </si>
  <si>
    <t xml:space="preserve">SL00056</t>
  </si>
  <si>
    <t xml:space="preserve">Taylor Mercer</t>
  </si>
  <si>
    <t xml:space="preserve">SL00057</t>
  </si>
  <si>
    <t xml:space="preserve">Amanda Fisher</t>
  </si>
  <si>
    <t xml:space="preserve">SL00058</t>
  </si>
  <si>
    <t xml:space="preserve">Stephen Brown</t>
  </si>
  <si>
    <t xml:space="preserve">SL00059</t>
  </si>
  <si>
    <t xml:space="preserve">Robert Rivera</t>
  </si>
  <si>
    <t xml:space="preserve">SL00060</t>
  </si>
  <si>
    <t xml:space="preserve">Susan Brown</t>
  </si>
  <si>
    <t xml:space="preserve">SL00061</t>
  </si>
  <si>
    <t xml:space="preserve">Robert Elliott DDS</t>
  </si>
  <si>
    <t xml:space="preserve">SL00062</t>
  </si>
  <si>
    <t xml:space="preserve">Rhonda Reed</t>
  </si>
  <si>
    <t xml:space="preserve">SL00063</t>
  </si>
  <si>
    <t xml:space="preserve">Jason Stevenson</t>
  </si>
  <si>
    <t xml:space="preserve">SL00064</t>
  </si>
  <si>
    <t xml:space="preserve">Stacy Mendoza</t>
  </si>
  <si>
    <t xml:space="preserve">SL00065</t>
  </si>
  <si>
    <t xml:space="preserve">Nathaniel Garcia</t>
  </si>
  <si>
    <t xml:space="preserve">SL00066</t>
  </si>
  <si>
    <t xml:space="preserve">Danny Bell MD</t>
  </si>
  <si>
    <t xml:space="preserve">SL00067</t>
  </si>
  <si>
    <t xml:space="preserve">Sherri Perez</t>
  </si>
  <si>
    <t xml:space="preserve">SL00068</t>
  </si>
  <si>
    <t xml:space="preserve">Allison Casey</t>
  </si>
  <si>
    <t xml:space="preserve">SL00069</t>
  </si>
  <si>
    <t xml:space="preserve">Lee Gray</t>
  </si>
  <si>
    <t xml:space="preserve">SL00070</t>
  </si>
  <si>
    <t xml:space="preserve">Alicia Olson</t>
  </si>
  <si>
    <t xml:space="preserve">SL00071</t>
  </si>
  <si>
    <t xml:space="preserve">James Martinez</t>
  </si>
  <si>
    <t xml:space="preserve">SL00072</t>
  </si>
  <si>
    <t xml:space="preserve">Kirsten Wilson</t>
  </si>
  <si>
    <t xml:space="preserve">SL00073</t>
  </si>
  <si>
    <t xml:space="preserve">Luis Berger</t>
  </si>
  <si>
    <t xml:space="preserve">SL00074</t>
  </si>
  <si>
    <t xml:space="preserve">Greg Hull</t>
  </si>
  <si>
    <t xml:space="preserve">SL00075</t>
  </si>
  <si>
    <t xml:space="preserve">Brandon Smith</t>
  </si>
  <si>
    <t xml:space="preserve">SL00076</t>
  </si>
  <si>
    <t xml:space="preserve">Paul Morton</t>
  </si>
  <si>
    <t xml:space="preserve">SL00077</t>
  </si>
  <si>
    <t xml:space="preserve">Amber Pham</t>
  </si>
  <si>
    <t xml:space="preserve">SL00078</t>
  </si>
  <si>
    <t xml:space="preserve">Danielle Brown</t>
  </si>
  <si>
    <t xml:space="preserve">SL00079</t>
  </si>
  <si>
    <t xml:space="preserve">Jeffrey Campbell</t>
  </si>
  <si>
    <t xml:space="preserve">SL00080</t>
  </si>
  <si>
    <t xml:space="preserve">Lance Zamora</t>
  </si>
  <si>
    <t xml:space="preserve">SL00081</t>
  </si>
  <si>
    <t xml:space="preserve">Mrs. Jennifer Sandoval DDS</t>
  </si>
  <si>
    <t xml:space="preserve">SL00082</t>
  </si>
  <si>
    <t xml:space="preserve">Todd Harris</t>
  </si>
  <si>
    <t xml:space="preserve">SL00083</t>
  </si>
  <si>
    <t xml:space="preserve">Robin Hurst</t>
  </si>
  <si>
    <t xml:space="preserve">SL00084</t>
  </si>
  <si>
    <t xml:space="preserve">Jill Turner</t>
  </si>
  <si>
    <t xml:space="preserve">SL00085</t>
  </si>
  <si>
    <t xml:space="preserve">Juan Melton</t>
  </si>
  <si>
    <t xml:space="preserve">SL00086</t>
  </si>
  <si>
    <t xml:space="preserve">Steven Flores</t>
  </si>
  <si>
    <t xml:space="preserve">SL00087</t>
  </si>
  <si>
    <t xml:space="preserve">Ashley Reed</t>
  </si>
  <si>
    <t xml:space="preserve">SL00088</t>
  </si>
  <si>
    <t xml:space="preserve">Trevor Tucker</t>
  </si>
  <si>
    <t xml:space="preserve">SL00089</t>
  </si>
  <si>
    <t xml:space="preserve">Thomas Skinner</t>
  </si>
  <si>
    <t xml:space="preserve">SL00090</t>
  </si>
  <si>
    <t xml:space="preserve">Elizabeth Tran</t>
  </si>
  <si>
    <t xml:space="preserve">SL00091</t>
  </si>
  <si>
    <t xml:space="preserve">Nathaniel French</t>
  </si>
  <si>
    <t xml:space="preserve">SL00092</t>
  </si>
  <si>
    <t xml:space="preserve">David Alexander</t>
  </si>
  <si>
    <t xml:space="preserve">SL00093</t>
  </si>
  <si>
    <t xml:space="preserve">Tiffany Smith</t>
  </si>
  <si>
    <t xml:space="preserve">SL00094</t>
  </si>
  <si>
    <t xml:space="preserve">Debra Chapman</t>
  </si>
  <si>
    <t xml:space="preserve">SL00095</t>
  </si>
  <si>
    <t xml:space="preserve">Vincent Brown</t>
  </si>
  <si>
    <t xml:space="preserve">SL00096</t>
  </si>
  <si>
    <t xml:space="preserve">Janet Smith</t>
  </si>
  <si>
    <t xml:space="preserve">SL00097</t>
  </si>
  <si>
    <t xml:space="preserve">Jeremy Walker</t>
  </si>
  <si>
    <t xml:space="preserve">SL00098</t>
  </si>
  <si>
    <t xml:space="preserve">Matthew Patel</t>
  </si>
  <si>
    <t xml:space="preserve">SL00099</t>
  </si>
  <si>
    <t xml:space="preserve">Amanda Hines</t>
  </si>
  <si>
    <t xml:space="preserve">SL00100</t>
  </si>
  <si>
    <t xml:space="preserve">Susan Webster</t>
  </si>
  <si>
    <t xml:space="preserve">SL00101</t>
  </si>
  <si>
    <t xml:space="preserve">Ronald Baker</t>
  </si>
  <si>
    <t xml:space="preserve">SL00102</t>
  </si>
  <si>
    <t xml:space="preserve">Claire Johnson</t>
  </si>
  <si>
    <t xml:space="preserve">SL00103</t>
  </si>
  <si>
    <t xml:space="preserve">Lisa Glenn</t>
  </si>
  <si>
    <t xml:space="preserve">SL00104</t>
  </si>
  <si>
    <t xml:space="preserve">Tanya Goodwin</t>
  </si>
  <si>
    <t xml:space="preserve">SL00105</t>
  </si>
  <si>
    <t xml:space="preserve">Kristen Farley</t>
  </si>
  <si>
    <t xml:space="preserve">SL00106</t>
  </si>
  <si>
    <t xml:space="preserve">Donna Ritter</t>
  </si>
  <si>
    <t xml:space="preserve">SL00107</t>
  </si>
  <si>
    <t xml:space="preserve">Jessica Ball</t>
  </si>
  <si>
    <t xml:space="preserve">SL00108</t>
  </si>
  <si>
    <t xml:space="preserve">Debbie Horne</t>
  </si>
  <si>
    <t xml:space="preserve">SL00109</t>
  </si>
  <si>
    <t xml:space="preserve">Willie Allen</t>
  </si>
  <si>
    <t xml:space="preserve">SL00110</t>
  </si>
  <si>
    <t xml:space="preserve">Diana Fleming</t>
  </si>
  <si>
    <t xml:space="preserve">SL00111</t>
  </si>
  <si>
    <t xml:space="preserve">Zachary Wise</t>
  </si>
  <si>
    <t xml:space="preserve">SL00112</t>
  </si>
  <si>
    <t xml:space="preserve">Kenneth Johnson</t>
  </si>
  <si>
    <t xml:space="preserve">SL00113</t>
  </si>
  <si>
    <t xml:space="preserve">Derrick King</t>
  </si>
  <si>
    <t xml:space="preserve">SL00114</t>
  </si>
  <si>
    <t xml:space="preserve">Patricia Smith</t>
  </si>
  <si>
    <t xml:space="preserve">SL00115</t>
  </si>
  <si>
    <t xml:space="preserve">Matthew Huff</t>
  </si>
  <si>
    <t xml:space="preserve">SL00116</t>
  </si>
  <si>
    <t xml:space="preserve">Jill Smith</t>
  </si>
  <si>
    <t xml:space="preserve">SL00117</t>
  </si>
  <si>
    <t xml:space="preserve">Andrew Howard</t>
  </si>
  <si>
    <t xml:space="preserve">SL00118</t>
  </si>
  <si>
    <t xml:space="preserve">Kristin Ortiz</t>
  </si>
  <si>
    <t xml:space="preserve">SL00119</t>
  </si>
  <si>
    <t xml:space="preserve">Angela Prince</t>
  </si>
  <si>
    <t xml:space="preserve">SL00120</t>
  </si>
  <si>
    <t xml:space="preserve">Tiffany Alexander</t>
  </si>
  <si>
    <t xml:space="preserve">SL00121</t>
  </si>
  <si>
    <t xml:space="preserve">Richard Green</t>
  </si>
  <si>
    <t xml:space="preserve">SL00122</t>
  </si>
  <si>
    <t xml:space="preserve">Darren Thompson PhD</t>
  </si>
  <si>
    <t xml:space="preserve">SL00123</t>
  </si>
  <si>
    <t xml:space="preserve">Crystal Pena</t>
  </si>
  <si>
    <t xml:space="preserve">SL00124</t>
  </si>
  <si>
    <t xml:space="preserve">Jonathon Alexander</t>
  </si>
  <si>
    <t xml:space="preserve">SL00125</t>
  </si>
  <si>
    <t xml:space="preserve">Juan Perez</t>
  </si>
  <si>
    <t xml:space="preserve">SL00126</t>
  </si>
  <si>
    <t xml:space="preserve">Wendy Hester</t>
  </si>
  <si>
    <t xml:space="preserve">SL00127</t>
  </si>
  <si>
    <t xml:space="preserve">Ryan Atkinson</t>
  </si>
  <si>
    <t xml:space="preserve">SL00128</t>
  </si>
  <si>
    <t xml:space="preserve">Amanda Young</t>
  </si>
  <si>
    <t xml:space="preserve">SL00129</t>
  </si>
  <si>
    <t xml:space="preserve">Jonathon Wilson</t>
  </si>
  <si>
    <t xml:space="preserve">SL00130</t>
  </si>
  <si>
    <t xml:space="preserve">Damon Hudson</t>
  </si>
  <si>
    <t xml:space="preserve">SL00131</t>
  </si>
  <si>
    <t xml:space="preserve">Melanie Jones</t>
  </si>
  <si>
    <t xml:space="preserve">SL00132</t>
  </si>
  <si>
    <t xml:space="preserve">Douglas Johnson</t>
  </si>
  <si>
    <t xml:space="preserve">SL00133</t>
  </si>
  <si>
    <t xml:space="preserve">Heather Hester</t>
  </si>
  <si>
    <t xml:space="preserve">SL00134</t>
  </si>
  <si>
    <t xml:space="preserve">Jade Dunlap</t>
  </si>
  <si>
    <t xml:space="preserve">SL00135</t>
  </si>
  <si>
    <t xml:space="preserve">Andre Richardson</t>
  </si>
  <si>
    <t xml:space="preserve">SL00136</t>
  </si>
  <si>
    <t xml:space="preserve">Chris Garza</t>
  </si>
  <si>
    <t xml:space="preserve">SL00137</t>
  </si>
  <si>
    <t xml:space="preserve">Daniel Edwards</t>
  </si>
  <si>
    <t xml:space="preserve">SL00138</t>
  </si>
  <si>
    <t xml:space="preserve">Natalie Logan</t>
  </si>
  <si>
    <t xml:space="preserve">SL00139</t>
  </si>
  <si>
    <t xml:space="preserve">Teresa Gray</t>
  </si>
  <si>
    <t xml:space="preserve">SL00140</t>
  </si>
  <si>
    <t xml:space="preserve">Mary Hernandez</t>
  </si>
  <si>
    <t xml:space="preserve">SL00141</t>
  </si>
  <si>
    <t xml:space="preserve">Marie Friedman</t>
  </si>
  <si>
    <t xml:space="preserve">SL00142</t>
  </si>
  <si>
    <t xml:space="preserve">Wendy Cunningham</t>
  </si>
  <si>
    <t xml:space="preserve">SL00143</t>
  </si>
  <si>
    <t xml:space="preserve">Miss Morgan Ryan MD</t>
  </si>
  <si>
    <t xml:space="preserve">SL00144</t>
  </si>
  <si>
    <t xml:space="preserve">Rebecca Lawson</t>
  </si>
  <si>
    <t xml:space="preserve">SL00145</t>
  </si>
  <si>
    <t xml:space="preserve">Kelly Stewart</t>
  </si>
  <si>
    <t xml:space="preserve">SL00146</t>
  </si>
  <si>
    <t xml:space="preserve">Kenneth Bartlett</t>
  </si>
  <si>
    <t xml:space="preserve">SL00147</t>
  </si>
  <si>
    <t xml:space="preserve">Robert Madden</t>
  </si>
  <si>
    <t xml:space="preserve">SL00148</t>
  </si>
  <si>
    <t xml:space="preserve">Ethan Compton</t>
  </si>
  <si>
    <t xml:space="preserve">SL00149</t>
  </si>
  <si>
    <t xml:space="preserve">Jill Rosario</t>
  </si>
  <si>
    <t xml:space="preserve">SL00150</t>
  </si>
  <si>
    <t xml:space="preserve">Bobby Castro</t>
  </si>
  <si>
    <t xml:space="preserve">SL00151</t>
  </si>
  <si>
    <t xml:space="preserve">Jack Washington</t>
  </si>
  <si>
    <t xml:space="preserve">SL00152</t>
  </si>
  <si>
    <t xml:space="preserve">Richard Hall</t>
  </si>
  <si>
    <t xml:space="preserve">SL00153</t>
  </si>
  <si>
    <t xml:space="preserve">Victoria Frost</t>
  </si>
  <si>
    <t xml:space="preserve">SL00154</t>
  </si>
  <si>
    <t xml:space="preserve">Terry Craig</t>
  </si>
  <si>
    <t xml:space="preserve">SL00155</t>
  </si>
  <si>
    <t xml:space="preserve">Lisa Flynn</t>
  </si>
  <si>
    <t xml:space="preserve">SL00156</t>
  </si>
  <si>
    <t xml:space="preserve">Bruce Ortiz</t>
  </si>
  <si>
    <t xml:space="preserve">SL00157</t>
  </si>
  <si>
    <t xml:space="preserve">Brittany Snyder</t>
  </si>
  <si>
    <t xml:space="preserve">SL00158</t>
  </si>
  <si>
    <t xml:space="preserve">Christina White</t>
  </si>
  <si>
    <t xml:space="preserve">SL00159</t>
  </si>
  <si>
    <t xml:space="preserve">Christopher Barnes</t>
  </si>
  <si>
    <t xml:space="preserve">SL00160</t>
  </si>
  <si>
    <t xml:space="preserve">Michelle Harrison</t>
  </si>
  <si>
    <t xml:space="preserve">SL00161</t>
  </si>
  <si>
    <t xml:space="preserve">Sean Bass</t>
  </si>
  <si>
    <t xml:space="preserve">SL00162</t>
  </si>
  <si>
    <t xml:space="preserve">Christopher Jones</t>
  </si>
  <si>
    <t xml:space="preserve">SL00163</t>
  </si>
  <si>
    <t xml:space="preserve">Kendra Hughes</t>
  </si>
  <si>
    <t xml:space="preserve">SL00164</t>
  </si>
  <si>
    <t xml:space="preserve">Cameron Terry</t>
  </si>
  <si>
    <t xml:space="preserve">SL00165</t>
  </si>
  <si>
    <t xml:space="preserve">Edward Rogers</t>
  </si>
  <si>
    <t xml:space="preserve">SL00166</t>
  </si>
  <si>
    <t xml:space="preserve">Gabrielle Franklin</t>
  </si>
  <si>
    <t xml:space="preserve">SL00167</t>
  </si>
  <si>
    <t xml:space="preserve">Nathan Jones</t>
  </si>
  <si>
    <t xml:space="preserve">SL00168</t>
  </si>
  <si>
    <t xml:space="preserve">Tiffany Lozano</t>
  </si>
  <si>
    <t xml:space="preserve">SL00169</t>
  </si>
  <si>
    <t xml:space="preserve">Natalie Graham</t>
  </si>
  <si>
    <t xml:space="preserve">SL00170</t>
  </si>
  <si>
    <t xml:space="preserve">Melissa Quinn</t>
  </si>
  <si>
    <t xml:space="preserve">SL00171</t>
  </si>
  <si>
    <t xml:space="preserve">Leah Wilkins</t>
  </si>
  <si>
    <t xml:space="preserve">SL00172</t>
  </si>
  <si>
    <t xml:space="preserve">Brittany Smith</t>
  </si>
  <si>
    <t xml:space="preserve">SL00173</t>
  </si>
  <si>
    <t xml:space="preserve">Megan Chavez</t>
  </si>
  <si>
    <t xml:space="preserve">SL00174</t>
  </si>
  <si>
    <t xml:space="preserve">Christopher Sharp</t>
  </si>
  <si>
    <t xml:space="preserve">SL00175</t>
  </si>
  <si>
    <t xml:space="preserve">Raymond Hall</t>
  </si>
  <si>
    <t xml:space="preserve">SL00176</t>
  </si>
  <si>
    <t xml:space="preserve">Anthony Holmes MD</t>
  </si>
  <si>
    <t xml:space="preserve">SL00177</t>
  </si>
  <si>
    <t xml:space="preserve">Tanya Mitchell</t>
  </si>
  <si>
    <t xml:space="preserve">SL00178</t>
  </si>
  <si>
    <t xml:space="preserve">Peter Mckay</t>
  </si>
  <si>
    <t xml:space="preserve">SL00179</t>
  </si>
  <si>
    <t xml:space="preserve">Tony Khan</t>
  </si>
  <si>
    <t xml:space="preserve">SL00180</t>
  </si>
  <si>
    <t xml:space="preserve">Jessica Ramirez</t>
  </si>
  <si>
    <t xml:space="preserve">SL00181</t>
  </si>
  <si>
    <t xml:space="preserve">Emily Reed</t>
  </si>
  <si>
    <t xml:space="preserve">SL00182</t>
  </si>
  <si>
    <t xml:space="preserve">Dwayne Tucker</t>
  </si>
  <si>
    <t xml:space="preserve">SL00183</t>
  </si>
  <si>
    <t xml:space="preserve">Christopher Crosby</t>
  </si>
  <si>
    <t xml:space="preserve">SL00184</t>
  </si>
  <si>
    <t xml:space="preserve">Larry Rodriguez</t>
  </si>
  <si>
    <t xml:space="preserve">SL00185</t>
  </si>
  <si>
    <t xml:space="preserve">Donald Davis</t>
  </si>
  <si>
    <t xml:space="preserve">SL00186</t>
  </si>
  <si>
    <t xml:space="preserve">Katie Jackson</t>
  </si>
  <si>
    <t xml:space="preserve">SL00187</t>
  </si>
  <si>
    <t xml:space="preserve">Amanda Macdonald</t>
  </si>
  <si>
    <t xml:space="preserve">SL00188</t>
  </si>
  <si>
    <t xml:space="preserve">Chloe Freeman</t>
  </si>
  <si>
    <t xml:space="preserve">SL00189</t>
  </si>
  <si>
    <t xml:space="preserve">Jaclyn Campbell</t>
  </si>
  <si>
    <t xml:space="preserve">SL00190</t>
  </si>
  <si>
    <t xml:space="preserve">Jessica Wallace</t>
  </si>
  <si>
    <t xml:space="preserve">SL00191</t>
  </si>
  <si>
    <t xml:space="preserve">Jesse Hardin</t>
  </si>
  <si>
    <t xml:space="preserve">SL00192</t>
  </si>
  <si>
    <t xml:space="preserve">Tamara Wilson</t>
  </si>
  <si>
    <t xml:space="preserve">SL00193</t>
  </si>
  <si>
    <t xml:space="preserve">Katherine Miller</t>
  </si>
  <si>
    <t xml:space="preserve">SL00194</t>
  </si>
  <si>
    <t xml:space="preserve">Donald Barnett</t>
  </si>
  <si>
    <t xml:space="preserve">SL00195</t>
  </si>
  <si>
    <t xml:space="preserve">Regina Garner</t>
  </si>
  <si>
    <t xml:space="preserve">SL00196</t>
  </si>
  <si>
    <t xml:space="preserve">Benjamin Moore</t>
  </si>
  <si>
    <t xml:space="preserve">SL00197</t>
  </si>
  <si>
    <t xml:space="preserve">Jesse Moss</t>
  </si>
  <si>
    <t xml:space="preserve">SL00198</t>
  </si>
  <si>
    <t xml:space="preserve">Angela Watts</t>
  </si>
  <si>
    <t xml:space="preserve">SL00199</t>
  </si>
  <si>
    <t xml:space="preserve">Amanda Garcia</t>
  </si>
  <si>
    <t xml:space="preserve">SL00200</t>
  </si>
  <si>
    <t xml:space="preserve">Kelly Lee</t>
  </si>
  <si>
    <t xml:space="preserve">SL00201</t>
  </si>
  <si>
    <t xml:space="preserve">Sara Garrett</t>
  </si>
  <si>
    <t xml:space="preserve">SL00202</t>
  </si>
  <si>
    <t xml:space="preserve">Lori Sanchez</t>
  </si>
  <si>
    <t xml:space="preserve">SL00203</t>
  </si>
  <si>
    <t xml:space="preserve">Shelby Robinson</t>
  </si>
  <si>
    <t xml:space="preserve">SL00204</t>
  </si>
  <si>
    <t xml:space="preserve">John Washington</t>
  </si>
  <si>
    <t xml:space="preserve">SL00205</t>
  </si>
  <si>
    <t xml:space="preserve">Jonathan Anderson</t>
  </si>
  <si>
    <t xml:space="preserve">SL00206</t>
  </si>
  <si>
    <t xml:space="preserve">Ann Black</t>
  </si>
  <si>
    <t xml:space="preserve">SL00207</t>
  </si>
  <si>
    <t xml:space="preserve">Cindy Hamilton</t>
  </si>
  <si>
    <t xml:space="preserve">SL00208</t>
  </si>
  <si>
    <t xml:space="preserve">Logan Mckinney Jr.</t>
  </si>
  <si>
    <t xml:space="preserve">SL00209</t>
  </si>
  <si>
    <t xml:space="preserve">Lisa Welch</t>
  </si>
  <si>
    <t xml:space="preserve">SL00210</t>
  </si>
  <si>
    <t xml:space="preserve">Gregory Moreno</t>
  </si>
  <si>
    <t xml:space="preserve">SL00211</t>
  </si>
  <si>
    <t xml:space="preserve">Sherry Pittman</t>
  </si>
  <si>
    <t xml:space="preserve">SL00212</t>
  </si>
  <si>
    <t xml:space="preserve">Mary Henry</t>
  </si>
  <si>
    <t xml:space="preserve">SL00213</t>
  </si>
  <si>
    <t xml:space="preserve">Linda Daniels</t>
  </si>
  <si>
    <t xml:space="preserve">SL00214</t>
  </si>
  <si>
    <t xml:space="preserve">Daniel Mccarty</t>
  </si>
  <si>
    <t xml:space="preserve">SL00215</t>
  </si>
  <si>
    <t xml:space="preserve">Pamela Barnes</t>
  </si>
  <si>
    <t xml:space="preserve">SL00216</t>
  </si>
  <si>
    <t xml:space="preserve">David Coleman</t>
  </si>
  <si>
    <t xml:space="preserve">SL00217</t>
  </si>
  <si>
    <t xml:space="preserve">Tyler Guerrero</t>
  </si>
  <si>
    <t xml:space="preserve">SL00218</t>
  </si>
  <si>
    <t xml:space="preserve">James Anderson</t>
  </si>
  <si>
    <t xml:space="preserve">SL00219</t>
  </si>
  <si>
    <t xml:space="preserve">Sara Shields</t>
  </si>
  <si>
    <t xml:space="preserve">SL00220</t>
  </si>
  <si>
    <t xml:space="preserve">Melissa Johnson</t>
  </si>
  <si>
    <t xml:space="preserve">SL00221</t>
  </si>
  <si>
    <t xml:space="preserve">Daniel Rosales</t>
  </si>
  <si>
    <t xml:space="preserve">SL00222</t>
  </si>
  <si>
    <t xml:space="preserve">Justin Morris</t>
  </si>
  <si>
    <t xml:space="preserve">SL00223</t>
  </si>
  <si>
    <t xml:space="preserve">Jennifer Lamb</t>
  </si>
  <si>
    <t xml:space="preserve">SL00224</t>
  </si>
  <si>
    <t xml:space="preserve">Dean Brown</t>
  </si>
  <si>
    <t xml:space="preserve">SL00225</t>
  </si>
  <si>
    <t xml:space="preserve">Mr. Mark Williams</t>
  </si>
  <si>
    <t xml:space="preserve">SL00226</t>
  </si>
  <si>
    <t xml:space="preserve">Daniel Hutchinson</t>
  </si>
  <si>
    <t xml:space="preserve">SL00227</t>
  </si>
  <si>
    <t xml:space="preserve">Penny Rodriguez</t>
  </si>
  <si>
    <t xml:space="preserve">SL00228</t>
  </si>
  <si>
    <t xml:space="preserve">Lisa Anderson</t>
  </si>
  <si>
    <t xml:space="preserve">SL00229</t>
  </si>
  <si>
    <t xml:space="preserve">SL00230</t>
  </si>
  <si>
    <t xml:space="preserve">Richard Cook</t>
  </si>
  <si>
    <t xml:space="preserve">SL00231</t>
  </si>
  <si>
    <t xml:space="preserve">Ralph Brown</t>
  </si>
  <si>
    <t xml:space="preserve">SL00232</t>
  </si>
  <si>
    <t xml:space="preserve">Daniel Nichols</t>
  </si>
  <si>
    <t xml:space="preserve">SL00233</t>
  </si>
  <si>
    <t xml:space="preserve">Dr. Jennifer Robbins</t>
  </si>
  <si>
    <t xml:space="preserve">SL00234</t>
  </si>
  <si>
    <t xml:space="preserve">Christopher Brooks</t>
  </si>
  <si>
    <t xml:space="preserve">SL00235</t>
  </si>
  <si>
    <t xml:space="preserve">Juan Wright</t>
  </si>
  <si>
    <t xml:space="preserve">SL00236</t>
  </si>
  <si>
    <t xml:space="preserve">Ryan Fischer</t>
  </si>
  <si>
    <t xml:space="preserve">SL00237</t>
  </si>
  <si>
    <t xml:space="preserve">Kathryn Moody</t>
  </si>
  <si>
    <t xml:space="preserve">SL00238</t>
  </si>
  <si>
    <t xml:space="preserve">SL00239</t>
  </si>
  <si>
    <t xml:space="preserve">SL00240</t>
  </si>
  <si>
    <t xml:space="preserve">Robin Gray</t>
  </si>
  <si>
    <t xml:space="preserve">SL00241</t>
  </si>
  <si>
    <t xml:space="preserve">Robert Mcdowell</t>
  </si>
  <si>
    <t xml:space="preserve">SL00242</t>
  </si>
  <si>
    <t xml:space="preserve">Angela Wagner</t>
  </si>
  <si>
    <t xml:space="preserve">SL00243</t>
  </si>
  <si>
    <t xml:space="preserve">Morgan Smith</t>
  </si>
  <si>
    <t xml:space="preserve">SL00244</t>
  </si>
  <si>
    <t xml:space="preserve">Kimberly Ellison</t>
  </si>
  <si>
    <t xml:space="preserve">SL00245</t>
  </si>
  <si>
    <t xml:space="preserve">Kevin Myers</t>
  </si>
  <si>
    <t xml:space="preserve">SL00246</t>
  </si>
  <si>
    <t xml:space="preserve">Shannon Glover</t>
  </si>
  <si>
    <t xml:space="preserve">SL00247</t>
  </si>
  <si>
    <t xml:space="preserve">Patrick Turner</t>
  </si>
  <si>
    <t xml:space="preserve">SL00248</t>
  </si>
  <si>
    <t xml:space="preserve">Brett Costa</t>
  </si>
  <si>
    <t xml:space="preserve">SL00249</t>
  </si>
  <si>
    <t xml:space="preserve">Jamie Jordan</t>
  </si>
  <si>
    <t xml:space="preserve">SL00250</t>
  </si>
  <si>
    <t xml:space="preserve">Jason Ramirez</t>
  </si>
  <si>
    <t xml:space="preserve">SL00251</t>
  </si>
  <si>
    <t xml:space="preserve">Michael Hunter</t>
  </si>
  <si>
    <t xml:space="preserve">SL00252</t>
  </si>
  <si>
    <t xml:space="preserve">Willie Luna</t>
  </si>
  <si>
    <t xml:space="preserve">SL00253</t>
  </si>
  <si>
    <t xml:space="preserve">Pamela Klein</t>
  </si>
  <si>
    <t xml:space="preserve">SL00254</t>
  </si>
  <si>
    <t xml:space="preserve">SL00255</t>
  </si>
  <si>
    <t xml:space="preserve">Jillian Woods</t>
  </si>
  <si>
    <t xml:space="preserve">SL00256</t>
  </si>
  <si>
    <t xml:space="preserve">Eric Thomas</t>
  </si>
  <si>
    <t xml:space="preserve">SL00257</t>
  </si>
  <si>
    <t xml:space="preserve">Angela Hoffman</t>
  </si>
  <si>
    <t xml:space="preserve">SL00258</t>
  </si>
  <si>
    <t xml:space="preserve">Tom Watkins</t>
  </si>
  <si>
    <t xml:space="preserve">SL00259</t>
  </si>
  <si>
    <t xml:space="preserve">Jamie Massey</t>
  </si>
  <si>
    <t xml:space="preserve">SL00260</t>
  </si>
  <si>
    <t xml:space="preserve">Sara Hodges</t>
  </si>
  <si>
    <t xml:space="preserve">SL00261</t>
  </si>
  <si>
    <t xml:space="preserve">Johnny Jenkins</t>
  </si>
  <si>
    <t xml:space="preserve">SL00262</t>
  </si>
  <si>
    <t xml:space="preserve">Sandra Johnson</t>
  </si>
  <si>
    <t xml:space="preserve">SL00263</t>
  </si>
  <si>
    <t xml:space="preserve">Linda Savage</t>
  </si>
  <si>
    <t xml:space="preserve">SL00264</t>
  </si>
  <si>
    <t xml:space="preserve">Daniel Hart</t>
  </si>
  <si>
    <t xml:space="preserve">SL00265</t>
  </si>
  <si>
    <t xml:space="preserve">Jonathan Chung II</t>
  </si>
  <si>
    <t xml:space="preserve">SL00266</t>
  </si>
  <si>
    <t xml:space="preserve">John Peters</t>
  </si>
  <si>
    <t xml:space="preserve">SL00267</t>
  </si>
  <si>
    <t xml:space="preserve">Morgan Morse</t>
  </si>
  <si>
    <t xml:space="preserve">SL00268</t>
  </si>
  <si>
    <t xml:space="preserve">Billy Martinez</t>
  </si>
  <si>
    <t xml:space="preserve">SL00269</t>
  </si>
  <si>
    <t xml:space="preserve">Joseph Martinez</t>
  </si>
  <si>
    <t xml:space="preserve">SL00270</t>
  </si>
  <si>
    <t xml:space="preserve">Sergio Wilson</t>
  </si>
  <si>
    <t xml:space="preserve">SL00271</t>
  </si>
  <si>
    <t xml:space="preserve">Kathleen Sims</t>
  </si>
  <si>
    <t xml:space="preserve">SL00272</t>
  </si>
  <si>
    <t xml:space="preserve">Brenda Sawyer</t>
  </si>
  <si>
    <t xml:space="preserve">SL00273</t>
  </si>
  <si>
    <t xml:space="preserve">Adam Wilson</t>
  </si>
  <si>
    <t xml:space="preserve">SL00274</t>
  </si>
  <si>
    <t xml:space="preserve">Michelle Beard MD</t>
  </si>
  <si>
    <t xml:space="preserve">SL00275</t>
  </si>
  <si>
    <t xml:space="preserve">Steve Elliott</t>
  </si>
  <si>
    <t xml:space="preserve">SL00276</t>
  </si>
  <si>
    <t xml:space="preserve">Dylan Cohen</t>
  </si>
  <si>
    <t xml:space="preserve">SL00277</t>
  </si>
  <si>
    <t xml:space="preserve">Tiffany Watson</t>
  </si>
  <si>
    <t xml:space="preserve">SL00278</t>
  </si>
  <si>
    <t xml:space="preserve">Kaitlyn Clark</t>
  </si>
  <si>
    <t xml:space="preserve">SL00279</t>
  </si>
  <si>
    <t xml:space="preserve">Paul Ferrell</t>
  </si>
  <si>
    <t xml:space="preserve">SL00280</t>
  </si>
  <si>
    <t xml:space="preserve">Carly Espinoza</t>
  </si>
  <si>
    <t xml:space="preserve">SL00281</t>
  </si>
  <si>
    <t xml:space="preserve">Evan White</t>
  </si>
  <si>
    <t xml:space="preserve">SL00282</t>
  </si>
  <si>
    <t xml:space="preserve">Willie Smith</t>
  </si>
  <si>
    <t xml:space="preserve">SL00283</t>
  </si>
  <si>
    <t xml:space="preserve">Christina Davis</t>
  </si>
  <si>
    <t xml:space="preserve">SL00284</t>
  </si>
  <si>
    <t xml:space="preserve">Brandon Weber</t>
  </si>
  <si>
    <t xml:space="preserve">SL00285</t>
  </si>
  <si>
    <t xml:space="preserve">Andrea Fields</t>
  </si>
  <si>
    <t xml:space="preserve">SL00286</t>
  </si>
  <si>
    <t xml:space="preserve">Haley Smith</t>
  </si>
  <si>
    <t xml:space="preserve">SL00287</t>
  </si>
  <si>
    <t xml:space="preserve">Duane Buck</t>
  </si>
  <si>
    <t xml:space="preserve">SL00288</t>
  </si>
  <si>
    <t xml:space="preserve">Nicholas Richardson</t>
  </si>
  <si>
    <t xml:space="preserve">SL00289</t>
  </si>
  <si>
    <t xml:space="preserve">Taylor Hoffman</t>
  </si>
  <si>
    <t xml:space="preserve">SL00290</t>
  </si>
  <si>
    <t xml:space="preserve">Christina Watkins</t>
  </si>
  <si>
    <t xml:space="preserve">SL00291</t>
  </si>
  <si>
    <t xml:space="preserve">Daniel White</t>
  </si>
  <si>
    <t xml:space="preserve">SL00292</t>
  </si>
  <si>
    <t xml:space="preserve">Beth Boyd</t>
  </si>
  <si>
    <t xml:space="preserve">SL00293</t>
  </si>
  <si>
    <t xml:space="preserve">Janet Johnston</t>
  </si>
  <si>
    <t xml:space="preserve">SL00294</t>
  </si>
  <si>
    <t xml:space="preserve">Lisa Levy</t>
  </si>
  <si>
    <t xml:space="preserve">SL00295</t>
  </si>
  <si>
    <t xml:space="preserve">Lisa Blankenship</t>
  </si>
  <si>
    <t xml:space="preserve">SL00296</t>
  </si>
  <si>
    <t xml:space="preserve">Aaron Hall</t>
  </si>
  <si>
    <t xml:space="preserve">SL00297</t>
  </si>
  <si>
    <t xml:space="preserve">Timothy Mendez</t>
  </si>
  <si>
    <t xml:space="preserve">SL00298</t>
  </si>
  <si>
    <t xml:space="preserve">John Smith</t>
  </si>
  <si>
    <t xml:space="preserve">SL00299</t>
  </si>
  <si>
    <t xml:space="preserve">Wayne Taylor</t>
  </si>
  <si>
    <t xml:space="preserve">SL00300</t>
  </si>
  <si>
    <t xml:space="preserve">Jessica Ruiz</t>
  </si>
  <si>
    <t xml:space="preserve">TOTALS</t>
  </si>
  <si>
    <t xml:space="preserve">🎓  Student Academic Records — 2024</t>
  </si>
  <si>
    <t xml:space="preserve">Student ID</t>
  </si>
  <si>
    <t xml:space="preserve">Program</t>
  </si>
  <si>
    <t xml:space="preserve">Semester</t>
  </si>
  <si>
    <t xml:space="preserve">Academic Year</t>
  </si>
  <si>
    <t xml:space="preserve">Subject 1</t>
  </si>
  <si>
    <t xml:space="preserve">Sub1 Score</t>
  </si>
  <si>
    <t xml:space="preserve">Subject 2</t>
  </si>
  <si>
    <t xml:space="preserve">Sub2 Score</t>
  </si>
  <si>
    <t xml:space="preserve">Subject 3</t>
  </si>
  <si>
    <t xml:space="preserve">Sub3 Score</t>
  </si>
  <si>
    <t xml:space="preserve">Total Marks</t>
  </si>
  <si>
    <t xml:space="preserve">Percentage</t>
  </si>
  <si>
    <t xml:space="preserve">Grade</t>
  </si>
  <si>
    <t xml:space="preserve">GPA</t>
  </si>
  <si>
    <t xml:space="preserve">Assignment Score</t>
  </si>
  <si>
    <t xml:space="preserve">Practical Score</t>
  </si>
  <si>
    <t xml:space="preserve">Pass/Fail</t>
  </si>
  <si>
    <t xml:space="preserve">Scholarship?</t>
  </si>
  <si>
    <t xml:space="preserve">STU00001</t>
  </si>
  <si>
    <t xml:space="preserve">Peter Allen</t>
  </si>
  <si>
    <t xml:space="preserve">BSc CSIT</t>
  </si>
  <si>
    <t xml:space="preserve">2022-23</t>
  </si>
  <si>
    <t xml:space="preserve">English</t>
  </si>
  <si>
    <t xml:space="preserve">Networking</t>
  </si>
  <si>
    <t xml:space="preserve">Statistics</t>
  </si>
  <si>
    <t xml:space="preserve">STU00002</t>
  </si>
  <si>
    <t xml:space="preserve">Raymond Mccarthy</t>
  </si>
  <si>
    <t xml:space="preserve">BHM</t>
  </si>
  <si>
    <t xml:space="preserve">Web Technology</t>
  </si>
  <si>
    <t xml:space="preserve">AI &amp; ML</t>
  </si>
  <si>
    <t xml:space="preserve">STU00003</t>
  </si>
  <si>
    <t xml:space="preserve">Ryan Stewart</t>
  </si>
  <si>
    <t xml:space="preserve">2021-22</t>
  </si>
  <si>
    <t xml:space="preserve">Mathematics</t>
  </si>
  <si>
    <t xml:space="preserve">STU00004</t>
  </si>
  <si>
    <t xml:space="preserve">Larry Lewis</t>
  </si>
  <si>
    <t xml:space="preserve">Software Engineering</t>
  </si>
  <si>
    <t xml:space="preserve">STU00005</t>
  </si>
  <si>
    <t xml:space="preserve">Mark Ramirez</t>
  </si>
  <si>
    <t xml:space="preserve">BIT</t>
  </si>
  <si>
    <t xml:space="preserve">2023-24</t>
  </si>
  <si>
    <t xml:space="preserve">Database</t>
  </si>
  <si>
    <t xml:space="preserve">STU00006</t>
  </si>
  <si>
    <t xml:space="preserve">Jeffrey Alexander</t>
  </si>
  <si>
    <t xml:space="preserve">B.Eng</t>
  </si>
  <si>
    <t xml:space="preserve">STU00007</t>
  </si>
  <si>
    <t xml:space="preserve">Danielle Martinez</t>
  </si>
  <si>
    <t xml:space="preserve">STU00008</t>
  </si>
  <si>
    <t xml:space="preserve">Marissa Thompson</t>
  </si>
  <si>
    <t xml:space="preserve">Operating System</t>
  </si>
  <si>
    <t xml:space="preserve">Programming</t>
  </si>
  <si>
    <t xml:space="preserve">STU00009</t>
  </si>
  <si>
    <t xml:space="preserve">Savannah Townsend</t>
  </si>
  <si>
    <t xml:space="preserve">STU00010</t>
  </si>
  <si>
    <t xml:space="preserve">Jeff Jensen</t>
  </si>
  <si>
    <t xml:space="preserve">STU00011</t>
  </si>
  <si>
    <t xml:space="preserve">Tammie Lee</t>
  </si>
  <si>
    <t xml:space="preserve">STU00012</t>
  </si>
  <si>
    <t xml:space="preserve">Timothy Cowan</t>
  </si>
  <si>
    <t xml:space="preserve">STU00013</t>
  </si>
  <si>
    <t xml:space="preserve">Isaac Lee</t>
  </si>
  <si>
    <t xml:space="preserve">BBA</t>
  </si>
  <si>
    <t xml:space="preserve">STU00014</t>
  </si>
  <si>
    <t xml:space="preserve">Erin Bartlett</t>
  </si>
  <si>
    <t xml:space="preserve">BBS</t>
  </si>
  <si>
    <t xml:space="preserve">STU00015</t>
  </si>
  <si>
    <t xml:space="preserve">Kathryn Smith</t>
  </si>
  <si>
    <t xml:space="preserve">STU00016</t>
  </si>
  <si>
    <t xml:space="preserve">Matthew May</t>
  </si>
  <si>
    <t xml:space="preserve">STU00017</t>
  </si>
  <si>
    <t xml:space="preserve">Zachary Padilla</t>
  </si>
  <si>
    <t xml:space="preserve">STU00018</t>
  </si>
  <si>
    <t xml:space="preserve">Anthony Armstrong</t>
  </si>
  <si>
    <t xml:space="preserve">STU00019</t>
  </si>
  <si>
    <t xml:space="preserve">Mitchell Ruiz</t>
  </si>
  <si>
    <t xml:space="preserve">STU00020</t>
  </si>
  <si>
    <t xml:space="preserve">Jordan Thompson</t>
  </si>
  <si>
    <t xml:space="preserve">STU00021</t>
  </si>
  <si>
    <t xml:space="preserve">Maria Gardner</t>
  </si>
  <si>
    <t xml:space="preserve">STU00022</t>
  </si>
  <si>
    <t xml:space="preserve">Jacob Salazar</t>
  </si>
  <si>
    <t xml:space="preserve">STU00023</t>
  </si>
  <si>
    <t xml:space="preserve">Michele Thompson</t>
  </si>
  <si>
    <t xml:space="preserve">STU00024</t>
  </si>
  <si>
    <t xml:space="preserve">Angela Flowers</t>
  </si>
  <si>
    <t xml:space="preserve">STU00025</t>
  </si>
  <si>
    <t xml:space="preserve">Jeremy Page</t>
  </si>
  <si>
    <t xml:space="preserve">STU00026</t>
  </si>
  <si>
    <t xml:space="preserve">Scott Ramirez</t>
  </si>
  <si>
    <t xml:space="preserve">STU00027</t>
  </si>
  <si>
    <t xml:space="preserve">Mary Mclaughlin</t>
  </si>
  <si>
    <t xml:space="preserve">STU00028</t>
  </si>
  <si>
    <t xml:space="preserve">Michael Yoder</t>
  </si>
  <si>
    <t xml:space="preserve">STU00029</t>
  </si>
  <si>
    <t xml:space="preserve">Caroline Andersen</t>
  </si>
  <si>
    <t xml:space="preserve">STU00030</t>
  </si>
  <si>
    <t xml:space="preserve">Holly Smith</t>
  </si>
  <si>
    <t xml:space="preserve">STU00031</t>
  </si>
  <si>
    <t xml:space="preserve">Jennifer Contreras</t>
  </si>
  <si>
    <t xml:space="preserve">STU00032</t>
  </si>
  <si>
    <t xml:space="preserve">Corey Juarez</t>
  </si>
  <si>
    <t xml:space="preserve">STU00033</t>
  </si>
  <si>
    <t xml:space="preserve">Derek Thompson</t>
  </si>
  <si>
    <t xml:space="preserve">STU00034</t>
  </si>
  <si>
    <t xml:space="preserve">Lee Barker</t>
  </si>
  <si>
    <t xml:space="preserve">STU00035</t>
  </si>
  <si>
    <t xml:space="preserve">Mark Wilkinson</t>
  </si>
  <si>
    <t xml:space="preserve">STU00036</t>
  </si>
  <si>
    <t xml:space="preserve">Emily Castro</t>
  </si>
  <si>
    <t xml:space="preserve">BCA</t>
  </si>
  <si>
    <t xml:space="preserve">STU00037</t>
  </si>
  <si>
    <t xml:space="preserve">John Huff</t>
  </si>
  <si>
    <t xml:space="preserve">STU00038</t>
  </si>
  <si>
    <t xml:space="preserve">Timothy Davis</t>
  </si>
  <si>
    <t xml:space="preserve">STU00039</t>
  </si>
  <si>
    <t xml:space="preserve">Catherine Miller</t>
  </si>
  <si>
    <t xml:space="preserve">STU00040</t>
  </si>
  <si>
    <t xml:space="preserve">STU00041</t>
  </si>
  <si>
    <t xml:space="preserve">Adam Little</t>
  </si>
  <si>
    <t xml:space="preserve">STU00042</t>
  </si>
  <si>
    <t xml:space="preserve">Shawn Harding</t>
  </si>
  <si>
    <t xml:space="preserve">STU00043</t>
  </si>
  <si>
    <t xml:space="preserve">Michael Bender</t>
  </si>
  <si>
    <t xml:space="preserve">STU00044</t>
  </si>
  <si>
    <t xml:space="preserve">Nicole Rojas</t>
  </si>
  <si>
    <t xml:space="preserve">STU00045</t>
  </si>
  <si>
    <t xml:space="preserve">James Mitchell</t>
  </si>
  <si>
    <t xml:space="preserve">STU00046</t>
  </si>
  <si>
    <t xml:space="preserve">Karl Gutierrez</t>
  </si>
  <si>
    <t xml:space="preserve">STU00047</t>
  </si>
  <si>
    <t xml:space="preserve">Denise Gonzalez</t>
  </si>
  <si>
    <t xml:space="preserve">STU00048</t>
  </si>
  <si>
    <t xml:space="preserve">Deanna Gonzales</t>
  </si>
  <si>
    <t xml:space="preserve">STU00049</t>
  </si>
  <si>
    <t xml:space="preserve">Henry Cox</t>
  </si>
  <si>
    <t xml:space="preserve">STU00050</t>
  </si>
  <si>
    <t xml:space="preserve">Kelly Gallegos</t>
  </si>
  <si>
    <t xml:space="preserve">STU00051</t>
  </si>
  <si>
    <t xml:space="preserve">Carolyn Herring</t>
  </si>
  <si>
    <t xml:space="preserve">STU00052</t>
  </si>
  <si>
    <t xml:space="preserve">Brittney Carroll</t>
  </si>
  <si>
    <t xml:space="preserve">STU00053</t>
  </si>
  <si>
    <t xml:space="preserve">Jessica Brewer DDS</t>
  </si>
  <si>
    <t xml:space="preserve">STU00054</t>
  </si>
  <si>
    <t xml:space="preserve">Gordon Schmitt</t>
  </si>
  <si>
    <t xml:space="preserve">STU00055</t>
  </si>
  <si>
    <t xml:space="preserve">Natalie Adams</t>
  </si>
  <si>
    <t xml:space="preserve">STU00056</t>
  </si>
  <si>
    <t xml:space="preserve">Christine Robinson</t>
  </si>
  <si>
    <t xml:space="preserve">STU00057</t>
  </si>
  <si>
    <t xml:space="preserve">Thomas Holmes</t>
  </si>
  <si>
    <t xml:space="preserve">STU00058</t>
  </si>
  <si>
    <t xml:space="preserve">Karen Mcdonald</t>
  </si>
  <si>
    <t xml:space="preserve">STU00059</t>
  </si>
  <si>
    <t xml:space="preserve">Justin Barrett</t>
  </si>
  <si>
    <t xml:space="preserve">STU00060</t>
  </si>
  <si>
    <t xml:space="preserve">Erica Garcia</t>
  </si>
  <si>
    <t xml:space="preserve">STU00061</t>
  </si>
  <si>
    <t xml:space="preserve">Steven Moore</t>
  </si>
  <si>
    <t xml:space="preserve">STU00062</t>
  </si>
  <si>
    <t xml:space="preserve">George Leach</t>
  </si>
  <si>
    <t xml:space="preserve">STU00063</t>
  </si>
  <si>
    <t xml:space="preserve">Hunter Martin</t>
  </si>
  <si>
    <t xml:space="preserve">STU00064</t>
  </si>
  <si>
    <t xml:space="preserve">Nicole Gonzales</t>
  </si>
  <si>
    <t xml:space="preserve">STU00065</t>
  </si>
  <si>
    <t xml:space="preserve">Linda Neal</t>
  </si>
  <si>
    <t xml:space="preserve">STU00066</t>
  </si>
  <si>
    <t xml:space="preserve">Kara Sanchez</t>
  </si>
  <si>
    <t xml:space="preserve">STU00067</t>
  </si>
  <si>
    <t xml:space="preserve">Lindsay Olson</t>
  </si>
  <si>
    <t xml:space="preserve">STU00068</t>
  </si>
  <si>
    <t xml:space="preserve">Andrew Hickman</t>
  </si>
  <si>
    <t xml:space="preserve">STU00069</t>
  </si>
  <si>
    <t xml:space="preserve">Timothy Mcintosh</t>
  </si>
  <si>
    <t xml:space="preserve">STU00070</t>
  </si>
  <si>
    <t xml:space="preserve">Jeffery Adams</t>
  </si>
  <si>
    <t xml:space="preserve">STU00071</t>
  </si>
  <si>
    <t xml:space="preserve">Leslie Martin</t>
  </si>
  <si>
    <t xml:space="preserve">STU00072</t>
  </si>
  <si>
    <t xml:space="preserve">Eric Carlson</t>
  </si>
  <si>
    <t xml:space="preserve">STU00073</t>
  </si>
  <si>
    <t xml:space="preserve">Kelly Lynn</t>
  </si>
  <si>
    <t xml:space="preserve">STU00074</t>
  </si>
  <si>
    <t xml:space="preserve">Brenda Alvarado</t>
  </si>
  <si>
    <t xml:space="preserve">STU00075</t>
  </si>
  <si>
    <t xml:space="preserve">Amy Davis</t>
  </si>
  <si>
    <t xml:space="preserve">STU00076</t>
  </si>
  <si>
    <t xml:space="preserve">Brenda Reed</t>
  </si>
  <si>
    <t xml:space="preserve">STU00077</t>
  </si>
  <si>
    <t xml:space="preserve">Joe Hopkins</t>
  </si>
  <si>
    <t xml:space="preserve">STU00078</t>
  </si>
  <si>
    <t xml:space="preserve">Christopher Parker</t>
  </si>
  <si>
    <t xml:space="preserve">STU00079</t>
  </si>
  <si>
    <t xml:space="preserve">Scott Kim</t>
  </si>
  <si>
    <t xml:space="preserve">STU00080</t>
  </si>
  <si>
    <t xml:space="preserve">Brittany Peters</t>
  </si>
  <si>
    <t xml:space="preserve">STU00081</t>
  </si>
  <si>
    <t xml:space="preserve">Abigail Moore</t>
  </si>
  <si>
    <t xml:space="preserve">STU00082</t>
  </si>
  <si>
    <t xml:space="preserve">Joshua Long</t>
  </si>
  <si>
    <t xml:space="preserve">STU00083</t>
  </si>
  <si>
    <t xml:space="preserve">John Bennett</t>
  </si>
  <si>
    <t xml:space="preserve">STU00084</t>
  </si>
  <si>
    <t xml:space="preserve">David Stark</t>
  </si>
  <si>
    <t xml:space="preserve">STU00085</t>
  </si>
  <si>
    <t xml:space="preserve">Fernando Mcconnell</t>
  </si>
  <si>
    <t xml:space="preserve">STU00086</t>
  </si>
  <si>
    <t xml:space="preserve">Gabriel Campbell</t>
  </si>
  <si>
    <t xml:space="preserve">STU00087</t>
  </si>
  <si>
    <t xml:space="preserve">Shelley Carlson</t>
  </si>
  <si>
    <t xml:space="preserve">STU00088</t>
  </si>
  <si>
    <t xml:space="preserve">Hannah Santiago</t>
  </si>
  <si>
    <t xml:space="preserve">STU00089</t>
  </si>
  <si>
    <t xml:space="preserve">Alyssa Blackwell</t>
  </si>
  <si>
    <t xml:space="preserve">STU00090</t>
  </si>
  <si>
    <t xml:space="preserve">David Cox</t>
  </si>
  <si>
    <t xml:space="preserve">STU00091</t>
  </si>
  <si>
    <t xml:space="preserve">April Greene</t>
  </si>
  <si>
    <t xml:space="preserve">STU00092</t>
  </si>
  <si>
    <t xml:space="preserve">Billy Hall</t>
  </si>
  <si>
    <t xml:space="preserve">STU00093</t>
  </si>
  <si>
    <t xml:space="preserve">Mr. Eric Davis MD</t>
  </si>
  <si>
    <t xml:space="preserve">STU00094</t>
  </si>
  <si>
    <t xml:space="preserve">Chris Collins</t>
  </si>
  <si>
    <t xml:space="preserve">STU00095</t>
  </si>
  <si>
    <t xml:space="preserve">Karen Green</t>
  </si>
  <si>
    <t xml:space="preserve">STU00096</t>
  </si>
  <si>
    <t xml:space="preserve">Cassie Sanders</t>
  </si>
  <si>
    <t xml:space="preserve">STU00097</t>
  </si>
  <si>
    <t xml:space="preserve">Ashley Drake</t>
  </si>
  <si>
    <t xml:space="preserve">STU00098</t>
  </si>
  <si>
    <t xml:space="preserve">Nicholas Rios</t>
  </si>
  <si>
    <t xml:space="preserve">STU00099</t>
  </si>
  <si>
    <t xml:space="preserve">Robert Martin</t>
  </si>
  <si>
    <t xml:space="preserve">STU00100</t>
  </si>
  <si>
    <t xml:space="preserve">Jonathon Parks</t>
  </si>
  <si>
    <t xml:space="preserve">STU00101</t>
  </si>
  <si>
    <t xml:space="preserve">Matthew Santiago</t>
  </si>
  <si>
    <t xml:space="preserve">STU00102</t>
  </si>
  <si>
    <t xml:space="preserve">Anthony Coleman</t>
  </si>
  <si>
    <t xml:space="preserve">STU00103</t>
  </si>
  <si>
    <t xml:space="preserve">Audrey Roman</t>
  </si>
  <si>
    <t xml:space="preserve">STU00104</t>
  </si>
  <si>
    <t xml:space="preserve">Kathryn Norman</t>
  </si>
  <si>
    <t xml:space="preserve">STU00105</t>
  </si>
  <si>
    <t xml:space="preserve">Sarah Bonilla</t>
  </si>
  <si>
    <t xml:space="preserve">STU00106</t>
  </si>
  <si>
    <t xml:space="preserve">Christopher Coleman</t>
  </si>
  <si>
    <t xml:space="preserve">STU00107</t>
  </si>
  <si>
    <t xml:space="preserve">Sheila Miller</t>
  </si>
  <si>
    <t xml:space="preserve">STU00108</t>
  </si>
  <si>
    <t xml:space="preserve">Travis Zimmerman</t>
  </si>
  <si>
    <t xml:space="preserve">STU00109</t>
  </si>
  <si>
    <t xml:space="preserve">Jose Mendez</t>
  </si>
  <si>
    <t xml:space="preserve">STU00110</t>
  </si>
  <si>
    <t xml:space="preserve">Jessica Marshall</t>
  </si>
  <si>
    <t xml:space="preserve">STU00111</t>
  </si>
  <si>
    <t xml:space="preserve">Sean Stevens</t>
  </si>
  <si>
    <t xml:space="preserve">STU00112</t>
  </si>
  <si>
    <t xml:space="preserve">Kyle Wood</t>
  </si>
  <si>
    <t xml:space="preserve">STU00113</t>
  </si>
  <si>
    <t xml:space="preserve">Michael Wang</t>
  </si>
  <si>
    <t xml:space="preserve">STU00114</t>
  </si>
  <si>
    <t xml:space="preserve">Derek Carter</t>
  </si>
  <si>
    <t xml:space="preserve">STU00115</t>
  </si>
  <si>
    <t xml:space="preserve">Jeremy Evans</t>
  </si>
  <si>
    <t xml:space="preserve">STU00116</t>
  </si>
  <si>
    <t xml:space="preserve">Brian Dennis</t>
  </si>
  <si>
    <t xml:space="preserve">STU00117</t>
  </si>
  <si>
    <t xml:space="preserve">Jennifer Thompson</t>
  </si>
  <si>
    <t xml:space="preserve">STU00118</t>
  </si>
  <si>
    <t xml:space="preserve">Beth Thomas</t>
  </si>
  <si>
    <t xml:space="preserve">STU00119</t>
  </si>
  <si>
    <t xml:space="preserve">Steven Reed MD</t>
  </si>
  <si>
    <t xml:space="preserve">STU00120</t>
  </si>
  <si>
    <t xml:space="preserve">Tamara Berger</t>
  </si>
  <si>
    <t xml:space="preserve">STU00121</t>
  </si>
  <si>
    <t xml:space="preserve">Samantha Carroll</t>
  </si>
  <si>
    <t xml:space="preserve">STU00122</t>
  </si>
  <si>
    <t xml:space="preserve">Gabriel Johnson</t>
  </si>
  <si>
    <t xml:space="preserve">STU00123</t>
  </si>
  <si>
    <t xml:space="preserve">Misty Burnett</t>
  </si>
  <si>
    <t xml:space="preserve">STU00124</t>
  </si>
  <si>
    <t xml:space="preserve">Jose Swanson</t>
  </si>
  <si>
    <t xml:space="preserve">STU00125</t>
  </si>
  <si>
    <t xml:space="preserve">Mark Turner</t>
  </si>
  <si>
    <t xml:space="preserve">STU00126</t>
  </si>
  <si>
    <t xml:space="preserve">Clinton Francis</t>
  </si>
  <si>
    <t xml:space="preserve">STU00127</t>
  </si>
  <si>
    <t xml:space="preserve">Natalie Miller</t>
  </si>
  <si>
    <t xml:space="preserve">STU00128</t>
  </si>
  <si>
    <t xml:space="preserve">Traci Leon</t>
  </si>
  <si>
    <t xml:space="preserve">STU00129</t>
  </si>
  <si>
    <t xml:space="preserve">Whitney Gilbert</t>
  </si>
  <si>
    <t xml:space="preserve">STU00130</t>
  </si>
  <si>
    <t xml:space="preserve">Rebecca Benson</t>
  </si>
  <si>
    <t xml:space="preserve">STU00131</t>
  </si>
  <si>
    <t xml:space="preserve">Kenneth Lewis</t>
  </si>
  <si>
    <t xml:space="preserve">STU00132</t>
  </si>
  <si>
    <t xml:space="preserve">Denise Barker</t>
  </si>
  <si>
    <t xml:space="preserve">STU00133</t>
  </si>
  <si>
    <t xml:space="preserve">Jonathan Williams</t>
  </si>
  <si>
    <t xml:space="preserve">STU00134</t>
  </si>
  <si>
    <t xml:space="preserve">Christopher Mitchell</t>
  </si>
  <si>
    <t xml:space="preserve">STU00135</t>
  </si>
  <si>
    <t xml:space="preserve">Daniel Casey</t>
  </si>
  <si>
    <t xml:space="preserve">STU00136</t>
  </si>
  <si>
    <t xml:space="preserve">Denise Ford</t>
  </si>
  <si>
    <t xml:space="preserve">STU00137</t>
  </si>
  <si>
    <t xml:space="preserve">Madison Davis</t>
  </si>
  <si>
    <t xml:space="preserve">STU00138</t>
  </si>
  <si>
    <t xml:space="preserve">Michael Walker</t>
  </si>
  <si>
    <t xml:space="preserve">STU00139</t>
  </si>
  <si>
    <t xml:space="preserve">Monica Lynch</t>
  </si>
  <si>
    <t xml:space="preserve">STU00140</t>
  </si>
  <si>
    <t xml:space="preserve">Jason Larson</t>
  </si>
  <si>
    <t xml:space="preserve">STU00141</t>
  </si>
  <si>
    <t xml:space="preserve">Karen Grant</t>
  </si>
  <si>
    <t xml:space="preserve">STU00142</t>
  </si>
  <si>
    <t xml:space="preserve">Francisco Carson</t>
  </si>
  <si>
    <t xml:space="preserve">STU00143</t>
  </si>
  <si>
    <t xml:space="preserve">Scott Porter</t>
  </si>
  <si>
    <t xml:space="preserve">STU00144</t>
  </si>
  <si>
    <t xml:space="preserve">Carolyn Price</t>
  </si>
  <si>
    <t xml:space="preserve">STU00145</t>
  </si>
  <si>
    <t xml:space="preserve">Matthew Duncan</t>
  </si>
  <si>
    <t xml:space="preserve">STU00146</t>
  </si>
  <si>
    <t xml:space="preserve">John Mercer</t>
  </si>
  <si>
    <t xml:space="preserve">STU00147</t>
  </si>
  <si>
    <t xml:space="preserve">Paul Moreno</t>
  </si>
  <si>
    <t xml:space="preserve">STU00148</t>
  </si>
  <si>
    <t xml:space="preserve">Paul Hayes</t>
  </si>
  <si>
    <t xml:space="preserve">STU00149</t>
  </si>
  <si>
    <t xml:space="preserve">Christopher Richards</t>
  </si>
  <si>
    <t xml:space="preserve">STU00150</t>
  </si>
  <si>
    <t xml:space="preserve">Krystal Perry</t>
  </si>
  <si>
    <t xml:space="preserve">STU00151</t>
  </si>
  <si>
    <t xml:space="preserve">Nicole Campbell</t>
  </si>
  <si>
    <t xml:space="preserve">STU00152</t>
  </si>
  <si>
    <t xml:space="preserve">Wanda Brooks</t>
  </si>
  <si>
    <t xml:space="preserve">STU00153</t>
  </si>
  <si>
    <t xml:space="preserve">Jamie Rush</t>
  </si>
  <si>
    <t xml:space="preserve">STU00154</t>
  </si>
  <si>
    <t xml:space="preserve">James Lewis</t>
  </si>
  <si>
    <t xml:space="preserve">STU00155</t>
  </si>
  <si>
    <t xml:space="preserve">Dylan Hancock</t>
  </si>
  <si>
    <t xml:space="preserve">STU00156</t>
  </si>
  <si>
    <t xml:space="preserve">Victoria Werner</t>
  </si>
  <si>
    <t xml:space="preserve">STU00157</t>
  </si>
  <si>
    <t xml:space="preserve">Heather Robinson</t>
  </si>
  <si>
    <t xml:space="preserve">STU00158</t>
  </si>
  <si>
    <t xml:space="preserve">Diana Townsend</t>
  </si>
  <si>
    <t xml:space="preserve">STU00159</t>
  </si>
  <si>
    <t xml:space="preserve">Mary Mcdaniel</t>
  </si>
  <si>
    <t xml:space="preserve">STU00160</t>
  </si>
  <si>
    <t xml:space="preserve">Makayla Shaw</t>
  </si>
  <si>
    <t xml:space="preserve">STU00161</t>
  </si>
  <si>
    <t xml:space="preserve">Courtney Powell</t>
  </si>
  <si>
    <t xml:space="preserve">STU00162</t>
  </si>
  <si>
    <t xml:space="preserve">Donna Middleton</t>
  </si>
  <si>
    <t xml:space="preserve">STU00163</t>
  </si>
  <si>
    <t xml:space="preserve">Shane Ross</t>
  </si>
  <si>
    <t xml:space="preserve">STU00164</t>
  </si>
  <si>
    <t xml:space="preserve">Ronald Hines</t>
  </si>
  <si>
    <t xml:space="preserve">STU00165</t>
  </si>
  <si>
    <t xml:space="preserve">Melinda Garcia</t>
  </si>
  <si>
    <t xml:space="preserve">STU00166</t>
  </si>
  <si>
    <t xml:space="preserve">Jennifer Barnes</t>
  </si>
  <si>
    <t xml:space="preserve">STU00167</t>
  </si>
  <si>
    <t xml:space="preserve">Allen Walker</t>
  </si>
  <si>
    <t xml:space="preserve">STU00168</t>
  </si>
  <si>
    <t xml:space="preserve">Kathy Miller</t>
  </si>
  <si>
    <t xml:space="preserve">STU00169</t>
  </si>
  <si>
    <t xml:space="preserve">Jennifer Johnson</t>
  </si>
  <si>
    <t xml:space="preserve">STU00170</t>
  </si>
  <si>
    <t xml:space="preserve">Carol Garrett</t>
  </si>
  <si>
    <t xml:space="preserve">STU00171</t>
  </si>
  <si>
    <t xml:space="preserve">Tiffany Johnson</t>
  </si>
  <si>
    <t xml:space="preserve">STU00172</t>
  </si>
  <si>
    <t xml:space="preserve">Rachel Price</t>
  </si>
  <si>
    <t xml:space="preserve">STU00173</t>
  </si>
  <si>
    <t xml:space="preserve">Cheryl Gentry</t>
  </si>
  <si>
    <t xml:space="preserve">STU00174</t>
  </si>
  <si>
    <t xml:space="preserve">Nathan Allen</t>
  </si>
  <si>
    <t xml:space="preserve">STU00175</t>
  </si>
  <si>
    <t xml:space="preserve">Micheal Gonzalez</t>
  </si>
  <si>
    <t xml:space="preserve">STU00176</t>
  </si>
  <si>
    <t xml:space="preserve">STU00177</t>
  </si>
  <si>
    <t xml:space="preserve">Judy Sutton</t>
  </si>
  <si>
    <t xml:space="preserve">STU00178</t>
  </si>
  <si>
    <t xml:space="preserve">David Thompson</t>
  </si>
  <si>
    <t xml:space="preserve">STU00179</t>
  </si>
  <si>
    <t xml:space="preserve">Martin Lara</t>
  </si>
  <si>
    <t xml:space="preserve">STU00180</t>
  </si>
  <si>
    <t xml:space="preserve">Shelby Stout</t>
  </si>
  <si>
    <t xml:space="preserve">STU00181</t>
  </si>
  <si>
    <t xml:space="preserve">STU00182</t>
  </si>
  <si>
    <t xml:space="preserve">Melanie Russell</t>
  </si>
  <si>
    <t xml:space="preserve">STU00183</t>
  </si>
  <si>
    <t xml:space="preserve">Julie Cruz</t>
  </si>
  <si>
    <t xml:space="preserve">STU00184</t>
  </si>
  <si>
    <t xml:space="preserve">Tina Ware</t>
  </si>
  <si>
    <t xml:space="preserve">STU00185</t>
  </si>
  <si>
    <t xml:space="preserve">Michelle Lawson</t>
  </si>
  <si>
    <t xml:space="preserve">STU00186</t>
  </si>
  <si>
    <t xml:space="preserve">Michelle Gonzales DVM</t>
  </si>
  <si>
    <t xml:space="preserve">STU00187</t>
  </si>
  <si>
    <t xml:space="preserve">Robert Clayton</t>
  </si>
  <si>
    <t xml:space="preserve">STU00188</t>
  </si>
  <si>
    <t xml:space="preserve">Amanda Ross</t>
  </si>
  <si>
    <t xml:space="preserve">STU00189</t>
  </si>
  <si>
    <t xml:space="preserve">Lori Alexander</t>
  </si>
  <si>
    <t xml:space="preserve">STU00190</t>
  </si>
  <si>
    <t xml:space="preserve">Ashley Boone</t>
  </si>
  <si>
    <t xml:space="preserve">STU00191</t>
  </si>
  <si>
    <t xml:space="preserve">Lauren Moody</t>
  </si>
  <si>
    <t xml:space="preserve">STU00192</t>
  </si>
  <si>
    <t xml:space="preserve">Holly Douglas</t>
  </si>
  <si>
    <t xml:space="preserve">STU00193</t>
  </si>
  <si>
    <t xml:space="preserve">David Olson</t>
  </si>
  <si>
    <t xml:space="preserve">STU00194</t>
  </si>
  <si>
    <t xml:space="preserve">Gary Benson</t>
  </si>
  <si>
    <t xml:space="preserve">STU00195</t>
  </si>
  <si>
    <t xml:space="preserve">Michael Goodwin</t>
  </si>
  <si>
    <t xml:space="preserve">STU00196</t>
  </si>
  <si>
    <t xml:space="preserve">Grace Norris</t>
  </si>
  <si>
    <t xml:space="preserve">STU00197</t>
  </si>
  <si>
    <t xml:space="preserve">Jerry Scott</t>
  </si>
  <si>
    <t xml:space="preserve">STU00198</t>
  </si>
  <si>
    <t xml:space="preserve">STU00199</t>
  </si>
  <si>
    <t xml:space="preserve">Allison Beard</t>
  </si>
  <si>
    <t xml:space="preserve">STU00200</t>
  </si>
  <si>
    <t xml:space="preserve">Michelle Parker</t>
  </si>
  <si>
    <t xml:space="preserve">STU00201</t>
  </si>
  <si>
    <t xml:space="preserve">Latoya Torres</t>
  </si>
  <si>
    <t xml:space="preserve">STU00202</t>
  </si>
  <si>
    <t xml:space="preserve">Megan Moore</t>
  </si>
  <si>
    <t xml:space="preserve">STU00203</t>
  </si>
  <si>
    <t xml:space="preserve">Betty Lawson</t>
  </si>
  <si>
    <t xml:space="preserve">STU00204</t>
  </si>
  <si>
    <t xml:space="preserve">Dawn Perez</t>
  </si>
  <si>
    <t xml:space="preserve">STU00205</t>
  </si>
  <si>
    <t xml:space="preserve">Lauren Hernandez</t>
  </si>
  <si>
    <t xml:space="preserve">STU00206</t>
  </si>
  <si>
    <t xml:space="preserve">Jackson Romero</t>
  </si>
  <si>
    <t xml:space="preserve">STU00207</t>
  </si>
  <si>
    <t xml:space="preserve">Kellie Woods</t>
  </si>
  <si>
    <t xml:space="preserve">STU00208</t>
  </si>
  <si>
    <t xml:space="preserve">Valerie Schneider</t>
  </si>
  <si>
    <t xml:space="preserve">STU00209</t>
  </si>
  <si>
    <t xml:space="preserve">Kathryn Mills</t>
  </si>
  <si>
    <t xml:space="preserve">STU00210</t>
  </si>
  <si>
    <t xml:space="preserve">Timothy Wong</t>
  </si>
  <si>
    <t xml:space="preserve">STU00211</t>
  </si>
  <si>
    <t xml:space="preserve">Karen Webb</t>
  </si>
  <si>
    <t xml:space="preserve">STU00212</t>
  </si>
  <si>
    <t xml:space="preserve">Michael Brown</t>
  </si>
  <si>
    <t xml:space="preserve">STU00213</t>
  </si>
  <si>
    <t xml:space="preserve">Daniel Hernandez</t>
  </si>
  <si>
    <t xml:space="preserve">STU00214</t>
  </si>
  <si>
    <t xml:space="preserve">Monica Wilson</t>
  </si>
  <si>
    <t xml:space="preserve">STU00215</t>
  </si>
  <si>
    <t xml:space="preserve">Jonathan Hudson</t>
  </si>
  <si>
    <t xml:space="preserve">STU00216</t>
  </si>
  <si>
    <t xml:space="preserve">Alexandria Francis</t>
  </si>
  <si>
    <t xml:space="preserve">STU00217</t>
  </si>
  <si>
    <t xml:space="preserve">Rachel Villanueva</t>
  </si>
  <si>
    <t xml:space="preserve">STU00218</t>
  </si>
  <si>
    <t xml:space="preserve">Heidi Johnson</t>
  </si>
  <si>
    <t xml:space="preserve">STU00219</t>
  </si>
  <si>
    <t xml:space="preserve">Tiffany Romero</t>
  </si>
  <si>
    <t xml:space="preserve">STU00220</t>
  </si>
  <si>
    <t xml:space="preserve">Tyrone Bradford</t>
  </si>
  <si>
    <t xml:space="preserve">STU00221</t>
  </si>
  <si>
    <t xml:space="preserve">Angela Yates</t>
  </si>
  <si>
    <t xml:space="preserve">STU00222</t>
  </si>
  <si>
    <t xml:space="preserve">Joseph Sanchez</t>
  </si>
  <si>
    <t xml:space="preserve">STU00223</t>
  </si>
  <si>
    <t xml:space="preserve">Catherine Mayer</t>
  </si>
  <si>
    <t xml:space="preserve">STU00224</t>
  </si>
  <si>
    <t xml:space="preserve">Crystal Love</t>
  </si>
  <si>
    <t xml:space="preserve">STU00225</t>
  </si>
  <si>
    <t xml:space="preserve">William Baker</t>
  </si>
  <si>
    <t xml:space="preserve">STU00226</t>
  </si>
  <si>
    <t xml:space="preserve">Patrick Quinn</t>
  </si>
  <si>
    <t xml:space="preserve">STU00227</t>
  </si>
  <si>
    <t xml:space="preserve">Susan Anderson</t>
  </si>
  <si>
    <t xml:space="preserve">STU00228</t>
  </si>
  <si>
    <t xml:space="preserve">Daniel Sanchez</t>
  </si>
  <si>
    <t xml:space="preserve">STU00229</t>
  </si>
  <si>
    <t xml:space="preserve">Karen Garcia</t>
  </si>
  <si>
    <t xml:space="preserve">STU00230</t>
  </si>
  <si>
    <t xml:space="preserve">Amber Tyler</t>
  </si>
  <si>
    <t xml:space="preserve">STU00231</t>
  </si>
  <si>
    <t xml:space="preserve">John Ramos</t>
  </si>
  <si>
    <t xml:space="preserve">STU00232</t>
  </si>
  <si>
    <t xml:space="preserve">Brett Lawrence</t>
  </si>
  <si>
    <t xml:space="preserve">STU00233</t>
  </si>
  <si>
    <t xml:space="preserve">Elizabeth Smith</t>
  </si>
  <si>
    <t xml:space="preserve">STU00234</t>
  </si>
  <si>
    <t xml:space="preserve">Taylor Cortez</t>
  </si>
  <si>
    <t xml:space="preserve">STU00235</t>
  </si>
  <si>
    <t xml:space="preserve">Marvin Chapman</t>
  </si>
  <si>
    <t xml:space="preserve">STU00236</t>
  </si>
  <si>
    <t xml:space="preserve">Nicole Gay</t>
  </si>
  <si>
    <t xml:space="preserve">STU00237</t>
  </si>
  <si>
    <t xml:space="preserve">Jason Nelson</t>
  </si>
  <si>
    <t xml:space="preserve">STU00238</t>
  </si>
  <si>
    <t xml:space="preserve">Erin Webb</t>
  </si>
  <si>
    <t xml:space="preserve">STU00239</t>
  </si>
  <si>
    <t xml:space="preserve">Matthew Baker</t>
  </si>
  <si>
    <t xml:space="preserve">STU00240</t>
  </si>
  <si>
    <t xml:space="preserve">Glenda Byrd</t>
  </si>
  <si>
    <t xml:space="preserve">STU00241</t>
  </si>
  <si>
    <t xml:space="preserve">Lori Rodriguez</t>
  </si>
  <si>
    <t xml:space="preserve">STU00242</t>
  </si>
  <si>
    <t xml:space="preserve">Catherine Smith</t>
  </si>
  <si>
    <t xml:space="preserve">STU00243</t>
  </si>
  <si>
    <t xml:space="preserve">Katrina Simpson</t>
  </si>
  <si>
    <t xml:space="preserve">STU00244</t>
  </si>
  <si>
    <t xml:space="preserve">Philip Chambers</t>
  </si>
  <si>
    <t xml:space="preserve">STU00245</t>
  </si>
  <si>
    <t xml:space="preserve">Scott Peterson</t>
  </si>
  <si>
    <t xml:space="preserve">STU00246</t>
  </si>
  <si>
    <t xml:space="preserve">Samantha Lee</t>
  </si>
  <si>
    <t xml:space="preserve">STU00247</t>
  </si>
  <si>
    <t xml:space="preserve">David Parker</t>
  </si>
  <si>
    <t xml:space="preserve">STU00248</t>
  </si>
  <si>
    <t xml:space="preserve">Randall Kennedy</t>
  </si>
  <si>
    <t xml:space="preserve">STU00249</t>
  </si>
  <si>
    <t xml:space="preserve">Tanya Clark</t>
  </si>
  <si>
    <t xml:space="preserve">STU00250</t>
  </si>
  <si>
    <t xml:space="preserve">Erica Lee</t>
  </si>
  <si>
    <t xml:space="preserve">STU00251</t>
  </si>
  <si>
    <t xml:space="preserve">Christopher Moore</t>
  </si>
  <si>
    <t xml:space="preserve">STU00252</t>
  </si>
  <si>
    <t xml:space="preserve">Erika Black</t>
  </si>
  <si>
    <t xml:space="preserve">STU00253</t>
  </si>
  <si>
    <t xml:space="preserve">Kurt Butler</t>
  </si>
  <si>
    <t xml:space="preserve">STU00254</t>
  </si>
  <si>
    <t xml:space="preserve">STU00255</t>
  </si>
  <si>
    <t xml:space="preserve">Sandra Wood</t>
  </si>
  <si>
    <t xml:space="preserve">STU00256</t>
  </si>
  <si>
    <t xml:space="preserve">Nicholas Calderon</t>
  </si>
  <si>
    <t xml:space="preserve">STU00257</t>
  </si>
  <si>
    <t xml:space="preserve">Eric Elliott</t>
  </si>
  <si>
    <t xml:space="preserve">STU00258</t>
  </si>
  <si>
    <t xml:space="preserve">Abigail Case</t>
  </si>
  <si>
    <t xml:space="preserve">STU00259</t>
  </si>
  <si>
    <t xml:space="preserve">Jason Brewer</t>
  </si>
  <si>
    <t xml:space="preserve">STU00260</t>
  </si>
  <si>
    <t xml:space="preserve">Jesus Hill</t>
  </si>
  <si>
    <t xml:space="preserve">STU00261</t>
  </si>
  <si>
    <t xml:space="preserve">Christina Bates</t>
  </si>
  <si>
    <t xml:space="preserve">STU00262</t>
  </si>
  <si>
    <t xml:space="preserve">Ronnie Johnson</t>
  </si>
  <si>
    <t xml:space="preserve">STU00263</t>
  </si>
  <si>
    <t xml:space="preserve">James Grant</t>
  </si>
  <si>
    <t xml:space="preserve">STU00264</t>
  </si>
  <si>
    <t xml:space="preserve">Rebecca Williamson</t>
  </si>
  <si>
    <t xml:space="preserve">STU00265</t>
  </si>
  <si>
    <t xml:space="preserve">STU00266</t>
  </si>
  <si>
    <t xml:space="preserve">Nathan David</t>
  </si>
  <si>
    <t xml:space="preserve">STU00267</t>
  </si>
  <si>
    <t xml:space="preserve">Tiffany Arroyo</t>
  </si>
  <si>
    <t xml:space="preserve">STU00268</t>
  </si>
  <si>
    <t xml:space="preserve">Jeanette Moyer</t>
  </si>
  <si>
    <t xml:space="preserve">STU00269</t>
  </si>
  <si>
    <t xml:space="preserve">Danielle Benitez</t>
  </si>
  <si>
    <t xml:space="preserve">STU00270</t>
  </si>
  <si>
    <t xml:space="preserve">Amy Brown</t>
  </si>
  <si>
    <t xml:space="preserve">STU00271</t>
  </si>
  <si>
    <t xml:space="preserve">Joshua Kim</t>
  </si>
  <si>
    <t xml:space="preserve">STU00272</t>
  </si>
  <si>
    <t xml:space="preserve">John Gilmore</t>
  </si>
  <si>
    <t xml:space="preserve">STU00273</t>
  </si>
  <si>
    <t xml:space="preserve">William Oconnor</t>
  </si>
  <si>
    <t xml:space="preserve">STU00274</t>
  </si>
  <si>
    <t xml:space="preserve">Shelly Lawrence</t>
  </si>
  <si>
    <t xml:space="preserve">STU00275</t>
  </si>
  <si>
    <t xml:space="preserve">Kristina Gonzales</t>
  </si>
  <si>
    <t xml:space="preserve">STU00276</t>
  </si>
  <si>
    <t xml:space="preserve">Joshua Guerrero</t>
  </si>
  <si>
    <t xml:space="preserve">STU00277</t>
  </si>
  <si>
    <t xml:space="preserve">Ruth Norris</t>
  </si>
  <si>
    <t xml:space="preserve">STU00278</t>
  </si>
  <si>
    <t xml:space="preserve">Randy Harrell</t>
  </si>
  <si>
    <t xml:space="preserve">STU00279</t>
  </si>
  <si>
    <t xml:space="preserve">Nancy Krueger</t>
  </si>
  <si>
    <t xml:space="preserve">STU00280</t>
  </si>
  <si>
    <t xml:space="preserve">Raymond Burgess</t>
  </si>
  <si>
    <t xml:space="preserve">STU00281</t>
  </si>
  <si>
    <t xml:space="preserve">Frank Perez</t>
  </si>
  <si>
    <t xml:space="preserve">STU00282</t>
  </si>
  <si>
    <t xml:space="preserve">Cristian Mata</t>
  </si>
  <si>
    <t xml:space="preserve">STU00283</t>
  </si>
  <si>
    <t xml:space="preserve">Larry Cantu</t>
  </si>
  <si>
    <t xml:space="preserve">STU00284</t>
  </si>
  <si>
    <t xml:space="preserve">Martin Simmons</t>
  </si>
  <si>
    <t xml:space="preserve">STU00285</t>
  </si>
  <si>
    <t xml:space="preserve">Rebecca Decker</t>
  </si>
  <si>
    <t xml:space="preserve">STU00286</t>
  </si>
  <si>
    <t xml:space="preserve">William Brooks</t>
  </si>
  <si>
    <t xml:space="preserve">STU00287</t>
  </si>
  <si>
    <t xml:space="preserve">Whitney Moyer</t>
  </si>
  <si>
    <t xml:space="preserve">STU00288</t>
  </si>
  <si>
    <t xml:space="preserve">Erin Ryan</t>
  </si>
  <si>
    <t xml:space="preserve">STU00289</t>
  </si>
  <si>
    <t xml:space="preserve">Gene Jones</t>
  </si>
  <si>
    <t xml:space="preserve">STU00290</t>
  </si>
  <si>
    <t xml:space="preserve">Brandon Grant</t>
  </si>
  <si>
    <t xml:space="preserve">STU00291</t>
  </si>
  <si>
    <t xml:space="preserve">Christopher Palmer</t>
  </si>
  <si>
    <t xml:space="preserve">STU00292</t>
  </si>
  <si>
    <t xml:space="preserve">Laura Mcdonald</t>
  </si>
  <si>
    <t xml:space="preserve">STU00293</t>
  </si>
  <si>
    <t xml:space="preserve">Cheryl Jones</t>
  </si>
  <si>
    <t xml:space="preserve">STU00294</t>
  </si>
  <si>
    <t xml:space="preserve">Sabrina Owens</t>
  </si>
  <si>
    <t xml:space="preserve">STU00295</t>
  </si>
  <si>
    <t xml:space="preserve">Wendy Hernandez</t>
  </si>
  <si>
    <t xml:space="preserve">STU00296</t>
  </si>
  <si>
    <t xml:space="preserve">Christopher Johnston</t>
  </si>
  <si>
    <t xml:space="preserve">STU00297</t>
  </si>
  <si>
    <t xml:space="preserve">Richard Stevenson</t>
  </si>
  <si>
    <t xml:space="preserve">STU00298</t>
  </si>
  <si>
    <t xml:space="preserve">Stacy Morales</t>
  </si>
  <si>
    <t xml:space="preserve">STU00299</t>
  </si>
  <si>
    <t xml:space="preserve">Marcus Price</t>
  </si>
  <si>
    <t xml:space="preserve">STU00300</t>
  </si>
  <si>
    <t xml:space="preserve">Frank Hernandez</t>
  </si>
  <si>
    <t xml:space="preserve">STU00301</t>
  </si>
  <si>
    <t xml:space="preserve">Lauren Saunders</t>
  </si>
  <si>
    <t xml:space="preserve">STU00302</t>
  </si>
  <si>
    <t xml:space="preserve">Martha Gonzalez</t>
  </si>
  <si>
    <t xml:space="preserve">STU00303</t>
  </si>
  <si>
    <t xml:space="preserve">Tammy Barry</t>
  </si>
  <si>
    <t xml:space="preserve">STU00304</t>
  </si>
  <si>
    <t xml:space="preserve">Laura Lopez</t>
  </si>
  <si>
    <t xml:space="preserve">STU00305</t>
  </si>
  <si>
    <t xml:space="preserve">Eric Garcia</t>
  </si>
  <si>
    <t xml:space="preserve">STU00306</t>
  </si>
  <si>
    <t xml:space="preserve">Terry Williams</t>
  </si>
  <si>
    <t xml:space="preserve">STU00307</t>
  </si>
  <si>
    <t xml:space="preserve">Gregory Jones</t>
  </si>
  <si>
    <t xml:space="preserve">STU00308</t>
  </si>
  <si>
    <t xml:space="preserve">Tanya Barrett</t>
  </si>
  <si>
    <t xml:space="preserve">STU00309</t>
  </si>
  <si>
    <t xml:space="preserve">Christopher Ritter</t>
  </si>
  <si>
    <t xml:space="preserve">STU00310</t>
  </si>
  <si>
    <t xml:space="preserve">Thomas Barton</t>
  </si>
  <si>
    <t xml:space="preserve">STU00311</t>
  </si>
  <si>
    <t xml:space="preserve">Shawn Blackburn</t>
  </si>
  <si>
    <t xml:space="preserve">STU00312</t>
  </si>
  <si>
    <t xml:space="preserve">Travis Johnson</t>
  </si>
  <si>
    <t xml:space="preserve">STU00313</t>
  </si>
  <si>
    <t xml:space="preserve">Sarah Clark</t>
  </si>
  <si>
    <t xml:space="preserve">STU00314</t>
  </si>
  <si>
    <t xml:space="preserve">Jeffrey Gonzalez</t>
  </si>
  <si>
    <t xml:space="preserve">STU00315</t>
  </si>
  <si>
    <t xml:space="preserve">Leslie Martinez</t>
  </si>
  <si>
    <t xml:space="preserve">STU00316</t>
  </si>
  <si>
    <t xml:space="preserve">Katie Lane</t>
  </si>
  <si>
    <t xml:space="preserve">STU00317</t>
  </si>
  <si>
    <t xml:space="preserve">Carla Clark</t>
  </si>
  <si>
    <t xml:space="preserve">STU00318</t>
  </si>
  <si>
    <t xml:space="preserve">Natalie Howard</t>
  </si>
  <si>
    <t xml:space="preserve">STU00319</t>
  </si>
  <si>
    <t xml:space="preserve">Jennifer Clark MD</t>
  </si>
  <si>
    <t xml:space="preserve">STU00320</t>
  </si>
  <si>
    <t xml:space="preserve">Karen Hicks</t>
  </si>
  <si>
    <t xml:space="preserve">STU00321</t>
  </si>
  <si>
    <t xml:space="preserve">Alexis James</t>
  </si>
  <si>
    <t xml:space="preserve">STU00322</t>
  </si>
  <si>
    <t xml:space="preserve">Tyrone Garcia</t>
  </si>
  <si>
    <t xml:space="preserve">STU00323</t>
  </si>
  <si>
    <t xml:space="preserve">Eric Brown</t>
  </si>
  <si>
    <t xml:space="preserve">STU00324</t>
  </si>
  <si>
    <t xml:space="preserve">Marissa Perez</t>
  </si>
  <si>
    <t xml:space="preserve">STU00325</t>
  </si>
  <si>
    <t xml:space="preserve">Marie Patrick</t>
  </si>
  <si>
    <t xml:space="preserve">STU00326</t>
  </si>
  <si>
    <t xml:space="preserve">Alexis Brandt</t>
  </si>
  <si>
    <t xml:space="preserve">STU00327</t>
  </si>
  <si>
    <t xml:space="preserve">Stephanie Williams</t>
  </si>
  <si>
    <t xml:space="preserve">STU00328</t>
  </si>
  <si>
    <t xml:space="preserve">Cassandra Smith</t>
  </si>
  <si>
    <t xml:space="preserve">STU00329</t>
  </si>
  <si>
    <t xml:space="preserve">Brenda Harrison</t>
  </si>
  <si>
    <t xml:space="preserve">STU00330</t>
  </si>
  <si>
    <t xml:space="preserve">Kyle Clark</t>
  </si>
  <si>
    <t xml:space="preserve">STU00331</t>
  </si>
  <si>
    <t xml:space="preserve">Eileen Williamson</t>
  </si>
  <si>
    <t xml:space="preserve">STU00332</t>
  </si>
  <si>
    <t xml:space="preserve">STU00333</t>
  </si>
  <si>
    <t xml:space="preserve">Brittany Pacheco</t>
  </si>
  <si>
    <t xml:space="preserve">STU00334</t>
  </si>
  <si>
    <t xml:space="preserve">Holly Buckley</t>
  </si>
  <si>
    <t xml:space="preserve">STU00335</t>
  </si>
  <si>
    <t xml:space="preserve">Amanda Harris</t>
  </si>
  <si>
    <t xml:space="preserve">STU00336</t>
  </si>
  <si>
    <t xml:space="preserve">Jake Skinner</t>
  </si>
  <si>
    <t xml:space="preserve">STU00337</t>
  </si>
  <si>
    <t xml:space="preserve">Alyssa Johnson</t>
  </si>
  <si>
    <t xml:space="preserve">STU00338</t>
  </si>
  <si>
    <t xml:space="preserve">John Moss</t>
  </si>
  <si>
    <t xml:space="preserve">STU00339</t>
  </si>
  <si>
    <t xml:space="preserve">Jason Ryan</t>
  </si>
  <si>
    <t xml:space="preserve">STU00340</t>
  </si>
  <si>
    <t xml:space="preserve">Miranda Jackson</t>
  </si>
  <si>
    <t xml:space="preserve">STU00341</t>
  </si>
  <si>
    <t xml:space="preserve">Gregory Walker</t>
  </si>
  <si>
    <t xml:space="preserve">STU00342</t>
  </si>
  <si>
    <t xml:space="preserve">Austin Novak</t>
  </si>
  <si>
    <t xml:space="preserve">STU00343</t>
  </si>
  <si>
    <t xml:space="preserve">Jason Villanueva</t>
  </si>
  <si>
    <t xml:space="preserve">STU00344</t>
  </si>
  <si>
    <t xml:space="preserve">Scott Pacheco</t>
  </si>
  <si>
    <t xml:space="preserve">STU00345</t>
  </si>
  <si>
    <t xml:space="preserve">John Lam</t>
  </si>
  <si>
    <t xml:space="preserve">STU00346</t>
  </si>
  <si>
    <t xml:space="preserve">Frank Fernandez</t>
  </si>
  <si>
    <t xml:space="preserve">STU00347</t>
  </si>
  <si>
    <t xml:space="preserve">Mary Davis</t>
  </si>
  <si>
    <t xml:space="preserve">STU00348</t>
  </si>
  <si>
    <t xml:space="preserve">Ronald Duncan Jr.</t>
  </si>
  <si>
    <t xml:space="preserve">STU00349</t>
  </si>
  <si>
    <t xml:space="preserve">Renee Thomas</t>
  </si>
  <si>
    <t xml:space="preserve">STU00350</t>
  </si>
  <si>
    <t xml:space="preserve">Natalie Love</t>
  </si>
  <si>
    <t xml:space="preserve">STU00351</t>
  </si>
  <si>
    <t xml:space="preserve">Lucas Wright</t>
  </si>
  <si>
    <t xml:space="preserve">STU00352</t>
  </si>
  <si>
    <t xml:space="preserve">Nicholas Turner</t>
  </si>
  <si>
    <t xml:space="preserve">STU00353</t>
  </si>
  <si>
    <t xml:space="preserve">Julia Garza</t>
  </si>
  <si>
    <t xml:space="preserve">STU00354</t>
  </si>
  <si>
    <t xml:space="preserve">Victoria Adams</t>
  </si>
  <si>
    <t xml:space="preserve">STU00355</t>
  </si>
  <si>
    <t xml:space="preserve">Erin Brooks</t>
  </si>
  <si>
    <t xml:space="preserve">STU00356</t>
  </si>
  <si>
    <t xml:space="preserve">Noah Rosales</t>
  </si>
  <si>
    <t xml:space="preserve">STU00357</t>
  </si>
  <si>
    <t xml:space="preserve">Rebecca Welch</t>
  </si>
  <si>
    <t xml:space="preserve">STU00358</t>
  </si>
  <si>
    <t xml:space="preserve">Veronica Smith</t>
  </si>
  <si>
    <t xml:space="preserve">STU00359</t>
  </si>
  <si>
    <t xml:space="preserve">Sara Young</t>
  </si>
  <si>
    <t xml:space="preserve">STU00360</t>
  </si>
  <si>
    <t xml:space="preserve">Adam Castillo</t>
  </si>
  <si>
    <t xml:space="preserve">STU00361</t>
  </si>
  <si>
    <t xml:space="preserve">Chelsea Kane</t>
  </si>
  <si>
    <t xml:space="preserve">STU00362</t>
  </si>
  <si>
    <t xml:space="preserve">Jennifer Haney</t>
  </si>
  <si>
    <t xml:space="preserve">STU00363</t>
  </si>
  <si>
    <t xml:space="preserve">Dennis Gonzales</t>
  </si>
  <si>
    <t xml:space="preserve">STU00364</t>
  </si>
  <si>
    <t xml:space="preserve">Mary Robertson</t>
  </si>
  <si>
    <t xml:space="preserve">STU00365</t>
  </si>
  <si>
    <t xml:space="preserve">Zachary Lopez</t>
  </si>
  <si>
    <t xml:space="preserve">STU00366</t>
  </si>
  <si>
    <t xml:space="preserve">Shane Ingram</t>
  </si>
  <si>
    <t xml:space="preserve">STU00367</t>
  </si>
  <si>
    <t xml:space="preserve">Brent Chase</t>
  </si>
  <si>
    <t xml:space="preserve">STU00368</t>
  </si>
  <si>
    <t xml:space="preserve">Deborah Casey</t>
  </si>
  <si>
    <t xml:space="preserve">STU00369</t>
  </si>
  <si>
    <t xml:space="preserve">Alexander Daniels</t>
  </si>
  <si>
    <t xml:space="preserve">STU00370</t>
  </si>
  <si>
    <t xml:space="preserve">William Greer</t>
  </si>
  <si>
    <t xml:space="preserve">STU00371</t>
  </si>
  <si>
    <t xml:space="preserve">Micheal Martinez</t>
  </si>
  <si>
    <t xml:space="preserve">STU00372</t>
  </si>
  <si>
    <t xml:space="preserve">Jesse Tran</t>
  </si>
  <si>
    <t xml:space="preserve">STU00373</t>
  </si>
  <si>
    <t xml:space="preserve">Tracy Bonilla</t>
  </si>
  <si>
    <t xml:space="preserve">STU00374</t>
  </si>
  <si>
    <t xml:space="preserve">Robert Blackwell</t>
  </si>
  <si>
    <t xml:space="preserve">STU00375</t>
  </si>
  <si>
    <t xml:space="preserve">Brenda Becker</t>
  </si>
  <si>
    <t xml:space="preserve">STU00376</t>
  </si>
  <si>
    <t xml:space="preserve">Christina Garner</t>
  </si>
  <si>
    <t xml:space="preserve">STU00377</t>
  </si>
  <si>
    <t xml:space="preserve">Penny Hart</t>
  </si>
  <si>
    <t xml:space="preserve">STU00378</t>
  </si>
  <si>
    <t xml:space="preserve">Amber Patel</t>
  </si>
  <si>
    <t xml:space="preserve">STU00379</t>
  </si>
  <si>
    <t xml:space="preserve">Melissa Osborn</t>
  </si>
  <si>
    <t xml:space="preserve">STU00380</t>
  </si>
  <si>
    <t xml:space="preserve">Christopher Becker</t>
  </si>
  <si>
    <t xml:space="preserve">STU00381</t>
  </si>
  <si>
    <t xml:space="preserve">Shannon Perez</t>
  </si>
  <si>
    <t xml:space="preserve">STU00382</t>
  </si>
  <si>
    <t xml:space="preserve">Michelle Fernandez</t>
  </si>
  <si>
    <t xml:space="preserve">STU00383</t>
  </si>
  <si>
    <t xml:space="preserve">Jessica Harris</t>
  </si>
  <si>
    <t xml:space="preserve">STU00384</t>
  </si>
  <si>
    <t xml:space="preserve">Wayne Morales</t>
  </si>
  <si>
    <t xml:space="preserve">STU00385</t>
  </si>
  <si>
    <t xml:space="preserve">Joseph Fisher</t>
  </si>
  <si>
    <t xml:space="preserve">STU00386</t>
  </si>
  <si>
    <t xml:space="preserve">Frank Griffith</t>
  </si>
  <si>
    <t xml:space="preserve">STU00387</t>
  </si>
  <si>
    <t xml:space="preserve">Benjamin Erickson</t>
  </si>
  <si>
    <t xml:space="preserve">STU00388</t>
  </si>
  <si>
    <t xml:space="preserve">Christine Quinn</t>
  </si>
  <si>
    <t xml:space="preserve">STU00389</t>
  </si>
  <si>
    <t xml:space="preserve">Andrea Fischer</t>
  </si>
  <si>
    <t xml:space="preserve">STU00390</t>
  </si>
  <si>
    <t xml:space="preserve">John Martin</t>
  </si>
  <si>
    <t xml:space="preserve">STU00391</t>
  </si>
  <si>
    <t xml:space="preserve">Vanessa Good</t>
  </si>
  <si>
    <t xml:space="preserve">STU00392</t>
  </si>
  <si>
    <t xml:space="preserve">STU00393</t>
  </si>
  <si>
    <t xml:space="preserve">Danielle Bell</t>
  </si>
  <si>
    <t xml:space="preserve">STU00394</t>
  </si>
  <si>
    <t xml:space="preserve">STU00395</t>
  </si>
  <si>
    <t xml:space="preserve">Nicholas Willis</t>
  </si>
  <si>
    <t xml:space="preserve">STU00396</t>
  </si>
  <si>
    <t xml:space="preserve">Christine Thomas</t>
  </si>
  <si>
    <t xml:space="preserve">STU00397</t>
  </si>
  <si>
    <t xml:space="preserve">Garrett Walsh</t>
  </si>
  <si>
    <t xml:space="preserve">STU00398</t>
  </si>
  <si>
    <t xml:space="preserve">Kelly Ingram</t>
  </si>
  <si>
    <t xml:space="preserve">STU00399</t>
  </si>
  <si>
    <t xml:space="preserve">Crystal Gonzales</t>
  </si>
  <si>
    <t xml:space="preserve">STU00400</t>
  </si>
  <si>
    <t xml:space="preserve">Kimberly Bishop</t>
  </si>
  <si>
    <t xml:space="preserve">AVERAGES</t>
  </si>
  <si>
    <t xml:space="preserve">📦  Inventory &amp; Stock Management</t>
  </si>
  <si>
    <t xml:space="preserve">SKU</t>
  </si>
  <si>
    <t xml:space="preserve">Product Name</t>
  </si>
  <si>
    <t xml:space="preserve">Supplier</t>
  </si>
  <si>
    <t xml:space="preserve">Unit Cost (NPR)</t>
  </si>
  <si>
    <t xml:space="preserve">Selling Price (NPR)</t>
  </si>
  <si>
    <t xml:space="preserve">Markup %</t>
  </si>
  <si>
    <t xml:space="preserve">Stock Qty</t>
  </si>
  <si>
    <t xml:space="preserve">Reorder Level</t>
  </si>
  <si>
    <t xml:space="preserve">Stock Value (NPR)</t>
  </si>
  <si>
    <t xml:space="preserve">Last Restocked</t>
  </si>
  <si>
    <t xml:space="preserve">Avg Monthly Sales</t>
  </si>
  <si>
    <t xml:space="preserve">Months of Stock</t>
  </si>
  <si>
    <t xml:space="preserve">Condition</t>
  </si>
  <si>
    <t xml:space="preserve">Warranty (Months)</t>
  </si>
  <si>
    <t xml:space="preserve">Weight (kg)</t>
  </si>
  <si>
    <t xml:space="preserve">In Transit</t>
  </si>
  <si>
    <t xml:space="preserve">Total Assets (NPR)</t>
  </si>
  <si>
    <t xml:space="preserve">SKU0001</t>
  </si>
  <si>
    <t xml:space="preserve">Laptop Pro 15</t>
  </si>
  <si>
    <t xml:space="preserve">Electronics</t>
  </si>
  <si>
    <t xml:space="preserve">Digital Hub</t>
  </si>
  <si>
    <t xml:space="preserve">Overflow</t>
  </si>
  <si>
    <t xml:space="preserve">New</t>
  </si>
  <si>
    <t xml:space="preserve">SKU0002</t>
  </si>
  <si>
    <t xml:space="preserve">Laptop Air 13</t>
  </si>
  <si>
    <t xml:space="preserve">Prime Wholesale</t>
  </si>
  <si>
    <t xml:space="preserve">Warehouse B</t>
  </si>
  <si>
    <t xml:space="preserve">SKU0003</t>
  </si>
  <si>
    <t xml:space="preserve">Gaming PC Tower</t>
  </si>
  <si>
    <t xml:space="preserve">Himalayan Distributors</t>
  </si>
  <si>
    <t xml:space="preserve">Cold Storage</t>
  </si>
  <si>
    <t xml:space="preserve">Refurbished</t>
  </si>
  <si>
    <t xml:space="preserve">SKU0004</t>
  </si>
  <si>
    <t xml:space="preserve">Mini PC</t>
  </si>
  <si>
    <t xml:space="preserve">Alpha Traders</t>
  </si>
  <si>
    <t xml:space="preserve">Damaged</t>
  </si>
  <si>
    <t xml:space="preserve">SKU0005</t>
  </si>
  <si>
    <t xml:space="preserve">Workstation Elite</t>
  </si>
  <si>
    <t xml:space="preserve">Star Imports</t>
  </si>
  <si>
    <t xml:space="preserve">Showroom</t>
  </si>
  <si>
    <t xml:space="preserve">SKU0006</t>
  </si>
  <si>
    <t xml:space="preserve">Wireless Mouse Pro</t>
  </si>
  <si>
    <t xml:space="preserve">Warehouse A</t>
  </si>
  <si>
    <t xml:space="preserve">SKU0007</t>
  </si>
  <si>
    <t xml:space="preserve">Mechanical KB RGB</t>
  </si>
  <si>
    <t xml:space="preserve">SKU0008</t>
  </si>
  <si>
    <t xml:space="preserve">Trackpad Plus</t>
  </si>
  <si>
    <t xml:space="preserve">TechNepal Pvt Ltd</t>
  </si>
  <si>
    <t xml:space="preserve">SKU0009</t>
  </si>
  <si>
    <t xml:space="preserve">Numpad Slim</t>
  </si>
  <si>
    <t xml:space="preserve">SKU0010</t>
  </si>
  <si>
    <t xml:space="preserve">Wrist Rest</t>
  </si>
  <si>
    <t xml:space="preserve">SKU0011</t>
  </si>
  <si>
    <t xml:space="preserve">24" FHD Monitor</t>
  </si>
  <si>
    <t xml:space="preserve">SKU0012</t>
  </si>
  <si>
    <t xml:space="preserve">27" QHD Monitor</t>
  </si>
  <si>
    <t xml:space="preserve">SKU0013</t>
  </si>
  <si>
    <t xml:space="preserve">32" 4K Monitor</t>
  </si>
  <si>
    <t xml:space="preserve">KTM Electronics</t>
  </si>
  <si>
    <t xml:space="preserve">SKU0014</t>
  </si>
  <si>
    <t xml:space="preserve">Curved 34" Monitor</t>
  </si>
  <si>
    <t xml:space="preserve">SKU0015</t>
  </si>
  <si>
    <t xml:space="preserve">Portable 15" Monitor</t>
  </si>
  <si>
    <t xml:space="preserve">SKU0016</t>
  </si>
  <si>
    <t xml:space="preserve">USB-C Hub 7-in-1</t>
  </si>
  <si>
    <t xml:space="preserve">SKU0017</t>
  </si>
  <si>
    <t xml:space="preserve">HDMI Switch 4-Port</t>
  </si>
  <si>
    <t xml:space="preserve">SKU0018</t>
  </si>
  <si>
    <t xml:space="preserve">USB 3.0 Hub</t>
  </si>
  <si>
    <t xml:space="preserve">SKU0019</t>
  </si>
  <si>
    <t xml:space="preserve">Thunderbolt Dock</t>
  </si>
  <si>
    <t xml:space="preserve">SKU0020</t>
  </si>
  <si>
    <t xml:space="preserve">Card Reader</t>
  </si>
  <si>
    <t xml:space="preserve">SKU0021</t>
  </si>
  <si>
    <t xml:space="preserve">SSD 256GB</t>
  </si>
  <si>
    <t xml:space="preserve">SKU0022</t>
  </si>
  <si>
    <t xml:space="preserve">SSD 512GB</t>
  </si>
  <si>
    <t xml:space="preserve">SKU0023</t>
  </si>
  <si>
    <t xml:space="preserve">SKU0024</t>
  </si>
  <si>
    <t xml:space="preserve">SSD 2TB</t>
  </si>
  <si>
    <t xml:space="preserve">SKU0025</t>
  </si>
  <si>
    <t xml:space="preserve">NVMe 1TB</t>
  </si>
  <si>
    <t xml:space="preserve">SKU0026</t>
  </si>
  <si>
    <t xml:space="preserve">RAM 8GB DDR4</t>
  </si>
  <si>
    <t xml:space="preserve">SKU0027</t>
  </si>
  <si>
    <t xml:space="preserve">RAM 16GB DDR4</t>
  </si>
  <si>
    <t xml:space="preserve">SKU0028</t>
  </si>
  <si>
    <t xml:space="preserve">RAM 32GB DDR4</t>
  </si>
  <si>
    <t xml:space="preserve">SKU0029</t>
  </si>
  <si>
    <t xml:space="preserve">RAM 64GB DDR4</t>
  </si>
  <si>
    <t xml:space="preserve">SKU0030</t>
  </si>
  <si>
    <t xml:space="preserve">RAM Kit 32GB</t>
  </si>
  <si>
    <t xml:space="preserve">SKU0031</t>
  </si>
  <si>
    <t xml:space="preserve">True Wireless Earbuds</t>
  </si>
  <si>
    <t xml:space="preserve">SKU0032</t>
  </si>
  <si>
    <t xml:space="preserve">Over-Ear Headset</t>
  </si>
  <si>
    <t xml:space="preserve">SKU0033</t>
  </si>
  <si>
    <t xml:space="preserve">Gaming Headset</t>
  </si>
  <si>
    <t xml:space="preserve">SKU0034</t>
  </si>
  <si>
    <t xml:space="preserve">Speaker Bar</t>
  </si>
  <si>
    <t xml:space="preserve">SKU0035</t>
  </si>
  <si>
    <t xml:space="preserve">Conference Mic</t>
  </si>
  <si>
    <t xml:space="preserve">SKU0036</t>
  </si>
  <si>
    <t xml:space="preserve">720p Webcam</t>
  </si>
  <si>
    <t xml:space="preserve">SKU0037</t>
  </si>
  <si>
    <t xml:space="preserve">1080p Webcam</t>
  </si>
  <si>
    <t xml:space="preserve">SKU0038</t>
  </si>
  <si>
    <t xml:space="preserve">4K Webcam</t>
  </si>
  <si>
    <t xml:space="preserve">SKU0039</t>
  </si>
  <si>
    <t xml:space="preserve">Ring Light 10"</t>
  </si>
  <si>
    <t xml:space="preserve">SKU0040</t>
  </si>
  <si>
    <t xml:space="preserve">Green Screen Kit</t>
  </si>
  <si>
    <t xml:space="preserve">SKU0041</t>
  </si>
  <si>
    <t xml:space="preserve">Wi-Fi 6 Router</t>
  </si>
  <si>
    <t xml:space="preserve">SKU0042</t>
  </si>
  <si>
    <t xml:space="preserve">Mesh Network Kit</t>
  </si>
  <si>
    <t xml:space="preserve">SKU0043</t>
  </si>
  <si>
    <t xml:space="preserve">Network Switch 8P</t>
  </si>
  <si>
    <t xml:space="preserve">SKU0044</t>
  </si>
  <si>
    <t xml:space="preserve">Powerline Adapter</t>
  </si>
  <si>
    <t xml:space="preserve">SKU0045</t>
  </si>
  <si>
    <t xml:space="preserve">Range Extender</t>
  </si>
  <si>
    <t xml:space="preserve">SKU0046</t>
  </si>
  <si>
    <t xml:space="preserve">SKU0047</t>
  </si>
  <si>
    <t xml:space="preserve">Laptop Stand</t>
  </si>
  <si>
    <t xml:space="preserve">SKU0048</t>
  </si>
  <si>
    <t xml:space="preserve">Monitor Arm</t>
  </si>
  <si>
    <t xml:space="preserve">SKU0049</t>
  </si>
  <si>
    <t xml:space="preserve">Cable Sleeve</t>
  </si>
  <si>
    <t xml:space="preserve">SKU0050</t>
  </si>
  <si>
    <t xml:space="preserve">Desk Organiser</t>
  </si>
  <si>
    <t xml:space="preserve">SKU0051</t>
  </si>
  <si>
    <t xml:space="preserve">SKU0052</t>
  </si>
  <si>
    <t xml:space="preserve">SKU0053</t>
  </si>
  <si>
    <t xml:space="preserve">SKU0054</t>
  </si>
  <si>
    <t xml:space="preserve">SKU0055</t>
  </si>
  <si>
    <t xml:space="preserve">SKU0056</t>
  </si>
  <si>
    <t xml:space="preserve">SKU0057</t>
  </si>
  <si>
    <t xml:space="preserve">SKU0058</t>
  </si>
  <si>
    <t xml:space="preserve">SKU0059</t>
  </si>
  <si>
    <t xml:space="preserve">SKU0060</t>
  </si>
  <si>
    <t xml:space="preserve">SKU0061</t>
  </si>
  <si>
    <t xml:space="preserve">SKU0062</t>
  </si>
  <si>
    <t xml:space="preserve">SKU0063</t>
  </si>
  <si>
    <t xml:space="preserve">SKU0064</t>
  </si>
  <si>
    <t xml:space="preserve">SKU0065</t>
  </si>
  <si>
    <t xml:space="preserve">SKU0066</t>
  </si>
  <si>
    <t xml:space="preserve">SKU0067</t>
  </si>
  <si>
    <t xml:space="preserve">SKU0068</t>
  </si>
  <si>
    <t xml:space="preserve">SKU0069</t>
  </si>
  <si>
    <t xml:space="preserve">SKU0070</t>
  </si>
  <si>
    <t xml:space="preserve">SKU0071</t>
  </si>
  <si>
    <t xml:space="preserve">SKU0072</t>
  </si>
  <si>
    <t xml:space="preserve">SKU0073</t>
  </si>
  <si>
    <t xml:space="preserve">SKU0074</t>
  </si>
  <si>
    <t xml:space="preserve">SKU0075</t>
  </si>
  <si>
    <t xml:space="preserve">SKU0076</t>
  </si>
  <si>
    <t xml:space="preserve">SKU0077</t>
  </si>
  <si>
    <t xml:space="preserve">SKU0078</t>
  </si>
  <si>
    <t xml:space="preserve">SKU0079</t>
  </si>
  <si>
    <t xml:space="preserve">SKU0080</t>
  </si>
  <si>
    <t xml:space="preserve">SKU0081</t>
  </si>
  <si>
    <t xml:space="preserve">SKU0082</t>
  </si>
  <si>
    <t xml:space="preserve">SKU0083</t>
  </si>
  <si>
    <t xml:space="preserve">SKU0084</t>
  </si>
  <si>
    <t xml:space="preserve">SKU0085</t>
  </si>
  <si>
    <t xml:space="preserve">SKU0086</t>
  </si>
  <si>
    <t xml:space="preserve">SKU0087</t>
  </si>
  <si>
    <t xml:space="preserve">SKU0088</t>
  </si>
  <si>
    <t xml:space="preserve">SKU0089</t>
  </si>
  <si>
    <t xml:space="preserve">SKU0090</t>
  </si>
  <si>
    <t xml:space="preserve">SKU0091</t>
  </si>
  <si>
    <t xml:space="preserve">SKU0092</t>
  </si>
  <si>
    <t xml:space="preserve">SKU0093</t>
  </si>
  <si>
    <t xml:space="preserve">SKU0094</t>
  </si>
  <si>
    <t xml:space="preserve">SKU0095</t>
  </si>
  <si>
    <t xml:space="preserve">SKU0096</t>
  </si>
  <si>
    <t xml:space="preserve">SKU0097</t>
  </si>
  <si>
    <t xml:space="preserve">SKU0098</t>
  </si>
  <si>
    <t xml:space="preserve">SKU0099</t>
  </si>
  <si>
    <t xml:space="preserve">SKU0100</t>
  </si>
  <si>
    <t xml:space="preserve">SKU0101</t>
  </si>
  <si>
    <t xml:space="preserve">SKU0102</t>
  </si>
  <si>
    <t xml:space="preserve">SKU0103</t>
  </si>
  <si>
    <t xml:space="preserve">SKU0104</t>
  </si>
  <si>
    <t xml:space="preserve">SKU0105</t>
  </si>
  <si>
    <t xml:space="preserve">SKU0106</t>
  </si>
  <si>
    <t xml:space="preserve">SKU0107</t>
  </si>
  <si>
    <t xml:space="preserve">SKU0108</t>
  </si>
  <si>
    <t xml:space="preserve">SKU0109</t>
  </si>
  <si>
    <t xml:space="preserve">SKU0110</t>
  </si>
  <si>
    <t xml:space="preserve">SKU0111</t>
  </si>
  <si>
    <t xml:space="preserve">SKU0112</t>
  </si>
  <si>
    <t xml:space="preserve">SKU0113</t>
  </si>
  <si>
    <t xml:space="preserve">SKU0114</t>
  </si>
  <si>
    <t xml:space="preserve">SKU0115</t>
  </si>
  <si>
    <t xml:space="preserve">SKU0116</t>
  </si>
  <si>
    <t xml:space="preserve">SKU0117</t>
  </si>
  <si>
    <t xml:space="preserve">SKU0118</t>
  </si>
  <si>
    <t xml:space="preserve">SKU0119</t>
  </si>
  <si>
    <t xml:space="preserve">SKU0120</t>
  </si>
  <si>
    <t xml:space="preserve">SKU0121</t>
  </si>
  <si>
    <t xml:space="preserve">SKU0122</t>
  </si>
  <si>
    <t xml:space="preserve">SKU0123</t>
  </si>
  <si>
    <t xml:space="preserve">SKU0124</t>
  </si>
  <si>
    <t xml:space="preserve">SKU0125</t>
  </si>
  <si>
    <t xml:space="preserve">SKU0126</t>
  </si>
  <si>
    <t xml:space="preserve">SKU0127</t>
  </si>
  <si>
    <t xml:space="preserve">SKU0128</t>
  </si>
  <si>
    <t xml:space="preserve">SKU0129</t>
  </si>
  <si>
    <t xml:space="preserve">SKU0130</t>
  </si>
  <si>
    <t xml:space="preserve">SKU0131</t>
  </si>
  <si>
    <t xml:space="preserve">SKU0132</t>
  </si>
  <si>
    <t xml:space="preserve">SKU0133</t>
  </si>
  <si>
    <t xml:space="preserve">SKU0134</t>
  </si>
  <si>
    <t xml:space="preserve">SKU0135</t>
  </si>
  <si>
    <t xml:space="preserve">SKU0136</t>
  </si>
  <si>
    <t xml:space="preserve">SKU0137</t>
  </si>
  <si>
    <t xml:space="preserve">SKU0138</t>
  </si>
  <si>
    <t xml:space="preserve">SKU0139</t>
  </si>
  <si>
    <t xml:space="preserve">SKU0140</t>
  </si>
  <si>
    <t xml:space="preserve">SKU0141</t>
  </si>
  <si>
    <t xml:space="preserve">SKU0142</t>
  </si>
  <si>
    <t xml:space="preserve">SKU0143</t>
  </si>
  <si>
    <t xml:space="preserve">SKU0144</t>
  </si>
  <si>
    <t xml:space="preserve">SKU0145</t>
  </si>
  <si>
    <t xml:space="preserve">SKU0146</t>
  </si>
  <si>
    <t xml:space="preserve">SKU0147</t>
  </si>
  <si>
    <t xml:space="preserve">SKU0148</t>
  </si>
  <si>
    <t xml:space="preserve">SKU0149</t>
  </si>
  <si>
    <t xml:space="preserve">SKU0150</t>
  </si>
  <si>
    <t xml:space="preserve">SKU0151</t>
  </si>
  <si>
    <t xml:space="preserve">SKU0152</t>
  </si>
  <si>
    <t xml:space="preserve">SKU0153</t>
  </si>
  <si>
    <t xml:space="preserve">SKU0154</t>
  </si>
  <si>
    <t xml:space="preserve">SKU0155</t>
  </si>
  <si>
    <t xml:space="preserve">SKU0156</t>
  </si>
  <si>
    <t xml:space="preserve">SKU0157</t>
  </si>
  <si>
    <t xml:space="preserve">SKU0158</t>
  </si>
  <si>
    <t xml:space="preserve">SKU0159</t>
  </si>
  <si>
    <t xml:space="preserve">SKU0160</t>
  </si>
  <si>
    <t xml:space="preserve">SKU0161</t>
  </si>
  <si>
    <t xml:space="preserve">SKU0162</t>
  </si>
  <si>
    <t xml:space="preserve">SKU0163</t>
  </si>
  <si>
    <t xml:space="preserve">SKU0164</t>
  </si>
  <si>
    <t xml:space="preserve">SKU0165</t>
  </si>
  <si>
    <t xml:space="preserve">SKU0166</t>
  </si>
  <si>
    <t xml:space="preserve">SKU0167</t>
  </si>
  <si>
    <t xml:space="preserve">SKU0168</t>
  </si>
  <si>
    <t xml:space="preserve">SKU0169</t>
  </si>
  <si>
    <t xml:space="preserve">SKU0170</t>
  </si>
  <si>
    <t xml:space="preserve">SKU0171</t>
  </si>
  <si>
    <t xml:space="preserve">SKU0172</t>
  </si>
  <si>
    <t xml:space="preserve">SKU0173</t>
  </si>
  <si>
    <t xml:space="preserve">SKU0174</t>
  </si>
  <si>
    <t xml:space="preserve">SKU0175</t>
  </si>
  <si>
    <t xml:space="preserve">SKU0176</t>
  </si>
  <si>
    <t xml:space="preserve">SKU0177</t>
  </si>
  <si>
    <t xml:space="preserve">SKU0178</t>
  </si>
  <si>
    <t xml:space="preserve">SKU0179</t>
  </si>
  <si>
    <t xml:space="preserve">SKU0180</t>
  </si>
  <si>
    <t xml:space="preserve">SKU0181</t>
  </si>
  <si>
    <t xml:space="preserve">SKU0182</t>
  </si>
  <si>
    <t xml:space="preserve">SKU0183</t>
  </si>
  <si>
    <t xml:space="preserve">SKU0184</t>
  </si>
  <si>
    <t xml:space="preserve">SKU0185</t>
  </si>
  <si>
    <t xml:space="preserve">SKU0186</t>
  </si>
  <si>
    <t xml:space="preserve">SKU0187</t>
  </si>
  <si>
    <t xml:space="preserve">SKU0188</t>
  </si>
  <si>
    <t xml:space="preserve">SKU0189</t>
  </si>
  <si>
    <t xml:space="preserve">SKU0190</t>
  </si>
  <si>
    <t xml:space="preserve">SKU0191</t>
  </si>
  <si>
    <t xml:space="preserve">SKU0192</t>
  </si>
  <si>
    <t xml:space="preserve">SKU0193</t>
  </si>
  <si>
    <t xml:space="preserve">SKU0194</t>
  </si>
  <si>
    <t xml:space="preserve">SKU0195</t>
  </si>
  <si>
    <t xml:space="preserve">SKU0196</t>
  </si>
  <si>
    <t xml:space="preserve">SKU0197</t>
  </si>
  <si>
    <t xml:space="preserve">SKU0198</t>
  </si>
  <si>
    <t xml:space="preserve">SKU0199</t>
  </si>
  <si>
    <t xml:space="preserve">SKU0200</t>
  </si>
  <si>
    <t xml:space="preserve">SKU0201</t>
  </si>
  <si>
    <t xml:space="preserve">SKU0202</t>
  </si>
  <si>
    <t xml:space="preserve">SKU0203</t>
  </si>
  <si>
    <t xml:space="preserve">SKU0204</t>
  </si>
  <si>
    <t xml:space="preserve">SKU0205</t>
  </si>
  <si>
    <t xml:space="preserve">SKU0206</t>
  </si>
  <si>
    <t xml:space="preserve">SKU0207</t>
  </si>
  <si>
    <t xml:space="preserve">SKU0208</t>
  </si>
  <si>
    <t xml:space="preserve">SKU0209</t>
  </si>
  <si>
    <t xml:space="preserve">SKU0210</t>
  </si>
  <si>
    <t xml:space="preserve">SKU0211</t>
  </si>
  <si>
    <t xml:space="preserve">SKU0212</t>
  </si>
  <si>
    <t xml:space="preserve">SKU0213</t>
  </si>
  <si>
    <t xml:space="preserve">SKU0214</t>
  </si>
  <si>
    <t xml:space="preserve">SKU0215</t>
  </si>
  <si>
    <t xml:space="preserve">SKU0216</t>
  </si>
  <si>
    <t xml:space="preserve">SKU0217</t>
  </si>
  <si>
    <t xml:space="preserve">SKU0218</t>
  </si>
  <si>
    <t xml:space="preserve">SKU0219</t>
  </si>
  <si>
    <t xml:space="preserve">SKU0220</t>
  </si>
  <si>
    <t xml:space="preserve">SKU0221</t>
  </si>
  <si>
    <t xml:space="preserve">SKU0222</t>
  </si>
  <si>
    <t xml:space="preserve">SKU0223</t>
  </si>
  <si>
    <t xml:space="preserve">SKU0224</t>
  </si>
  <si>
    <t xml:space="preserve">SKU0225</t>
  </si>
  <si>
    <t xml:space="preserve">SKU0226</t>
  </si>
  <si>
    <t xml:space="preserve">SKU0227</t>
  </si>
  <si>
    <t xml:space="preserve">SKU0228</t>
  </si>
  <si>
    <t xml:space="preserve">SKU0229</t>
  </si>
  <si>
    <t xml:space="preserve">SKU0230</t>
  </si>
  <si>
    <t xml:space="preserve">SKU0231</t>
  </si>
  <si>
    <t xml:space="preserve">SKU0232</t>
  </si>
  <si>
    <t xml:space="preserve">SKU0233</t>
  </si>
  <si>
    <t xml:space="preserve">SKU0234</t>
  </si>
  <si>
    <t xml:space="preserve">SKU0235</t>
  </si>
  <si>
    <t xml:space="preserve">SKU0236</t>
  </si>
  <si>
    <t xml:space="preserve">SKU0237</t>
  </si>
  <si>
    <t xml:space="preserve">SKU0238</t>
  </si>
  <si>
    <t xml:space="preserve">SKU0239</t>
  </si>
  <si>
    <t xml:space="preserve">SKU0240</t>
  </si>
  <si>
    <t xml:space="preserve">SKU0241</t>
  </si>
  <si>
    <t xml:space="preserve">SKU0242</t>
  </si>
  <si>
    <t xml:space="preserve">SKU0243</t>
  </si>
  <si>
    <t xml:space="preserve">SKU0244</t>
  </si>
  <si>
    <t xml:space="preserve">SKU0245</t>
  </si>
  <si>
    <t xml:space="preserve">SKU0246</t>
  </si>
  <si>
    <t xml:space="preserve">SKU0247</t>
  </si>
  <si>
    <t xml:space="preserve">SKU0248</t>
  </si>
  <si>
    <t xml:space="preserve">SKU0249</t>
  </si>
  <si>
    <t xml:space="preserve">SKU0250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</si>
</sst>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"/>
    <numFmt numFmtId="167" formatCode="0.0%"/>
    <numFmt numFmtId="168" formatCode="0.00%"/>
    <numFmt numFmtId="169" formatCode="@"/>
    <numFmt numFmtId="170" formatCode="dd\-mmm\-yyyy"/>
    <numFmt numFmtId="171" formatCode="0.0"/>
    <numFmt numFmtId="172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1E2E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E1E2E"/>
      <name val="Arial"/>
      <family val="0"/>
      <charset val="1"/>
    </font>
    <font>
      <b val="true"/>
      <sz val="10"/>
      <color rgb="FF08504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5F4FF"/>
        <bgColor rgb="FFFFFFFF"/>
      </patternFill>
    </fill>
    <fill>
      <patternFill patternType="solid">
        <fgColor rgb="FF1E1E2E"/>
        <bgColor rgb="FF003300"/>
      </patternFill>
    </fill>
    <fill>
      <patternFill patternType="solid">
        <fgColor rgb="FF7C6AF7"/>
        <bgColor rgb="FF3366FF"/>
      </patternFill>
    </fill>
    <fill>
      <patternFill patternType="solid">
        <fgColor rgb="FF085041"/>
        <bgColor rgb="FF003300"/>
      </patternFill>
    </fill>
    <fill>
      <patternFill patternType="solid">
        <fgColor rgb="FF185FA5"/>
        <bgColor rgb="FF008080"/>
      </patternFill>
    </fill>
    <fill>
      <patternFill patternType="solid">
        <fgColor rgb="FFD85A30"/>
        <bgColor rgb="FFBA7517"/>
      </patternFill>
    </fill>
    <fill>
      <patternFill patternType="solid">
        <fgColor rgb="FFBA7517"/>
        <bgColor rgb="FFD85A30"/>
      </patternFill>
    </fill>
    <fill>
      <patternFill patternType="solid">
        <fgColor rgb="FF1D9E75"/>
        <bgColor rgb="FF008080"/>
      </patternFill>
    </fill>
    <fill>
      <patternFill patternType="solid">
        <fgColor rgb="FF633806"/>
        <bgColor rgb="FF712B13"/>
      </patternFill>
    </fill>
    <fill>
      <patternFill patternType="solid">
        <fgColor rgb="FFFFFFFF"/>
        <bgColor rgb="FFF5F4FF"/>
      </patternFill>
    </fill>
    <fill>
      <patternFill patternType="solid">
        <fgColor rgb="FFE1F5EE"/>
        <bgColor rgb="FFF5F4FF"/>
      </patternFill>
    </fill>
    <fill>
      <patternFill patternType="solid">
        <fgColor rgb="FFFAEEDA"/>
        <bgColor rgb="FFFAECE7"/>
      </patternFill>
    </fill>
    <fill>
      <patternFill patternType="solid">
        <fgColor rgb="FFFAECE7"/>
        <bgColor rgb="FFFAEEDA"/>
      </patternFill>
    </fill>
    <fill>
      <patternFill patternType="solid">
        <fgColor rgb="FF712B13"/>
        <bgColor rgb="FF63380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11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E1E2E"/>
          <bgColor rgb="FF000000"/>
        </patternFill>
      </fill>
    </dxf>
    <dxf>
      <fill>
        <patternFill patternType="solid">
          <fgColor rgb="FFF5F4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85041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633806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712B13"/>
          <bgColor rgb="FF000000"/>
        </patternFill>
      </fill>
    </dxf>
    <dxf>
      <fill>
        <patternFill patternType="solid">
          <fgColor rgb="FFFAEC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0C0C0"/>
      <rgbColor rgb="FF808080"/>
      <rgbColor rgb="FF7C6AF7"/>
      <rgbColor rgb="FF993366"/>
      <rgbColor rgb="FFFAEEDA"/>
      <rgbColor rgb="FFE1F5EE"/>
      <rgbColor rgb="FF660066"/>
      <rgbColor rgb="FFFF8080"/>
      <rgbColor rgb="FF185FA5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4FF"/>
      <rgbColor rgb="FFCCFFCC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6B7280"/>
      <rgbColor rgb="FF969696"/>
      <rgbColor rgb="FF085041"/>
      <rgbColor rgb="FF1D9E75"/>
      <rgbColor rgb="FF003300"/>
      <rgbColor rgb="FF633806"/>
      <rgbColor rgb="FF712B13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1E2E"/>
    <pageSetUpPr fitToPage="false"/>
  </sheetPr>
  <dimension ref="B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8"/>
  </cols>
  <sheetData>
    <row r="1" customFormat="false" ht="7.5" hidden="false" customHeight="true" outlineLevel="0" collapsed="false"/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B5" s="3" t="s">
        <v>2</v>
      </c>
      <c r="C5" s="3"/>
      <c r="D5" s="4" t="s">
        <v>3</v>
      </c>
      <c r="E5" s="4"/>
      <c r="F5" s="5" t="s">
        <v>4</v>
      </c>
      <c r="G5" s="5"/>
      <c r="H5" s="6" t="s">
        <v>5</v>
      </c>
      <c r="I5" s="6"/>
      <c r="J5" s="7" t="s">
        <v>6</v>
      </c>
      <c r="K5" s="7"/>
      <c r="L5" s="8" t="s">
        <v>7</v>
      </c>
      <c r="M5" s="8"/>
    </row>
    <row r="6" customFormat="false" ht="15" hidden="false" customHeight="false" outlineLevel="0" collapsed="false">
      <c r="B6" s="3"/>
      <c r="C6" s="3"/>
      <c r="D6" s="4"/>
      <c r="E6" s="4"/>
      <c r="F6" s="5"/>
      <c r="G6" s="5"/>
      <c r="H6" s="6"/>
      <c r="I6" s="6"/>
      <c r="J6" s="7"/>
      <c r="K6" s="7"/>
      <c r="L6" s="8"/>
      <c r="M6" s="8"/>
    </row>
    <row r="7" customFormat="false" ht="15" hidden="false" customHeight="false" outlineLevel="0" collapsed="false">
      <c r="B7" s="9" t="str">
        <f aca="false">'Employee Database'!A503</f>
        <v>TOTALS / AVERAGES</v>
      </c>
      <c r="C7" s="9"/>
      <c r="D7" s="10" t="n">
        <f aca="false">'Employee Database'!I503</f>
        <v>140280</v>
      </c>
      <c r="E7" s="10"/>
      <c r="F7" s="11" t="n">
        <f aca="false">'Employee Database'!L503</f>
        <v>82839263</v>
      </c>
      <c r="G7" s="11"/>
      <c r="H7" s="12" t="n">
        <f aca="false">'Employee Database'!N503</f>
        <v>3.69766</v>
      </c>
      <c r="I7" s="12"/>
      <c r="J7" s="13" t="n">
        <f aca="false">'Employee Database'!O503</f>
        <v>0.860214</v>
      </c>
      <c r="K7" s="13"/>
      <c r="L7" s="14" t="n">
        <f aca="false">'Employee Database'!P503</f>
        <v>10301</v>
      </c>
      <c r="M7" s="14"/>
    </row>
    <row r="8" customFormat="false" ht="15" hidden="false" customHeight="false" outlineLevel="0" collapsed="false">
      <c r="B8" s="9"/>
      <c r="C8" s="9"/>
      <c r="D8" s="10"/>
      <c r="E8" s="10"/>
      <c r="F8" s="11"/>
      <c r="G8" s="11"/>
      <c r="H8" s="12"/>
      <c r="I8" s="12"/>
      <c r="J8" s="13"/>
      <c r="K8" s="13"/>
      <c r="L8" s="14"/>
      <c r="M8" s="14"/>
    </row>
    <row r="11" customFormat="false" ht="15" hidden="false" customHeight="false" outlineLevel="0" collapsed="false">
      <c r="B11" s="5" t="s">
        <v>8</v>
      </c>
      <c r="C11" s="5"/>
      <c r="D11" s="15" t="s">
        <v>9</v>
      </c>
      <c r="E11" s="15"/>
      <c r="F11" s="4" t="s">
        <v>10</v>
      </c>
      <c r="G11" s="4"/>
      <c r="H11" s="6" t="s">
        <v>11</v>
      </c>
      <c r="I11" s="6"/>
      <c r="J11" s="7" t="s">
        <v>12</v>
      </c>
      <c r="K11" s="7"/>
      <c r="L11" s="16" t="s">
        <v>13</v>
      </c>
      <c r="M11" s="16"/>
    </row>
    <row r="12" customFormat="false" ht="15" hidden="false" customHeight="false" outlineLevel="0" collapsed="false">
      <c r="B12" s="5"/>
      <c r="C12" s="5"/>
      <c r="D12" s="15"/>
      <c r="E12" s="15"/>
      <c r="F12" s="4"/>
      <c r="G12" s="4"/>
      <c r="H12" s="6"/>
      <c r="I12" s="6"/>
      <c r="J12" s="7"/>
      <c r="K12" s="7"/>
      <c r="L12" s="16"/>
      <c r="M12" s="16"/>
    </row>
    <row r="13" customFormat="false" ht="15" hidden="false" customHeight="false" outlineLevel="0" collapsed="false">
      <c r="B13" s="11" t="n">
        <f aca="false">'Monthly Sales'!J303</f>
        <v>712485479</v>
      </c>
      <c r="C13" s="11"/>
      <c r="D13" s="17" t="n">
        <f aca="false">'Monthly Sales'!O303</f>
        <v>659661480.22</v>
      </c>
      <c r="E13" s="17"/>
      <c r="F13" s="10" t="n">
        <f aca="false">'Monthly Sales'!L303</f>
        <v>304348952.18</v>
      </c>
      <c r="G13" s="10"/>
      <c r="H13" s="18" t="n">
        <f aca="false">'Monthly Sales'!H303</f>
        <v>72621</v>
      </c>
      <c r="I13" s="18"/>
      <c r="J13" s="19" t="n">
        <f aca="false">'Monthly Sales'!P303</f>
        <v>1833</v>
      </c>
      <c r="K13" s="19"/>
      <c r="L13" s="20" t="n">
        <f aca="false">'Monthly Sales'!K303</f>
        <v>408136526.82</v>
      </c>
      <c r="M13" s="20"/>
    </row>
    <row r="14" customFormat="false" ht="15" hidden="false" customHeight="false" outlineLevel="0" collapsed="false">
      <c r="B14" s="11"/>
      <c r="C14" s="11"/>
      <c r="D14" s="17"/>
      <c r="E14" s="17"/>
      <c r="F14" s="10"/>
      <c r="G14" s="10"/>
      <c r="H14" s="18"/>
      <c r="I14" s="18"/>
      <c r="J14" s="19"/>
      <c r="K14" s="19"/>
      <c r="L14" s="20"/>
      <c r="M14" s="20"/>
    </row>
    <row r="17" customFormat="false" ht="15" hidden="false" customHeight="false" outlineLevel="0" collapsed="false">
      <c r="B17" s="3" t="s">
        <v>14</v>
      </c>
      <c r="C17" s="3"/>
      <c r="D17" s="4" t="s">
        <v>15</v>
      </c>
      <c r="E17" s="4"/>
      <c r="F17" s="5" t="s">
        <v>16</v>
      </c>
      <c r="G17" s="5"/>
      <c r="H17" s="6" t="s">
        <v>6</v>
      </c>
      <c r="I17" s="6"/>
      <c r="J17" s="8" t="s">
        <v>17</v>
      </c>
      <c r="K17" s="8"/>
      <c r="L17" s="7" t="s">
        <v>18</v>
      </c>
      <c r="M17" s="7"/>
    </row>
    <row r="18" customFormat="false" ht="15" hidden="false" customHeight="false" outlineLevel="0" collapsed="false">
      <c r="B18" s="3"/>
      <c r="C18" s="3"/>
      <c r="D18" s="4"/>
      <c r="E18" s="4"/>
      <c r="F18" s="5"/>
      <c r="G18" s="5"/>
      <c r="H18" s="6"/>
      <c r="I18" s="6"/>
      <c r="J18" s="8"/>
      <c r="K18" s="8"/>
      <c r="L18" s="7"/>
      <c r="M18" s="7"/>
    </row>
    <row r="19" customFormat="false" ht="15" hidden="false" customHeight="false" outlineLevel="0" collapsed="false">
      <c r="B19" s="9" t="n">
        <f aca="false">COUNTA('Student Records'!A3:A402)</f>
        <v>400</v>
      </c>
      <c r="C19" s="9"/>
      <c r="D19" s="21" t="n">
        <f aca="false">'Student Records'!M403</f>
        <v>59.615</v>
      </c>
      <c r="E19" s="21"/>
      <c r="F19" s="22" t="n">
        <f aca="false">'Student Records'!O403</f>
        <v>2.143</v>
      </c>
      <c r="G19" s="22"/>
      <c r="H19" s="23" t="n">
        <f aca="false">'Student Records'!P403</f>
        <v>0.7638225</v>
      </c>
      <c r="I19" s="23"/>
      <c r="J19" s="14" t="n">
        <f aca="false">Inventory!J253</f>
        <v>3606432600</v>
      </c>
      <c r="K19" s="14"/>
      <c r="L19" s="19" t="n">
        <f aca="false">Inventory!T253</f>
        <v>3827058500</v>
      </c>
      <c r="M19" s="19"/>
    </row>
    <row r="20" customFormat="false" ht="15" hidden="false" customHeight="false" outlineLevel="0" collapsed="false">
      <c r="B20" s="9"/>
      <c r="C20" s="9"/>
      <c r="D20" s="21"/>
      <c r="E20" s="21"/>
      <c r="F20" s="22"/>
      <c r="G20" s="22"/>
      <c r="H20" s="23"/>
      <c r="I20" s="23"/>
      <c r="J20" s="14"/>
      <c r="K20" s="14"/>
      <c r="L20" s="19"/>
      <c r="M20" s="19"/>
    </row>
    <row r="23" customFormat="false" ht="15" hidden="false" customHeight="false" outlineLevel="0" collapsed="false">
      <c r="B23" s="24" t="s">
        <v>19</v>
      </c>
      <c r="C23" s="24"/>
      <c r="D23" s="24"/>
      <c r="E23" s="24"/>
      <c r="F23" s="24"/>
    </row>
    <row r="24" customFormat="false" ht="15" hidden="false" customHeight="false" outlineLevel="0" collapsed="false">
      <c r="B24" s="25" t="s">
        <v>20</v>
      </c>
      <c r="C24" s="25" t="s">
        <v>21</v>
      </c>
      <c r="D24" s="25" t="s">
        <v>22</v>
      </c>
      <c r="E24" s="25" t="s">
        <v>23</v>
      </c>
      <c r="F24" s="25" t="s">
        <v>5</v>
      </c>
    </row>
    <row r="25" customFormat="false" ht="15" hidden="false" customHeight="false" outlineLevel="0" collapsed="false">
      <c r="B25" s="26" t="s">
        <v>24</v>
      </c>
      <c r="C25" s="27" t="n">
        <f aca="false">COUNTIF('Employee Database'!C3:C502,"Engineering")</f>
        <v>33</v>
      </c>
      <c r="D25" s="27" t="n">
        <f aca="false">AVERAGEIF('Employee Database'!C3:C502,B25,'Employee Database'!I3:I502)</f>
        <v>133121.212121212</v>
      </c>
      <c r="E25" s="27" t="n">
        <f aca="false">SUMIF('Employee Database'!C3:C502,B25,'Employee Database'!L3:L502)</f>
        <v>5170392</v>
      </c>
      <c r="F25" s="28" t="n">
        <f aca="false">AVERAGEIF('Employee Database'!C3:C502,B25,'Employee Database'!N3:N502)</f>
        <v>3.63030303030303</v>
      </c>
    </row>
    <row r="26" customFormat="false" ht="15" hidden="false" customHeight="false" outlineLevel="0" collapsed="false">
      <c r="B26" s="29" t="s">
        <v>25</v>
      </c>
      <c r="C26" s="30" t="n">
        <f aca="false">COUNTIF('Employee Database'!C3:C502,"Sales")</f>
        <v>52</v>
      </c>
      <c r="D26" s="30" t="n">
        <f aca="false">AVERAGEIF('Employee Database'!C3:C502,B26,'Employee Database'!I3:I502)</f>
        <v>124423.076923077</v>
      </c>
      <c r="E26" s="30" t="n">
        <f aca="false">SUMIF('Employee Database'!C3:C502,B26,'Employee Database'!L3:L502)</f>
        <v>7601981</v>
      </c>
      <c r="F26" s="31" t="n">
        <f aca="false">AVERAGEIF('Employee Database'!C3:C502,B26,'Employee Database'!N3:N502)</f>
        <v>3.69076923076923</v>
      </c>
    </row>
    <row r="27" customFormat="false" ht="15" hidden="false" customHeight="false" outlineLevel="0" collapsed="false">
      <c r="B27" s="26" t="s">
        <v>26</v>
      </c>
      <c r="C27" s="27" t="n">
        <f aca="false">COUNTIF('Employee Database'!C3:C502,"Marketing")</f>
        <v>53</v>
      </c>
      <c r="D27" s="27" t="n">
        <f aca="false">AVERAGEIF('Employee Database'!C3:C502,B27,'Employee Database'!I3:I502)</f>
        <v>146245.283018868</v>
      </c>
      <c r="E27" s="27" t="n">
        <f aca="false">SUMIF('Employee Database'!C3:C502,B27,'Employee Database'!L3:L502)</f>
        <v>9055469</v>
      </c>
      <c r="F27" s="28" t="n">
        <f aca="false">AVERAGEIF('Employee Database'!C3:C502,B27,'Employee Database'!N3:N502)</f>
        <v>3.68</v>
      </c>
    </row>
    <row r="28" customFormat="false" ht="15" hidden="false" customHeight="false" outlineLevel="0" collapsed="false">
      <c r="B28" s="29" t="s">
        <v>27</v>
      </c>
      <c r="C28" s="30" t="n">
        <f aca="false">COUNTIF('Employee Database'!C3:C502,"HR")</f>
        <v>48</v>
      </c>
      <c r="D28" s="30" t="n">
        <f aca="false">AVERAGEIF('Employee Database'!C3:C502,B28,'Employee Database'!I3:I502)</f>
        <v>152083.333333333</v>
      </c>
      <c r="E28" s="30" t="n">
        <f aca="false">SUMIF('Employee Database'!C3:C502,B28,'Employee Database'!L3:L502)</f>
        <v>8555174</v>
      </c>
      <c r="F28" s="31" t="n">
        <f aca="false">AVERAGEIF('Employee Database'!C3:C502,B28,'Employee Database'!N3:N502)</f>
        <v>3.76354166666667</v>
      </c>
    </row>
    <row r="29" customFormat="false" ht="15" hidden="false" customHeight="false" outlineLevel="0" collapsed="false">
      <c r="B29" s="26" t="s">
        <v>28</v>
      </c>
      <c r="C29" s="27" t="n">
        <f aca="false">COUNTIF('Employee Database'!C3:C502,"Finance")</f>
        <v>53</v>
      </c>
      <c r="D29" s="27" t="n">
        <f aca="false">AVERAGEIF('Employee Database'!C3:C502,B29,'Employee Database'!I3:I502)</f>
        <v>158641.509433962</v>
      </c>
      <c r="E29" s="27" t="n">
        <f aca="false">SUMIF('Employee Database'!C3:C502,B29,'Employee Database'!L3:L502)</f>
        <v>9920981</v>
      </c>
      <c r="F29" s="28" t="n">
        <f aca="false">AVERAGEIF('Employee Database'!C3:C502,B29,'Employee Database'!N3:N502)</f>
        <v>3.79849056603774</v>
      </c>
    </row>
    <row r="30" customFormat="false" ht="15" hidden="false" customHeight="false" outlineLevel="0" collapsed="false">
      <c r="B30" s="29" t="s">
        <v>29</v>
      </c>
      <c r="C30" s="30" t="n">
        <f aca="false">COUNTIF('Employee Database'!C3:C502,"Operations")</f>
        <v>52</v>
      </c>
      <c r="D30" s="30" t="n">
        <f aca="false">AVERAGEIF('Employee Database'!C3:C502,B30,'Employee Database'!I3:I502)</f>
        <v>135192.307692308</v>
      </c>
      <c r="E30" s="30" t="n">
        <f aca="false">SUMIF('Employee Database'!C3:C502,B30,'Employee Database'!L3:L502)</f>
        <v>8318940</v>
      </c>
      <c r="F30" s="31" t="n">
        <f aca="false">AVERAGEIF('Employee Database'!C3:C502,B30,'Employee Database'!N3:N502)</f>
        <v>3.53153846153846</v>
      </c>
    </row>
    <row r="31" customFormat="false" ht="15" hidden="false" customHeight="false" outlineLevel="0" collapsed="false">
      <c r="B31" s="26" t="s">
        <v>30</v>
      </c>
      <c r="C31" s="27" t="n">
        <f aca="false">COUNTIF('Employee Database'!C3:C502,"Legal")</f>
        <v>57</v>
      </c>
      <c r="D31" s="27" t="n">
        <f aca="false">AVERAGEIF('Employee Database'!C3:C502,B31,'Employee Database'!I3:I502)</f>
        <v>136245.614035088</v>
      </c>
      <c r="E31" s="27" t="n">
        <f aca="false">SUMIF('Employee Database'!C3:C502,B31,'Employee Database'!L3:L502)</f>
        <v>9178731</v>
      </c>
      <c r="F31" s="28" t="n">
        <f aca="false">AVERAGEIF('Employee Database'!C3:C502,B31,'Employee Database'!N3:N502)</f>
        <v>3.61771929824561</v>
      </c>
    </row>
    <row r="32" customFormat="false" ht="15" hidden="false" customHeight="false" outlineLevel="0" collapsed="false">
      <c r="B32" s="29" t="s">
        <v>31</v>
      </c>
      <c r="C32" s="30" t="n">
        <f aca="false">COUNTIF('Employee Database'!C3:C502,"Product")</f>
        <v>57</v>
      </c>
      <c r="D32" s="30" t="n">
        <f aca="false">AVERAGEIF('Employee Database'!C3:C502,B32,'Employee Database'!I3:I502)</f>
        <v>144894.736842105</v>
      </c>
      <c r="E32" s="30" t="n">
        <f aca="false">SUMIF('Employee Database'!C3:C502,B32,'Employee Database'!L3:L502)</f>
        <v>9903822</v>
      </c>
      <c r="F32" s="31" t="n">
        <f aca="false">AVERAGEIF('Employee Database'!C3:C502,B32,'Employee Database'!N3:N502)</f>
        <v>3.76245614035088</v>
      </c>
    </row>
    <row r="33" customFormat="false" ht="15" hidden="false" customHeight="false" outlineLevel="0" collapsed="false">
      <c r="B33" s="26" t="s">
        <v>32</v>
      </c>
      <c r="C33" s="27" t="n">
        <f aca="false">COUNTIF('Employee Database'!C3:C502,"Design")</f>
        <v>43</v>
      </c>
      <c r="D33" s="27" t="n">
        <f aca="false">AVERAGEIF('Employee Database'!C3:C502,B33,'Employee Database'!I3:I502)</f>
        <v>140860.465116279</v>
      </c>
      <c r="E33" s="27" t="n">
        <f aca="false">SUMIF('Employee Database'!C3:C502,B33,'Employee Database'!L3:L502)</f>
        <v>7213240</v>
      </c>
      <c r="F33" s="28" t="n">
        <f aca="false">AVERAGEIF('Employee Database'!C3:C502,B33,'Employee Database'!N3:N502)</f>
        <v>3.77046511627907</v>
      </c>
    </row>
    <row r="34" customFormat="false" ht="15" hidden="false" customHeight="false" outlineLevel="0" collapsed="false">
      <c r="B34" s="29" t="s">
        <v>33</v>
      </c>
      <c r="C34" s="30" t="n">
        <f aca="false">COUNTIF('Employee Database'!C3:C502,"Support")</f>
        <v>52</v>
      </c>
      <c r="D34" s="30" t="n">
        <f aca="false">AVERAGEIF('Employee Database'!C3:C502,B34,'Employee Database'!I3:I502)</f>
        <v>128961.538461538</v>
      </c>
      <c r="E34" s="30" t="n">
        <f aca="false">SUMIF('Employee Database'!C3:C502,B34,'Employee Database'!L3:L502)</f>
        <v>7920533</v>
      </c>
      <c r="F34" s="31" t="n">
        <f aca="false">AVERAGEIF('Employee Database'!C3:C502,B34,'Employee Database'!N3:N502)</f>
        <v>3.72423076923077</v>
      </c>
    </row>
  </sheetData>
  <mergeCells count="39">
    <mergeCell ref="B2:M2"/>
    <mergeCell ref="B4:M4"/>
    <mergeCell ref="B5:C6"/>
    <mergeCell ref="D5:E6"/>
    <mergeCell ref="F5:G6"/>
    <mergeCell ref="H5:I6"/>
    <mergeCell ref="J5:K6"/>
    <mergeCell ref="L5:M6"/>
    <mergeCell ref="B7:C8"/>
    <mergeCell ref="D7:E8"/>
    <mergeCell ref="F7:G8"/>
    <mergeCell ref="H7:I8"/>
    <mergeCell ref="J7:K8"/>
    <mergeCell ref="L7:M8"/>
    <mergeCell ref="B11:C12"/>
    <mergeCell ref="D11:E12"/>
    <mergeCell ref="F11:G12"/>
    <mergeCell ref="H11:I12"/>
    <mergeCell ref="J11:K12"/>
    <mergeCell ref="L11:M12"/>
    <mergeCell ref="B13:C14"/>
    <mergeCell ref="D13:E14"/>
    <mergeCell ref="F13:G14"/>
    <mergeCell ref="H13:I14"/>
    <mergeCell ref="J13:K14"/>
    <mergeCell ref="L13:M14"/>
    <mergeCell ref="B17:C18"/>
    <mergeCell ref="D17:E18"/>
    <mergeCell ref="F17:G18"/>
    <mergeCell ref="H17:I18"/>
    <mergeCell ref="J17:K18"/>
    <mergeCell ref="L17:M18"/>
    <mergeCell ref="B19:C20"/>
    <mergeCell ref="D19:E20"/>
    <mergeCell ref="F19:G20"/>
    <mergeCell ref="H19:I20"/>
    <mergeCell ref="J19:K20"/>
    <mergeCell ref="L19:M20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6AF7"/>
    <pageSetUpPr fitToPage="false"/>
  </sheetPr>
  <dimension ref="A1:T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2" min="11" style="0" width="18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6" min="15" style="0" width="14"/>
    <col collapsed="false" customWidth="true" hidden="false" outlineLevel="0" max="17" min="17" style="0" width="15"/>
    <col collapsed="false" customWidth="true" hidden="false" outlineLevel="0" max="18" min="18" style="0" width="26"/>
    <col collapsed="false" customWidth="true" hidden="false" outlineLevel="0" max="19" min="19" style="0" width="17"/>
    <col collapsed="false" customWidth="true" hidden="false" outlineLevel="0" max="20" min="20" style="0" width="10"/>
  </cols>
  <sheetData>
    <row r="1" customFormat="false" ht="30" hidden="false" customHeight="true" outlineLevel="0" collapsed="false">
      <c r="A1" s="32" t="s">
        <v>34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customFormat="false" ht="19.5" hidden="false" customHeight="true" outlineLevel="0" collapsed="false">
      <c r="A2" s="33" t="s">
        <v>35</v>
      </c>
      <c r="B2" s="33" t="s">
        <v>36</v>
      </c>
      <c r="C2" s="33" t="s">
        <v>20</v>
      </c>
      <c r="D2" s="33" t="s">
        <v>37</v>
      </c>
      <c r="E2" s="33" t="s">
        <v>38</v>
      </c>
      <c r="F2" s="33" t="s">
        <v>39</v>
      </c>
      <c r="G2" s="33" t="s">
        <v>40</v>
      </c>
      <c r="H2" s="33" t="s">
        <v>41</v>
      </c>
      <c r="I2" s="33" t="s">
        <v>42</v>
      </c>
      <c r="J2" s="33" t="s">
        <v>43</v>
      </c>
      <c r="K2" s="33" t="s">
        <v>44</v>
      </c>
      <c r="L2" s="33" t="s">
        <v>23</v>
      </c>
      <c r="M2" s="33" t="s">
        <v>45</v>
      </c>
      <c r="N2" s="33" t="s">
        <v>46</v>
      </c>
      <c r="O2" s="33" t="s">
        <v>47</v>
      </c>
      <c r="P2" s="33" t="s">
        <v>48</v>
      </c>
      <c r="Q2" s="33" t="s">
        <v>49</v>
      </c>
      <c r="R2" s="33" t="s">
        <v>50</v>
      </c>
      <c r="S2" s="33" t="s">
        <v>51</v>
      </c>
      <c r="T2" s="33" t="s">
        <v>52</v>
      </c>
    </row>
    <row r="3" customFormat="false" ht="15" hidden="false" customHeight="false" outlineLevel="0" collapsed="false">
      <c r="A3" s="34" t="s">
        <v>53</v>
      </c>
      <c r="B3" s="35" t="s">
        <v>54</v>
      </c>
      <c r="C3" s="34" t="s">
        <v>25</v>
      </c>
      <c r="D3" s="34" t="s">
        <v>55</v>
      </c>
      <c r="E3" s="34" t="s">
        <v>56</v>
      </c>
      <c r="F3" s="34" t="s">
        <v>57</v>
      </c>
      <c r="G3" s="36" t="n">
        <v>33261</v>
      </c>
      <c r="H3" s="36" t="n">
        <v>38531</v>
      </c>
      <c r="I3" s="37" t="n">
        <v>83000</v>
      </c>
      <c r="J3" s="38" t="n">
        <v>0.085</v>
      </c>
      <c r="K3" s="37" t="n">
        <f aca="false">J3*I3</f>
        <v>7055</v>
      </c>
      <c r="L3" s="37" t="n">
        <f aca="false">I3+K3</f>
        <v>90055</v>
      </c>
      <c r="M3" s="39" t="n">
        <v>19.5</v>
      </c>
      <c r="N3" s="40" t="n">
        <v>2.76</v>
      </c>
      <c r="O3" s="41" t="n">
        <v>0.922</v>
      </c>
      <c r="P3" s="42" t="n">
        <v>35</v>
      </c>
      <c r="Q3" s="42" t="n">
        <v>32</v>
      </c>
      <c r="R3" s="35" t="s">
        <v>58</v>
      </c>
      <c r="S3" s="35" t="s">
        <v>59</v>
      </c>
      <c r="T3" s="34" t="s">
        <v>60</v>
      </c>
    </row>
    <row r="4" customFormat="false" ht="15" hidden="false" customHeight="false" outlineLevel="0" collapsed="false">
      <c r="A4" s="43" t="s">
        <v>61</v>
      </c>
      <c r="B4" s="44" t="s">
        <v>62</v>
      </c>
      <c r="C4" s="43" t="s">
        <v>30</v>
      </c>
      <c r="D4" s="43" t="s">
        <v>55</v>
      </c>
      <c r="E4" s="43" t="s">
        <v>63</v>
      </c>
      <c r="F4" s="43" t="s">
        <v>57</v>
      </c>
      <c r="G4" s="45" t="n">
        <v>32583</v>
      </c>
      <c r="H4" s="45" t="n">
        <v>44116</v>
      </c>
      <c r="I4" s="46" t="n">
        <v>82000</v>
      </c>
      <c r="J4" s="47" t="n">
        <v>0.108</v>
      </c>
      <c r="K4" s="46" t="n">
        <f aca="false">J4*I4</f>
        <v>8856</v>
      </c>
      <c r="L4" s="46" t="n">
        <f aca="false">I4+K4</f>
        <v>90856</v>
      </c>
      <c r="M4" s="48" t="n">
        <v>4.2</v>
      </c>
      <c r="N4" s="49" t="n">
        <v>4.01</v>
      </c>
      <c r="O4" s="50" t="n">
        <v>0.868</v>
      </c>
      <c r="P4" s="51" t="n">
        <v>35</v>
      </c>
      <c r="Q4" s="51" t="n">
        <v>117</v>
      </c>
      <c r="R4" s="44" t="s">
        <v>64</v>
      </c>
      <c r="S4" s="44" t="s">
        <v>65</v>
      </c>
      <c r="T4" s="43" t="s">
        <v>66</v>
      </c>
    </row>
    <row r="5" customFormat="false" ht="15" hidden="false" customHeight="false" outlineLevel="0" collapsed="false">
      <c r="A5" s="34" t="s">
        <v>67</v>
      </c>
      <c r="B5" s="35" t="s">
        <v>68</v>
      </c>
      <c r="C5" s="34" t="s">
        <v>31</v>
      </c>
      <c r="D5" s="34" t="s">
        <v>69</v>
      </c>
      <c r="E5" s="34" t="s">
        <v>56</v>
      </c>
      <c r="F5" s="34" t="s">
        <v>57</v>
      </c>
      <c r="G5" s="36" t="n">
        <v>25684</v>
      </c>
      <c r="H5" s="36" t="n">
        <v>40440</v>
      </c>
      <c r="I5" s="37" t="n">
        <v>223000</v>
      </c>
      <c r="J5" s="38" t="n">
        <v>0.251</v>
      </c>
      <c r="K5" s="37" t="n">
        <f aca="false">J5*I5</f>
        <v>55973</v>
      </c>
      <c r="L5" s="37" t="n">
        <f aca="false">I5+K5</f>
        <v>278973</v>
      </c>
      <c r="M5" s="39" t="n">
        <v>14.3</v>
      </c>
      <c r="N5" s="40" t="n">
        <v>4.25</v>
      </c>
      <c r="O5" s="41" t="n">
        <v>0.802</v>
      </c>
      <c r="P5" s="42" t="n">
        <v>10</v>
      </c>
      <c r="Q5" s="42" t="n">
        <v>65</v>
      </c>
      <c r="R5" s="35" t="s">
        <v>70</v>
      </c>
      <c r="S5" s="35" t="s">
        <v>71</v>
      </c>
      <c r="T5" s="34" t="s">
        <v>66</v>
      </c>
    </row>
    <row r="6" customFormat="false" ht="15" hidden="false" customHeight="false" outlineLevel="0" collapsed="false">
      <c r="A6" s="43" t="s">
        <v>72</v>
      </c>
      <c r="B6" s="44" t="s">
        <v>73</v>
      </c>
      <c r="C6" s="43" t="s">
        <v>25</v>
      </c>
      <c r="D6" s="43" t="s">
        <v>55</v>
      </c>
      <c r="E6" s="43" t="s">
        <v>74</v>
      </c>
      <c r="F6" s="43" t="s">
        <v>57</v>
      </c>
      <c r="G6" s="45" t="n">
        <v>31838</v>
      </c>
      <c r="H6" s="45" t="n">
        <v>40096</v>
      </c>
      <c r="I6" s="46" t="n">
        <v>119000</v>
      </c>
      <c r="J6" s="47" t="n">
        <v>0.262</v>
      </c>
      <c r="K6" s="46" t="n">
        <f aca="false">J6*I6</f>
        <v>31178</v>
      </c>
      <c r="L6" s="46" t="n">
        <f aca="false">I6+K6</f>
        <v>150178</v>
      </c>
      <c r="M6" s="48" t="n">
        <v>15.2</v>
      </c>
      <c r="N6" s="49" t="n">
        <v>4.01</v>
      </c>
      <c r="O6" s="50" t="n">
        <v>0.942</v>
      </c>
      <c r="P6" s="51" t="n">
        <v>30</v>
      </c>
      <c r="Q6" s="51" t="n">
        <v>147</v>
      </c>
      <c r="R6" s="44" t="s">
        <v>75</v>
      </c>
      <c r="S6" s="44" t="s">
        <v>76</v>
      </c>
      <c r="T6" s="43" t="s">
        <v>66</v>
      </c>
    </row>
    <row r="7" customFormat="false" ht="15" hidden="false" customHeight="false" outlineLevel="0" collapsed="false">
      <c r="A7" s="34" t="s">
        <v>77</v>
      </c>
      <c r="B7" s="35" t="s">
        <v>78</v>
      </c>
      <c r="C7" s="34" t="s">
        <v>30</v>
      </c>
      <c r="D7" s="34" t="s">
        <v>55</v>
      </c>
      <c r="E7" s="34" t="s">
        <v>56</v>
      </c>
      <c r="F7" s="34" t="s">
        <v>79</v>
      </c>
      <c r="G7" s="36" t="n">
        <v>29966</v>
      </c>
      <c r="H7" s="36" t="n">
        <v>44864</v>
      </c>
      <c r="I7" s="37" t="n">
        <v>187000</v>
      </c>
      <c r="J7" s="38" t="n">
        <v>0.271</v>
      </c>
      <c r="K7" s="37" t="n">
        <f aca="false">J7*I7</f>
        <v>50677</v>
      </c>
      <c r="L7" s="37" t="n">
        <f aca="false">I7+K7</f>
        <v>237677</v>
      </c>
      <c r="M7" s="39" t="n">
        <v>2.2</v>
      </c>
      <c r="N7" s="40" t="n">
        <v>3.4</v>
      </c>
      <c r="O7" s="41" t="n">
        <v>0.758</v>
      </c>
      <c r="P7" s="42" t="n">
        <v>5</v>
      </c>
      <c r="Q7" s="42" t="n">
        <v>21</v>
      </c>
      <c r="R7" s="35" t="s">
        <v>80</v>
      </c>
      <c r="S7" s="35" t="s">
        <v>81</v>
      </c>
      <c r="T7" s="34" t="s">
        <v>82</v>
      </c>
    </row>
    <row r="8" customFormat="false" ht="15" hidden="false" customHeight="false" outlineLevel="0" collapsed="false">
      <c r="A8" s="43" t="s">
        <v>83</v>
      </c>
      <c r="B8" s="44" t="s">
        <v>84</v>
      </c>
      <c r="C8" s="43" t="s">
        <v>27</v>
      </c>
      <c r="D8" s="43" t="s">
        <v>85</v>
      </c>
      <c r="E8" s="43" t="s">
        <v>56</v>
      </c>
      <c r="F8" s="43" t="s">
        <v>57</v>
      </c>
      <c r="G8" s="45" t="n">
        <v>29777</v>
      </c>
      <c r="H8" s="45" t="n">
        <v>45445</v>
      </c>
      <c r="I8" s="46" t="n">
        <v>249000</v>
      </c>
      <c r="J8" s="47" t="n">
        <v>0.108</v>
      </c>
      <c r="K8" s="46" t="n">
        <f aca="false">J8*I8</f>
        <v>26892</v>
      </c>
      <c r="L8" s="46" t="n">
        <f aca="false">I8+K8</f>
        <v>275892</v>
      </c>
      <c r="M8" s="48" t="n">
        <v>0.6</v>
      </c>
      <c r="N8" s="49" t="n">
        <v>2.75</v>
      </c>
      <c r="O8" s="50" t="n">
        <v>0.783</v>
      </c>
      <c r="P8" s="51" t="n">
        <v>24</v>
      </c>
      <c r="Q8" s="51" t="n">
        <v>51</v>
      </c>
      <c r="R8" s="44" t="s">
        <v>86</v>
      </c>
      <c r="S8" s="44" t="s">
        <v>87</v>
      </c>
      <c r="T8" s="43" t="s">
        <v>66</v>
      </c>
    </row>
    <row r="9" customFormat="false" ht="15" hidden="false" customHeight="false" outlineLevel="0" collapsed="false">
      <c r="A9" s="34" t="s">
        <v>88</v>
      </c>
      <c r="B9" s="35" t="s">
        <v>89</v>
      </c>
      <c r="C9" s="34" t="s">
        <v>29</v>
      </c>
      <c r="D9" s="34" t="s">
        <v>90</v>
      </c>
      <c r="E9" s="34" t="s">
        <v>56</v>
      </c>
      <c r="F9" s="34" t="s">
        <v>79</v>
      </c>
      <c r="G9" s="36" t="n">
        <v>26685</v>
      </c>
      <c r="H9" s="36" t="n">
        <v>43782</v>
      </c>
      <c r="I9" s="37" t="n">
        <v>204000</v>
      </c>
      <c r="J9" s="38" t="n">
        <v>0.212</v>
      </c>
      <c r="K9" s="37" t="n">
        <f aca="false">J9*I9</f>
        <v>43248</v>
      </c>
      <c r="L9" s="37" t="n">
        <f aca="false">I9+K9</f>
        <v>247248</v>
      </c>
      <c r="M9" s="39" t="n">
        <v>5.1</v>
      </c>
      <c r="N9" s="40" t="n">
        <v>4.02</v>
      </c>
      <c r="O9" s="41" t="n">
        <v>0.751</v>
      </c>
      <c r="P9" s="42" t="n">
        <v>16</v>
      </c>
      <c r="Q9" s="42" t="n">
        <v>51</v>
      </c>
      <c r="R9" s="35" t="s">
        <v>91</v>
      </c>
      <c r="S9" s="35" t="s">
        <v>92</v>
      </c>
      <c r="T9" s="34" t="s">
        <v>66</v>
      </c>
    </row>
    <row r="10" customFormat="false" ht="15" hidden="false" customHeight="false" outlineLevel="0" collapsed="false">
      <c r="A10" s="43" t="s">
        <v>93</v>
      </c>
      <c r="B10" s="44" t="s">
        <v>94</v>
      </c>
      <c r="C10" s="43" t="s">
        <v>30</v>
      </c>
      <c r="D10" s="43" t="s">
        <v>95</v>
      </c>
      <c r="E10" s="43" t="s">
        <v>96</v>
      </c>
      <c r="F10" s="43" t="s">
        <v>79</v>
      </c>
      <c r="G10" s="45" t="n">
        <v>37416</v>
      </c>
      <c r="H10" s="45" t="n">
        <v>39528</v>
      </c>
      <c r="I10" s="46" t="n">
        <v>110000</v>
      </c>
      <c r="J10" s="47" t="n">
        <v>0.261</v>
      </c>
      <c r="K10" s="46" t="n">
        <f aca="false">J10*I10</f>
        <v>28710</v>
      </c>
      <c r="L10" s="46" t="n">
        <f aca="false">I10+K10</f>
        <v>138710</v>
      </c>
      <c r="M10" s="48" t="n">
        <v>16.8</v>
      </c>
      <c r="N10" s="49" t="n">
        <v>4.44</v>
      </c>
      <c r="O10" s="50" t="n">
        <v>0.769</v>
      </c>
      <c r="P10" s="51" t="n">
        <v>3</v>
      </c>
      <c r="Q10" s="51" t="n">
        <v>90</v>
      </c>
      <c r="R10" s="44" t="s">
        <v>97</v>
      </c>
      <c r="S10" s="44" t="s">
        <v>98</v>
      </c>
      <c r="T10" s="43" t="s">
        <v>66</v>
      </c>
    </row>
    <row r="11" customFormat="false" ht="15" hidden="false" customHeight="false" outlineLevel="0" collapsed="false">
      <c r="A11" s="34" t="s">
        <v>99</v>
      </c>
      <c r="B11" s="35" t="s">
        <v>100</v>
      </c>
      <c r="C11" s="34" t="s">
        <v>28</v>
      </c>
      <c r="D11" s="34" t="s">
        <v>55</v>
      </c>
      <c r="E11" s="34" t="s">
        <v>96</v>
      </c>
      <c r="F11" s="34" t="s">
        <v>79</v>
      </c>
      <c r="G11" s="36" t="n">
        <v>24717</v>
      </c>
      <c r="H11" s="36" t="n">
        <v>43392</v>
      </c>
      <c r="I11" s="37" t="n">
        <v>213000</v>
      </c>
      <c r="J11" s="38" t="n">
        <v>0.129</v>
      </c>
      <c r="K11" s="37" t="n">
        <f aca="false">J11*I11</f>
        <v>27477</v>
      </c>
      <c r="L11" s="37" t="n">
        <f aca="false">I11+K11</f>
        <v>240477</v>
      </c>
      <c r="M11" s="39" t="n">
        <v>6.2</v>
      </c>
      <c r="N11" s="40" t="n">
        <v>4.14</v>
      </c>
      <c r="O11" s="41" t="n">
        <v>0.819</v>
      </c>
      <c r="P11" s="42" t="n">
        <v>30</v>
      </c>
      <c r="Q11" s="42" t="n">
        <v>46</v>
      </c>
      <c r="R11" s="35" t="s">
        <v>101</v>
      </c>
      <c r="S11" s="35" t="s">
        <v>102</v>
      </c>
      <c r="T11" s="34" t="s">
        <v>66</v>
      </c>
    </row>
    <row r="12" customFormat="false" ht="15" hidden="false" customHeight="false" outlineLevel="0" collapsed="false">
      <c r="A12" s="43" t="s">
        <v>103</v>
      </c>
      <c r="B12" s="44" t="s">
        <v>104</v>
      </c>
      <c r="C12" s="43" t="s">
        <v>26</v>
      </c>
      <c r="D12" s="43" t="s">
        <v>90</v>
      </c>
      <c r="E12" s="43" t="s">
        <v>56</v>
      </c>
      <c r="F12" s="43" t="s">
        <v>79</v>
      </c>
      <c r="G12" s="45" t="n">
        <v>30344</v>
      </c>
      <c r="H12" s="45" t="n">
        <v>41678</v>
      </c>
      <c r="I12" s="46" t="n">
        <v>178000</v>
      </c>
      <c r="J12" s="47" t="n">
        <v>0.157</v>
      </c>
      <c r="K12" s="46" t="n">
        <f aca="false">J12*I12</f>
        <v>27946</v>
      </c>
      <c r="L12" s="46" t="n">
        <f aca="false">I12+K12</f>
        <v>205946</v>
      </c>
      <c r="M12" s="48" t="n">
        <v>10.9</v>
      </c>
      <c r="N12" s="49" t="n">
        <v>3.96</v>
      </c>
      <c r="O12" s="50" t="n">
        <v>0.809</v>
      </c>
      <c r="P12" s="51" t="n">
        <v>9</v>
      </c>
      <c r="Q12" s="51" t="n">
        <v>140</v>
      </c>
      <c r="R12" s="44" t="s">
        <v>105</v>
      </c>
      <c r="S12" s="44" t="s">
        <v>106</v>
      </c>
      <c r="T12" s="43" t="s">
        <v>66</v>
      </c>
    </row>
    <row r="13" customFormat="false" ht="15" hidden="false" customHeight="false" outlineLevel="0" collapsed="false">
      <c r="A13" s="34" t="s">
        <v>107</v>
      </c>
      <c r="B13" s="35" t="s">
        <v>108</v>
      </c>
      <c r="C13" s="34" t="s">
        <v>25</v>
      </c>
      <c r="D13" s="34" t="s">
        <v>85</v>
      </c>
      <c r="E13" s="34" t="s">
        <v>63</v>
      </c>
      <c r="F13" s="34" t="s">
        <v>57</v>
      </c>
      <c r="G13" s="36" t="n">
        <v>36438</v>
      </c>
      <c r="H13" s="36" t="n">
        <v>38889</v>
      </c>
      <c r="I13" s="37" t="n">
        <v>65000</v>
      </c>
      <c r="J13" s="38" t="n">
        <v>0.207</v>
      </c>
      <c r="K13" s="37" t="n">
        <f aca="false">J13*I13</f>
        <v>13455</v>
      </c>
      <c r="L13" s="37" t="n">
        <f aca="false">I13+K13</f>
        <v>78455</v>
      </c>
      <c r="M13" s="39" t="n">
        <v>18.5</v>
      </c>
      <c r="N13" s="40" t="n">
        <v>4.48</v>
      </c>
      <c r="O13" s="41" t="n">
        <v>0.827</v>
      </c>
      <c r="P13" s="42" t="n">
        <v>5</v>
      </c>
      <c r="Q13" s="42" t="n">
        <v>108</v>
      </c>
      <c r="R13" s="35" t="s">
        <v>109</v>
      </c>
      <c r="S13" s="35" t="s">
        <v>110</v>
      </c>
      <c r="T13" s="34" t="s">
        <v>66</v>
      </c>
    </row>
    <row r="14" customFormat="false" ht="15" hidden="false" customHeight="false" outlineLevel="0" collapsed="false">
      <c r="A14" s="43" t="s">
        <v>111</v>
      </c>
      <c r="B14" s="44" t="s">
        <v>112</v>
      </c>
      <c r="C14" s="43" t="s">
        <v>33</v>
      </c>
      <c r="D14" s="43" t="s">
        <v>113</v>
      </c>
      <c r="E14" s="43" t="s">
        <v>56</v>
      </c>
      <c r="F14" s="43" t="s">
        <v>79</v>
      </c>
      <c r="G14" s="45" t="n">
        <v>28204</v>
      </c>
      <c r="H14" s="45" t="n">
        <v>43935</v>
      </c>
      <c r="I14" s="46" t="n">
        <v>28000</v>
      </c>
      <c r="J14" s="47" t="n">
        <v>0.22</v>
      </c>
      <c r="K14" s="46" t="n">
        <f aca="false">J14*I14</f>
        <v>6160</v>
      </c>
      <c r="L14" s="46" t="n">
        <f aca="false">I14+K14</f>
        <v>34160</v>
      </c>
      <c r="M14" s="48" t="n">
        <v>4.7</v>
      </c>
      <c r="N14" s="49" t="n">
        <v>2.79</v>
      </c>
      <c r="O14" s="50" t="n">
        <v>0.965</v>
      </c>
      <c r="P14" s="51" t="n">
        <v>18</v>
      </c>
      <c r="Q14" s="51" t="n">
        <v>174</v>
      </c>
      <c r="R14" s="44" t="s">
        <v>114</v>
      </c>
      <c r="S14" s="44" t="s">
        <v>115</v>
      </c>
      <c r="T14" s="43" t="s">
        <v>66</v>
      </c>
    </row>
    <row r="15" customFormat="false" ht="15" hidden="false" customHeight="false" outlineLevel="0" collapsed="false">
      <c r="A15" s="34" t="s">
        <v>116</v>
      </c>
      <c r="B15" s="35" t="s">
        <v>117</v>
      </c>
      <c r="C15" s="34" t="s">
        <v>25</v>
      </c>
      <c r="D15" s="34" t="s">
        <v>95</v>
      </c>
      <c r="E15" s="34" t="s">
        <v>74</v>
      </c>
      <c r="F15" s="34" t="s">
        <v>57</v>
      </c>
      <c r="G15" s="36" t="n">
        <v>37604</v>
      </c>
      <c r="H15" s="36" t="n">
        <v>38923</v>
      </c>
      <c r="I15" s="37" t="n">
        <v>143000</v>
      </c>
      <c r="J15" s="38" t="n">
        <v>0.051</v>
      </c>
      <c r="K15" s="37" t="n">
        <f aca="false">J15*I15</f>
        <v>7293</v>
      </c>
      <c r="L15" s="37" t="n">
        <f aca="false">I15+K15</f>
        <v>150293</v>
      </c>
      <c r="M15" s="39" t="n">
        <v>18.4</v>
      </c>
      <c r="N15" s="40" t="n">
        <v>4.31</v>
      </c>
      <c r="O15" s="41" t="n">
        <v>0.916</v>
      </c>
      <c r="P15" s="42" t="n">
        <v>33</v>
      </c>
      <c r="Q15" s="42" t="n">
        <v>55</v>
      </c>
      <c r="R15" s="35" t="s">
        <v>118</v>
      </c>
      <c r="S15" s="35" t="s">
        <v>119</v>
      </c>
      <c r="T15" s="34" t="s">
        <v>60</v>
      </c>
    </row>
    <row r="16" customFormat="false" ht="15" hidden="false" customHeight="false" outlineLevel="0" collapsed="false">
      <c r="A16" s="43" t="s">
        <v>120</v>
      </c>
      <c r="B16" s="44" t="s">
        <v>121</v>
      </c>
      <c r="C16" s="43" t="s">
        <v>25</v>
      </c>
      <c r="D16" s="43" t="s">
        <v>85</v>
      </c>
      <c r="E16" s="43" t="s">
        <v>56</v>
      </c>
      <c r="F16" s="43" t="s">
        <v>79</v>
      </c>
      <c r="G16" s="45" t="n">
        <v>27380</v>
      </c>
      <c r="H16" s="45" t="n">
        <v>43452</v>
      </c>
      <c r="I16" s="46" t="n">
        <v>158000</v>
      </c>
      <c r="J16" s="47" t="n">
        <v>0.202</v>
      </c>
      <c r="K16" s="46" t="n">
        <f aca="false">J16*I16</f>
        <v>31916</v>
      </c>
      <c r="L16" s="46" t="n">
        <f aca="false">I16+K16</f>
        <v>189916</v>
      </c>
      <c r="M16" s="48" t="n">
        <v>6</v>
      </c>
      <c r="N16" s="49" t="n">
        <v>2.88</v>
      </c>
      <c r="O16" s="50" t="n">
        <v>0.929</v>
      </c>
      <c r="P16" s="51" t="n">
        <v>35</v>
      </c>
      <c r="Q16" s="51" t="n">
        <v>145</v>
      </c>
      <c r="R16" s="44" t="s">
        <v>122</v>
      </c>
      <c r="S16" s="44" t="s">
        <v>123</v>
      </c>
      <c r="T16" s="43" t="s">
        <v>66</v>
      </c>
    </row>
    <row r="17" customFormat="false" ht="15" hidden="false" customHeight="false" outlineLevel="0" collapsed="false">
      <c r="A17" s="34" t="s">
        <v>124</v>
      </c>
      <c r="B17" s="35" t="s">
        <v>125</v>
      </c>
      <c r="C17" s="34" t="s">
        <v>33</v>
      </c>
      <c r="D17" s="34" t="s">
        <v>95</v>
      </c>
      <c r="E17" s="34" t="s">
        <v>126</v>
      </c>
      <c r="F17" s="34" t="s">
        <v>57</v>
      </c>
      <c r="G17" s="36" t="n">
        <v>26751</v>
      </c>
      <c r="H17" s="36" t="n">
        <v>44289</v>
      </c>
      <c r="I17" s="37" t="n">
        <v>54000</v>
      </c>
      <c r="J17" s="38" t="n">
        <v>0.282</v>
      </c>
      <c r="K17" s="37" t="n">
        <f aca="false">J17*I17</f>
        <v>15228</v>
      </c>
      <c r="L17" s="37" t="n">
        <f aca="false">I17+K17</f>
        <v>69228</v>
      </c>
      <c r="M17" s="39" t="n">
        <v>3.7</v>
      </c>
      <c r="N17" s="40" t="n">
        <v>4.7</v>
      </c>
      <c r="O17" s="41" t="n">
        <v>0.949</v>
      </c>
      <c r="P17" s="42" t="n">
        <v>20</v>
      </c>
      <c r="Q17" s="42" t="n">
        <v>71</v>
      </c>
      <c r="R17" s="35" t="s">
        <v>127</v>
      </c>
      <c r="S17" s="35" t="s">
        <v>128</v>
      </c>
      <c r="T17" s="34" t="s">
        <v>66</v>
      </c>
    </row>
    <row r="18" customFormat="false" ht="15" hidden="false" customHeight="false" outlineLevel="0" collapsed="false">
      <c r="A18" s="43" t="s">
        <v>129</v>
      </c>
      <c r="B18" s="44" t="s">
        <v>130</v>
      </c>
      <c r="C18" s="43" t="s">
        <v>27</v>
      </c>
      <c r="D18" s="43" t="s">
        <v>69</v>
      </c>
      <c r="E18" s="43" t="s">
        <v>131</v>
      </c>
      <c r="F18" s="43" t="s">
        <v>57</v>
      </c>
      <c r="G18" s="45" t="n">
        <v>27371</v>
      </c>
      <c r="H18" s="45" t="n">
        <v>42868</v>
      </c>
      <c r="I18" s="46" t="n">
        <v>216000</v>
      </c>
      <c r="J18" s="47" t="n">
        <v>0.171</v>
      </c>
      <c r="K18" s="46" t="n">
        <f aca="false">J18*I18</f>
        <v>36936</v>
      </c>
      <c r="L18" s="46" t="n">
        <f aca="false">I18+K18</f>
        <v>252936</v>
      </c>
      <c r="M18" s="48" t="n">
        <v>7.6</v>
      </c>
      <c r="N18" s="49" t="n">
        <v>2.67</v>
      </c>
      <c r="O18" s="50" t="n">
        <v>0.928</v>
      </c>
      <c r="P18" s="51" t="n">
        <v>9</v>
      </c>
      <c r="Q18" s="51" t="n">
        <v>42</v>
      </c>
      <c r="R18" s="44" t="s">
        <v>132</v>
      </c>
      <c r="S18" s="44" t="s">
        <v>133</v>
      </c>
      <c r="T18" s="43" t="s">
        <v>82</v>
      </c>
    </row>
    <row r="19" customFormat="false" ht="15" hidden="false" customHeight="false" outlineLevel="0" collapsed="false">
      <c r="A19" s="34" t="s">
        <v>134</v>
      </c>
      <c r="B19" s="35" t="s">
        <v>135</v>
      </c>
      <c r="C19" s="34" t="s">
        <v>31</v>
      </c>
      <c r="D19" s="34" t="s">
        <v>69</v>
      </c>
      <c r="E19" s="34" t="s">
        <v>136</v>
      </c>
      <c r="F19" s="34" t="s">
        <v>137</v>
      </c>
      <c r="G19" s="36" t="n">
        <v>25636</v>
      </c>
      <c r="H19" s="36" t="n">
        <v>44640</v>
      </c>
      <c r="I19" s="37" t="n">
        <v>163000</v>
      </c>
      <c r="J19" s="38" t="n">
        <v>0.268</v>
      </c>
      <c r="K19" s="37" t="n">
        <f aca="false">J19*I19</f>
        <v>43684</v>
      </c>
      <c r="L19" s="37" t="n">
        <f aca="false">I19+K19</f>
        <v>206684</v>
      </c>
      <c r="M19" s="39" t="n">
        <v>2.8</v>
      </c>
      <c r="N19" s="40" t="n">
        <v>3.56</v>
      </c>
      <c r="O19" s="41" t="n">
        <v>0.764</v>
      </c>
      <c r="P19" s="42" t="n">
        <v>35</v>
      </c>
      <c r="Q19" s="42" t="n">
        <v>196</v>
      </c>
      <c r="R19" s="35" t="s">
        <v>138</v>
      </c>
      <c r="S19" s="35" t="s">
        <v>139</v>
      </c>
      <c r="T19" s="34" t="s">
        <v>82</v>
      </c>
    </row>
    <row r="20" customFormat="false" ht="15" hidden="false" customHeight="false" outlineLevel="0" collapsed="false">
      <c r="A20" s="43" t="s">
        <v>140</v>
      </c>
      <c r="B20" s="44" t="s">
        <v>141</v>
      </c>
      <c r="C20" s="43" t="s">
        <v>27</v>
      </c>
      <c r="D20" s="43" t="s">
        <v>142</v>
      </c>
      <c r="E20" s="43" t="s">
        <v>56</v>
      </c>
      <c r="F20" s="43" t="s">
        <v>137</v>
      </c>
      <c r="G20" s="45" t="n">
        <v>36305</v>
      </c>
      <c r="H20" s="45" t="n">
        <v>45303</v>
      </c>
      <c r="I20" s="46" t="n">
        <v>201000</v>
      </c>
      <c r="J20" s="47" t="n">
        <v>0.212</v>
      </c>
      <c r="K20" s="46" t="n">
        <f aca="false">J20*I20</f>
        <v>42612</v>
      </c>
      <c r="L20" s="46" t="n">
        <f aca="false">I20+K20</f>
        <v>243612</v>
      </c>
      <c r="M20" s="48" t="n">
        <v>1</v>
      </c>
      <c r="N20" s="49" t="n">
        <v>3.6</v>
      </c>
      <c r="O20" s="50" t="n">
        <v>0.855</v>
      </c>
      <c r="P20" s="51" t="n">
        <v>8</v>
      </c>
      <c r="Q20" s="51" t="n">
        <v>73</v>
      </c>
      <c r="R20" s="44" t="s">
        <v>143</v>
      </c>
      <c r="S20" s="44" t="s">
        <v>144</v>
      </c>
      <c r="T20" s="43" t="s">
        <v>66</v>
      </c>
    </row>
    <row r="21" customFormat="false" ht="15" hidden="false" customHeight="false" outlineLevel="0" collapsed="false">
      <c r="A21" s="34" t="s">
        <v>145</v>
      </c>
      <c r="B21" s="35" t="s">
        <v>146</v>
      </c>
      <c r="C21" s="34" t="s">
        <v>25</v>
      </c>
      <c r="D21" s="34" t="s">
        <v>95</v>
      </c>
      <c r="E21" s="34" t="s">
        <v>63</v>
      </c>
      <c r="F21" s="34" t="s">
        <v>79</v>
      </c>
      <c r="G21" s="36" t="n">
        <v>27632</v>
      </c>
      <c r="H21" s="36" t="n">
        <v>43052</v>
      </c>
      <c r="I21" s="37" t="n">
        <v>170000</v>
      </c>
      <c r="J21" s="38" t="n">
        <v>0.108</v>
      </c>
      <c r="K21" s="37" t="n">
        <f aca="false">J21*I21</f>
        <v>18360</v>
      </c>
      <c r="L21" s="37" t="n">
        <f aca="false">I21+K21</f>
        <v>188360</v>
      </c>
      <c r="M21" s="39" t="n">
        <v>7.1</v>
      </c>
      <c r="N21" s="40" t="n">
        <v>3.05</v>
      </c>
      <c r="O21" s="41" t="n">
        <v>0.721</v>
      </c>
      <c r="P21" s="42" t="n">
        <v>4</v>
      </c>
      <c r="Q21" s="42" t="n">
        <v>68</v>
      </c>
      <c r="R21" s="35" t="s">
        <v>147</v>
      </c>
      <c r="S21" s="35" t="s">
        <v>148</v>
      </c>
      <c r="T21" s="34" t="s">
        <v>66</v>
      </c>
    </row>
    <row r="22" customFormat="false" ht="15" hidden="false" customHeight="false" outlineLevel="0" collapsed="false">
      <c r="A22" s="43" t="s">
        <v>149</v>
      </c>
      <c r="B22" s="44" t="s">
        <v>150</v>
      </c>
      <c r="C22" s="43" t="s">
        <v>24</v>
      </c>
      <c r="D22" s="43" t="s">
        <v>85</v>
      </c>
      <c r="E22" s="43" t="s">
        <v>151</v>
      </c>
      <c r="F22" s="43" t="s">
        <v>57</v>
      </c>
      <c r="G22" s="45" t="n">
        <v>29291</v>
      </c>
      <c r="H22" s="45" t="n">
        <v>43952</v>
      </c>
      <c r="I22" s="46" t="n">
        <v>159000</v>
      </c>
      <c r="J22" s="47" t="n">
        <v>0.11</v>
      </c>
      <c r="K22" s="46" t="n">
        <f aca="false">J22*I22</f>
        <v>17490</v>
      </c>
      <c r="L22" s="46" t="n">
        <f aca="false">I22+K22</f>
        <v>176490</v>
      </c>
      <c r="M22" s="48" t="n">
        <v>4.7</v>
      </c>
      <c r="N22" s="49" t="n">
        <v>4.17</v>
      </c>
      <c r="O22" s="50" t="n">
        <v>0.764</v>
      </c>
      <c r="P22" s="51" t="n">
        <v>9</v>
      </c>
      <c r="Q22" s="51" t="n">
        <v>195</v>
      </c>
      <c r="R22" s="44" t="s">
        <v>152</v>
      </c>
      <c r="S22" s="44" t="s">
        <v>153</v>
      </c>
      <c r="T22" s="43" t="s">
        <v>60</v>
      </c>
    </row>
    <row r="23" customFormat="false" ht="15" hidden="false" customHeight="false" outlineLevel="0" collapsed="false">
      <c r="A23" s="34" t="s">
        <v>154</v>
      </c>
      <c r="B23" s="35" t="s">
        <v>155</v>
      </c>
      <c r="C23" s="34" t="s">
        <v>33</v>
      </c>
      <c r="D23" s="34" t="s">
        <v>113</v>
      </c>
      <c r="E23" s="34" t="s">
        <v>96</v>
      </c>
      <c r="F23" s="34" t="s">
        <v>137</v>
      </c>
      <c r="G23" s="36" t="n">
        <v>34042</v>
      </c>
      <c r="H23" s="36" t="n">
        <v>42300</v>
      </c>
      <c r="I23" s="37" t="n">
        <v>236000</v>
      </c>
      <c r="J23" s="38" t="n">
        <v>0.152</v>
      </c>
      <c r="K23" s="37" t="n">
        <f aca="false">J23*I23</f>
        <v>35872</v>
      </c>
      <c r="L23" s="37" t="n">
        <f aca="false">I23+K23</f>
        <v>271872</v>
      </c>
      <c r="M23" s="39" t="n">
        <v>9.2</v>
      </c>
      <c r="N23" s="40" t="n">
        <v>2.74</v>
      </c>
      <c r="O23" s="41" t="n">
        <v>0.898</v>
      </c>
      <c r="P23" s="42" t="n">
        <v>23</v>
      </c>
      <c r="Q23" s="42" t="n">
        <v>118</v>
      </c>
      <c r="R23" s="35" t="s">
        <v>156</v>
      </c>
      <c r="S23" s="35" t="s">
        <v>157</v>
      </c>
      <c r="T23" s="34" t="s">
        <v>66</v>
      </c>
    </row>
    <row r="24" customFormat="false" ht="15" hidden="false" customHeight="false" outlineLevel="0" collapsed="false">
      <c r="A24" s="43" t="s">
        <v>158</v>
      </c>
      <c r="B24" s="44" t="s">
        <v>159</v>
      </c>
      <c r="C24" s="43" t="s">
        <v>31</v>
      </c>
      <c r="D24" s="43" t="s">
        <v>85</v>
      </c>
      <c r="E24" s="43" t="s">
        <v>63</v>
      </c>
      <c r="F24" s="43" t="s">
        <v>79</v>
      </c>
      <c r="G24" s="45" t="n">
        <v>33751</v>
      </c>
      <c r="H24" s="45" t="n">
        <v>41992</v>
      </c>
      <c r="I24" s="46" t="n">
        <v>196000</v>
      </c>
      <c r="J24" s="47" t="n">
        <v>0.296</v>
      </c>
      <c r="K24" s="46" t="n">
        <f aca="false">J24*I24</f>
        <v>58016</v>
      </c>
      <c r="L24" s="46" t="n">
        <f aca="false">I24+K24</f>
        <v>254016</v>
      </c>
      <c r="M24" s="48" t="n">
        <v>10</v>
      </c>
      <c r="N24" s="49" t="n">
        <v>2.75</v>
      </c>
      <c r="O24" s="50" t="n">
        <v>0.821</v>
      </c>
      <c r="P24" s="51" t="n">
        <v>22</v>
      </c>
      <c r="Q24" s="51" t="n">
        <v>37</v>
      </c>
      <c r="R24" s="44" t="s">
        <v>160</v>
      </c>
      <c r="S24" s="44" t="s">
        <v>161</v>
      </c>
      <c r="T24" s="43" t="s">
        <v>66</v>
      </c>
    </row>
    <row r="25" customFormat="false" ht="15" hidden="false" customHeight="false" outlineLevel="0" collapsed="false">
      <c r="A25" s="34" t="s">
        <v>162</v>
      </c>
      <c r="B25" s="35" t="s">
        <v>163</v>
      </c>
      <c r="C25" s="34" t="s">
        <v>27</v>
      </c>
      <c r="D25" s="34" t="s">
        <v>90</v>
      </c>
      <c r="E25" s="34" t="s">
        <v>126</v>
      </c>
      <c r="F25" s="34" t="s">
        <v>57</v>
      </c>
      <c r="G25" s="36" t="n">
        <v>34328</v>
      </c>
      <c r="H25" s="36" t="n">
        <v>41086</v>
      </c>
      <c r="I25" s="37" t="n">
        <v>135000</v>
      </c>
      <c r="J25" s="38" t="n">
        <v>0.096</v>
      </c>
      <c r="K25" s="37" t="n">
        <f aca="false">J25*I25</f>
        <v>12960</v>
      </c>
      <c r="L25" s="37" t="n">
        <f aca="false">I25+K25</f>
        <v>147960</v>
      </c>
      <c r="M25" s="39" t="n">
        <v>12.5</v>
      </c>
      <c r="N25" s="40" t="n">
        <v>3.66</v>
      </c>
      <c r="O25" s="41" t="n">
        <v>0.962</v>
      </c>
      <c r="P25" s="42" t="n">
        <v>5</v>
      </c>
      <c r="Q25" s="42" t="n">
        <v>123</v>
      </c>
      <c r="R25" s="35" t="s">
        <v>164</v>
      </c>
      <c r="S25" s="35" t="s">
        <v>165</v>
      </c>
      <c r="T25" s="34" t="s">
        <v>60</v>
      </c>
    </row>
    <row r="26" customFormat="false" ht="15" hidden="false" customHeight="false" outlineLevel="0" collapsed="false">
      <c r="A26" s="43" t="s">
        <v>166</v>
      </c>
      <c r="B26" s="44" t="s">
        <v>167</v>
      </c>
      <c r="C26" s="43" t="s">
        <v>25</v>
      </c>
      <c r="D26" s="43" t="s">
        <v>55</v>
      </c>
      <c r="E26" s="43" t="s">
        <v>63</v>
      </c>
      <c r="F26" s="43" t="s">
        <v>57</v>
      </c>
      <c r="G26" s="45" t="n">
        <v>36745</v>
      </c>
      <c r="H26" s="45" t="n">
        <v>43647</v>
      </c>
      <c r="I26" s="46" t="n">
        <v>222000</v>
      </c>
      <c r="J26" s="47" t="n">
        <v>0.262</v>
      </c>
      <c r="K26" s="46" t="n">
        <f aca="false">J26*I26</f>
        <v>58164</v>
      </c>
      <c r="L26" s="46" t="n">
        <f aca="false">I26+K26</f>
        <v>280164</v>
      </c>
      <c r="M26" s="48" t="n">
        <v>5.5</v>
      </c>
      <c r="N26" s="49" t="n">
        <v>2.92</v>
      </c>
      <c r="O26" s="50" t="n">
        <v>0.846</v>
      </c>
      <c r="P26" s="51" t="n">
        <v>14</v>
      </c>
      <c r="Q26" s="51" t="n">
        <v>112</v>
      </c>
      <c r="R26" s="44" t="s">
        <v>168</v>
      </c>
      <c r="S26" s="44" t="s">
        <v>169</v>
      </c>
      <c r="T26" s="43" t="s">
        <v>66</v>
      </c>
    </row>
    <row r="27" customFormat="false" ht="15" hidden="false" customHeight="false" outlineLevel="0" collapsed="false">
      <c r="A27" s="34" t="s">
        <v>170</v>
      </c>
      <c r="B27" s="35" t="s">
        <v>171</v>
      </c>
      <c r="C27" s="34" t="s">
        <v>26</v>
      </c>
      <c r="D27" s="34" t="s">
        <v>113</v>
      </c>
      <c r="E27" s="34" t="s">
        <v>63</v>
      </c>
      <c r="F27" s="34" t="s">
        <v>137</v>
      </c>
      <c r="G27" s="36" t="n">
        <v>26658</v>
      </c>
      <c r="H27" s="36" t="n">
        <v>41080</v>
      </c>
      <c r="I27" s="37" t="n">
        <v>94000</v>
      </c>
      <c r="J27" s="38" t="n">
        <v>0.282</v>
      </c>
      <c r="K27" s="37" t="n">
        <f aca="false">J27*I27</f>
        <v>26508</v>
      </c>
      <c r="L27" s="37" t="n">
        <f aca="false">I27+K27</f>
        <v>120508</v>
      </c>
      <c r="M27" s="39" t="n">
        <v>12.5</v>
      </c>
      <c r="N27" s="40" t="n">
        <v>4.46</v>
      </c>
      <c r="O27" s="41" t="n">
        <v>0.786</v>
      </c>
      <c r="P27" s="42" t="n">
        <v>36</v>
      </c>
      <c r="Q27" s="42" t="n">
        <v>179</v>
      </c>
      <c r="R27" s="35" t="s">
        <v>172</v>
      </c>
      <c r="S27" s="35" t="s">
        <v>173</v>
      </c>
      <c r="T27" s="34" t="s">
        <v>82</v>
      </c>
    </row>
    <row r="28" customFormat="false" ht="15" hidden="false" customHeight="false" outlineLevel="0" collapsed="false">
      <c r="A28" s="43" t="s">
        <v>174</v>
      </c>
      <c r="B28" s="44" t="s">
        <v>175</v>
      </c>
      <c r="C28" s="43" t="s">
        <v>31</v>
      </c>
      <c r="D28" s="43" t="s">
        <v>90</v>
      </c>
      <c r="E28" s="43" t="s">
        <v>96</v>
      </c>
      <c r="F28" s="43" t="s">
        <v>137</v>
      </c>
      <c r="G28" s="45" t="n">
        <v>27585</v>
      </c>
      <c r="H28" s="45" t="n">
        <v>41456</v>
      </c>
      <c r="I28" s="46" t="n">
        <v>82000</v>
      </c>
      <c r="J28" s="47" t="n">
        <v>0.292</v>
      </c>
      <c r="K28" s="46" t="n">
        <f aca="false">J28*I28</f>
        <v>23944</v>
      </c>
      <c r="L28" s="46" t="n">
        <f aca="false">I28+K28</f>
        <v>105944</v>
      </c>
      <c r="M28" s="48" t="n">
        <v>11.5</v>
      </c>
      <c r="N28" s="49" t="n">
        <v>3.95</v>
      </c>
      <c r="O28" s="50" t="n">
        <v>0.863</v>
      </c>
      <c r="P28" s="51" t="n">
        <v>21</v>
      </c>
      <c r="Q28" s="51" t="n">
        <v>24</v>
      </c>
      <c r="R28" s="44" t="s">
        <v>176</v>
      </c>
      <c r="S28" s="44" t="s">
        <v>177</v>
      </c>
      <c r="T28" s="43" t="s">
        <v>66</v>
      </c>
    </row>
    <row r="29" customFormat="false" ht="15" hidden="false" customHeight="false" outlineLevel="0" collapsed="false">
      <c r="A29" s="34" t="s">
        <v>178</v>
      </c>
      <c r="B29" s="35" t="s">
        <v>179</v>
      </c>
      <c r="C29" s="34" t="s">
        <v>33</v>
      </c>
      <c r="D29" s="34" t="s">
        <v>113</v>
      </c>
      <c r="E29" s="34" t="s">
        <v>136</v>
      </c>
      <c r="F29" s="34" t="s">
        <v>57</v>
      </c>
      <c r="G29" s="36" t="n">
        <v>29743</v>
      </c>
      <c r="H29" s="36" t="n">
        <v>39860</v>
      </c>
      <c r="I29" s="37" t="n">
        <v>158000</v>
      </c>
      <c r="J29" s="38" t="n">
        <v>0.07</v>
      </c>
      <c r="K29" s="37" t="n">
        <f aca="false">J29*I29</f>
        <v>11060</v>
      </c>
      <c r="L29" s="37" t="n">
        <f aca="false">I29+K29</f>
        <v>169060</v>
      </c>
      <c r="M29" s="39" t="n">
        <v>15.9</v>
      </c>
      <c r="N29" s="40" t="n">
        <v>2.96</v>
      </c>
      <c r="O29" s="41" t="n">
        <v>0.879</v>
      </c>
      <c r="P29" s="42" t="n">
        <v>16</v>
      </c>
      <c r="Q29" s="42" t="n">
        <v>113</v>
      </c>
      <c r="R29" s="35" t="s">
        <v>180</v>
      </c>
      <c r="S29" s="35" t="s">
        <v>181</v>
      </c>
      <c r="T29" s="34" t="s">
        <v>66</v>
      </c>
    </row>
    <row r="30" customFormat="false" ht="15" hidden="false" customHeight="false" outlineLevel="0" collapsed="false">
      <c r="A30" s="43" t="s">
        <v>182</v>
      </c>
      <c r="B30" s="44" t="s">
        <v>183</v>
      </c>
      <c r="C30" s="43" t="s">
        <v>33</v>
      </c>
      <c r="D30" s="43" t="s">
        <v>90</v>
      </c>
      <c r="E30" s="43" t="s">
        <v>63</v>
      </c>
      <c r="F30" s="43" t="s">
        <v>79</v>
      </c>
      <c r="G30" s="45" t="n">
        <v>33017</v>
      </c>
      <c r="H30" s="45" t="n">
        <v>40051</v>
      </c>
      <c r="I30" s="46" t="n">
        <v>46000</v>
      </c>
      <c r="J30" s="47" t="n">
        <v>0.155</v>
      </c>
      <c r="K30" s="46" t="n">
        <f aca="false">J30*I30</f>
        <v>7130</v>
      </c>
      <c r="L30" s="46" t="n">
        <f aca="false">I30+K30</f>
        <v>53130</v>
      </c>
      <c r="M30" s="48" t="n">
        <v>15.3</v>
      </c>
      <c r="N30" s="49" t="n">
        <v>3.96</v>
      </c>
      <c r="O30" s="50" t="n">
        <v>0.857</v>
      </c>
      <c r="P30" s="51" t="n">
        <v>17</v>
      </c>
      <c r="Q30" s="51" t="n">
        <v>62</v>
      </c>
      <c r="R30" s="44" t="s">
        <v>184</v>
      </c>
      <c r="S30" s="44" t="s">
        <v>185</v>
      </c>
      <c r="T30" s="43" t="s">
        <v>82</v>
      </c>
    </row>
    <row r="31" customFormat="false" ht="15" hidden="false" customHeight="false" outlineLevel="0" collapsed="false">
      <c r="A31" s="34" t="s">
        <v>186</v>
      </c>
      <c r="B31" s="35" t="s">
        <v>187</v>
      </c>
      <c r="C31" s="34" t="s">
        <v>29</v>
      </c>
      <c r="D31" s="34" t="s">
        <v>90</v>
      </c>
      <c r="E31" s="34" t="s">
        <v>56</v>
      </c>
      <c r="F31" s="34" t="s">
        <v>137</v>
      </c>
      <c r="G31" s="36" t="n">
        <v>29980</v>
      </c>
      <c r="H31" s="36" t="n">
        <v>43443</v>
      </c>
      <c r="I31" s="37" t="n">
        <v>59000</v>
      </c>
      <c r="J31" s="38" t="n">
        <v>0.218</v>
      </c>
      <c r="K31" s="37" t="n">
        <f aca="false">J31*I31</f>
        <v>12862</v>
      </c>
      <c r="L31" s="37" t="n">
        <f aca="false">I31+K31</f>
        <v>71862</v>
      </c>
      <c r="M31" s="39" t="n">
        <v>6.1</v>
      </c>
      <c r="N31" s="40" t="n">
        <v>3.25</v>
      </c>
      <c r="O31" s="41" t="n">
        <v>0.795</v>
      </c>
      <c r="P31" s="42" t="n">
        <v>5</v>
      </c>
      <c r="Q31" s="42" t="n">
        <v>12</v>
      </c>
      <c r="R31" s="35" t="s">
        <v>188</v>
      </c>
      <c r="S31" s="35" t="s">
        <v>189</v>
      </c>
      <c r="T31" s="34" t="s">
        <v>66</v>
      </c>
    </row>
    <row r="32" customFormat="false" ht="15" hidden="false" customHeight="false" outlineLevel="0" collapsed="false">
      <c r="A32" s="43" t="s">
        <v>190</v>
      </c>
      <c r="B32" s="44" t="s">
        <v>191</v>
      </c>
      <c r="C32" s="43" t="s">
        <v>33</v>
      </c>
      <c r="D32" s="43" t="s">
        <v>69</v>
      </c>
      <c r="E32" s="43" t="s">
        <v>131</v>
      </c>
      <c r="F32" s="43" t="s">
        <v>57</v>
      </c>
      <c r="G32" s="45" t="n">
        <v>26046</v>
      </c>
      <c r="H32" s="45" t="n">
        <v>45193</v>
      </c>
      <c r="I32" s="46" t="n">
        <v>165000</v>
      </c>
      <c r="J32" s="47" t="n">
        <v>0.103</v>
      </c>
      <c r="K32" s="46" t="n">
        <f aca="false">J32*I32</f>
        <v>16995</v>
      </c>
      <c r="L32" s="46" t="n">
        <f aca="false">I32+K32</f>
        <v>181995</v>
      </c>
      <c r="M32" s="48" t="n">
        <v>1.3</v>
      </c>
      <c r="N32" s="49" t="n">
        <v>3.16</v>
      </c>
      <c r="O32" s="50" t="n">
        <v>0.98</v>
      </c>
      <c r="P32" s="51" t="n">
        <v>5</v>
      </c>
      <c r="Q32" s="51" t="n">
        <v>72</v>
      </c>
      <c r="R32" s="44" t="s">
        <v>192</v>
      </c>
      <c r="S32" s="44" t="s">
        <v>193</v>
      </c>
      <c r="T32" s="43" t="s">
        <v>66</v>
      </c>
    </row>
    <row r="33" customFormat="false" ht="15" hidden="false" customHeight="false" outlineLevel="0" collapsed="false">
      <c r="A33" s="34" t="s">
        <v>194</v>
      </c>
      <c r="B33" s="35" t="s">
        <v>195</v>
      </c>
      <c r="C33" s="34" t="s">
        <v>28</v>
      </c>
      <c r="D33" s="34" t="s">
        <v>90</v>
      </c>
      <c r="E33" s="34" t="s">
        <v>126</v>
      </c>
      <c r="F33" s="34" t="s">
        <v>79</v>
      </c>
      <c r="G33" s="36" t="n">
        <v>34762</v>
      </c>
      <c r="H33" s="36" t="n">
        <v>42410</v>
      </c>
      <c r="I33" s="37" t="n">
        <v>209000</v>
      </c>
      <c r="J33" s="38" t="n">
        <v>0.126</v>
      </c>
      <c r="K33" s="37" t="n">
        <f aca="false">J33*I33</f>
        <v>26334</v>
      </c>
      <c r="L33" s="37" t="n">
        <f aca="false">I33+K33</f>
        <v>235334</v>
      </c>
      <c r="M33" s="39" t="n">
        <v>8.9</v>
      </c>
      <c r="N33" s="40" t="n">
        <v>4.96</v>
      </c>
      <c r="O33" s="41" t="n">
        <v>0.942</v>
      </c>
      <c r="P33" s="42" t="n">
        <v>34</v>
      </c>
      <c r="Q33" s="42" t="n">
        <v>12</v>
      </c>
      <c r="R33" s="35" t="s">
        <v>196</v>
      </c>
      <c r="S33" s="35" t="s">
        <v>197</v>
      </c>
      <c r="T33" s="34" t="s">
        <v>82</v>
      </c>
    </row>
    <row r="34" customFormat="false" ht="15" hidden="false" customHeight="false" outlineLevel="0" collapsed="false">
      <c r="A34" s="43" t="s">
        <v>198</v>
      </c>
      <c r="B34" s="44" t="s">
        <v>199</v>
      </c>
      <c r="C34" s="43" t="s">
        <v>32</v>
      </c>
      <c r="D34" s="43" t="s">
        <v>95</v>
      </c>
      <c r="E34" s="43" t="s">
        <v>131</v>
      </c>
      <c r="F34" s="43" t="s">
        <v>57</v>
      </c>
      <c r="G34" s="45" t="n">
        <v>30677</v>
      </c>
      <c r="H34" s="45" t="n">
        <v>38475</v>
      </c>
      <c r="I34" s="46" t="n">
        <v>94000</v>
      </c>
      <c r="J34" s="47" t="n">
        <v>0.079</v>
      </c>
      <c r="K34" s="46" t="n">
        <f aca="false">J34*I34</f>
        <v>7426</v>
      </c>
      <c r="L34" s="46" t="n">
        <f aca="false">I34+K34</f>
        <v>101426</v>
      </c>
      <c r="M34" s="48" t="n">
        <v>19.7</v>
      </c>
      <c r="N34" s="49" t="n">
        <v>2.77</v>
      </c>
      <c r="O34" s="50" t="n">
        <v>0.866</v>
      </c>
      <c r="P34" s="51" t="n">
        <v>18</v>
      </c>
      <c r="Q34" s="51" t="n">
        <v>82</v>
      </c>
      <c r="R34" s="44" t="s">
        <v>200</v>
      </c>
      <c r="S34" s="44" t="s">
        <v>201</v>
      </c>
      <c r="T34" s="43" t="s">
        <v>60</v>
      </c>
    </row>
    <row r="35" customFormat="false" ht="15" hidden="false" customHeight="false" outlineLevel="0" collapsed="false">
      <c r="A35" s="34" t="s">
        <v>202</v>
      </c>
      <c r="B35" s="35" t="s">
        <v>203</v>
      </c>
      <c r="C35" s="34" t="s">
        <v>27</v>
      </c>
      <c r="D35" s="34" t="s">
        <v>142</v>
      </c>
      <c r="E35" s="34" t="s">
        <v>151</v>
      </c>
      <c r="F35" s="34" t="s">
        <v>57</v>
      </c>
      <c r="G35" s="36" t="n">
        <v>27544</v>
      </c>
      <c r="H35" s="36" t="n">
        <v>41800</v>
      </c>
      <c r="I35" s="37" t="n">
        <v>205000</v>
      </c>
      <c r="J35" s="38" t="n">
        <v>0.209</v>
      </c>
      <c r="K35" s="37" t="n">
        <f aca="false">J35*I35</f>
        <v>42845</v>
      </c>
      <c r="L35" s="37" t="n">
        <f aca="false">I35+K35</f>
        <v>247845</v>
      </c>
      <c r="M35" s="39" t="n">
        <v>10.6</v>
      </c>
      <c r="N35" s="40" t="n">
        <v>3.16</v>
      </c>
      <c r="O35" s="41" t="n">
        <v>0.847</v>
      </c>
      <c r="P35" s="42" t="n">
        <v>4</v>
      </c>
      <c r="Q35" s="42" t="n">
        <v>33</v>
      </c>
      <c r="R35" s="35" t="s">
        <v>204</v>
      </c>
      <c r="S35" s="35" t="s">
        <v>205</v>
      </c>
      <c r="T35" s="34" t="s">
        <v>82</v>
      </c>
    </row>
    <row r="36" customFormat="false" ht="15" hidden="false" customHeight="false" outlineLevel="0" collapsed="false">
      <c r="A36" s="43" t="s">
        <v>206</v>
      </c>
      <c r="B36" s="44" t="s">
        <v>207</v>
      </c>
      <c r="C36" s="43" t="s">
        <v>30</v>
      </c>
      <c r="D36" s="43" t="s">
        <v>85</v>
      </c>
      <c r="E36" s="43" t="s">
        <v>56</v>
      </c>
      <c r="F36" s="43" t="s">
        <v>57</v>
      </c>
      <c r="G36" s="45" t="n">
        <v>36414</v>
      </c>
      <c r="H36" s="45" t="n">
        <v>42440</v>
      </c>
      <c r="I36" s="46" t="n">
        <v>25000</v>
      </c>
      <c r="J36" s="47" t="n">
        <v>0.133</v>
      </c>
      <c r="K36" s="46" t="n">
        <f aca="false">J36*I36</f>
        <v>3325</v>
      </c>
      <c r="L36" s="46" t="n">
        <f aca="false">I36+K36</f>
        <v>28325</v>
      </c>
      <c r="M36" s="48" t="n">
        <v>8.8</v>
      </c>
      <c r="N36" s="49" t="n">
        <v>2.83</v>
      </c>
      <c r="O36" s="50" t="n">
        <v>0.994</v>
      </c>
      <c r="P36" s="51" t="n">
        <v>11</v>
      </c>
      <c r="Q36" s="51" t="n">
        <v>199</v>
      </c>
      <c r="R36" s="44" t="s">
        <v>208</v>
      </c>
      <c r="S36" s="44" t="s">
        <v>209</v>
      </c>
      <c r="T36" s="43" t="s">
        <v>66</v>
      </c>
    </row>
    <row r="37" customFormat="false" ht="15" hidden="false" customHeight="false" outlineLevel="0" collapsed="false">
      <c r="A37" s="34" t="s">
        <v>210</v>
      </c>
      <c r="B37" s="35" t="s">
        <v>211</v>
      </c>
      <c r="C37" s="34" t="s">
        <v>32</v>
      </c>
      <c r="D37" s="34" t="s">
        <v>142</v>
      </c>
      <c r="E37" s="34" t="s">
        <v>74</v>
      </c>
      <c r="F37" s="34" t="s">
        <v>79</v>
      </c>
      <c r="G37" s="36" t="n">
        <v>38052</v>
      </c>
      <c r="H37" s="36" t="n">
        <v>39196</v>
      </c>
      <c r="I37" s="37" t="n">
        <v>27000</v>
      </c>
      <c r="J37" s="38" t="n">
        <v>0.078</v>
      </c>
      <c r="K37" s="37" t="n">
        <f aca="false">J37*I37</f>
        <v>2106</v>
      </c>
      <c r="L37" s="37" t="n">
        <f aca="false">I37+K37</f>
        <v>29106</v>
      </c>
      <c r="M37" s="39" t="n">
        <v>17.7</v>
      </c>
      <c r="N37" s="40" t="n">
        <v>4.86</v>
      </c>
      <c r="O37" s="41" t="n">
        <v>0.907</v>
      </c>
      <c r="P37" s="42" t="n">
        <v>10</v>
      </c>
      <c r="Q37" s="42" t="n">
        <v>149</v>
      </c>
      <c r="R37" s="35" t="s">
        <v>212</v>
      </c>
      <c r="S37" s="35" t="s">
        <v>213</v>
      </c>
      <c r="T37" s="34" t="s">
        <v>66</v>
      </c>
    </row>
    <row r="38" customFormat="false" ht="15" hidden="false" customHeight="false" outlineLevel="0" collapsed="false">
      <c r="A38" s="43" t="s">
        <v>214</v>
      </c>
      <c r="B38" s="44" t="s">
        <v>215</v>
      </c>
      <c r="C38" s="43" t="s">
        <v>29</v>
      </c>
      <c r="D38" s="43" t="s">
        <v>69</v>
      </c>
      <c r="E38" s="43" t="s">
        <v>136</v>
      </c>
      <c r="F38" s="43" t="s">
        <v>137</v>
      </c>
      <c r="G38" s="45" t="n">
        <v>26969</v>
      </c>
      <c r="H38" s="45" t="n">
        <v>38887</v>
      </c>
      <c r="I38" s="46" t="n">
        <v>58000</v>
      </c>
      <c r="J38" s="47" t="n">
        <v>0.06</v>
      </c>
      <c r="K38" s="46" t="n">
        <f aca="false">J38*I38</f>
        <v>3480</v>
      </c>
      <c r="L38" s="46" t="n">
        <f aca="false">I38+K38</f>
        <v>61480</v>
      </c>
      <c r="M38" s="48" t="n">
        <v>18.5</v>
      </c>
      <c r="N38" s="49" t="n">
        <v>3.41</v>
      </c>
      <c r="O38" s="50" t="n">
        <v>0.98</v>
      </c>
      <c r="P38" s="51" t="n">
        <v>3</v>
      </c>
      <c r="Q38" s="51" t="n">
        <v>101</v>
      </c>
      <c r="R38" s="44" t="s">
        <v>216</v>
      </c>
      <c r="S38" s="44" t="s">
        <v>217</v>
      </c>
      <c r="T38" s="43" t="s">
        <v>66</v>
      </c>
    </row>
    <row r="39" customFormat="false" ht="15" hidden="false" customHeight="false" outlineLevel="0" collapsed="false">
      <c r="A39" s="34" t="s">
        <v>218</v>
      </c>
      <c r="B39" s="35" t="s">
        <v>219</v>
      </c>
      <c r="C39" s="34" t="s">
        <v>27</v>
      </c>
      <c r="D39" s="34" t="s">
        <v>142</v>
      </c>
      <c r="E39" s="34" t="s">
        <v>131</v>
      </c>
      <c r="F39" s="34" t="s">
        <v>137</v>
      </c>
      <c r="G39" s="36" t="n">
        <v>25426</v>
      </c>
      <c r="H39" s="36" t="n">
        <v>43996</v>
      </c>
      <c r="I39" s="37" t="n">
        <v>229000</v>
      </c>
      <c r="J39" s="38" t="n">
        <v>0.19</v>
      </c>
      <c r="K39" s="37" t="n">
        <f aca="false">J39*I39</f>
        <v>43510</v>
      </c>
      <c r="L39" s="37" t="n">
        <f aca="false">I39+K39</f>
        <v>272510</v>
      </c>
      <c r="M39" s="39" t="n">
        <v>4.5</v>
      </c>
      <c r="N39" s="40" t="n">
        <v>4.69</v>
      </c>
      <c r="O39" s="41" t="n">
        <v>0.992</v>
      </c>
      <c r="P39" s="42" t="n">
        <v>10</v>
      </c>
      <c r="Q39" s="42" t="n">
        <v>70</v>
      </c>
      <c r="R39" s="35" t="s">
        <v>220</v>
      </c>
      <c r="S39" s="35" t="s">
        <v>221</v>
      </c>
      <c r="T39" s="34" t="s">
        <v>66</v>
      </c>
    </row>
    <row r="40" customFormat="false" ht="15" hidden="false" customHeight="false" outlineLevel="0" collapsed="false">
      <c r="A40" s="43" t="s">
        <v>222</v>
      </c>
      <c r="B40" s="44" t="s">
        <v>223</v>
      </c>
      <c r="C40" s="43" t="s">
        <v>26</v>
      </c>
      <c r="D40" s="43" t="s">
        <v>113</v>
      </c>
      <c r="E40" s="43" t="s">
        <v>63</v>
      </c>
      <c r="F40" s="43" t="s">
        <v>57</v>
      </c>
      <c r="G40" s="45" t="n">
        <v>25854</v>
      </c>
      <c r="H40" s="45" t="n">
        <v>45201</v>
      </c>
      <c r="I40" s="46" t="n">
        <v>218000</v>
      </c>
      <c r="J40" s="47" t="n">
        <v>0.281</v>
      </c>
      <c r="K40" s="46" t="n">
        <f aca="false">J40*I40</f>
        <v>61258</v>
      </c>
      <c r="L40" s="46" t="n">
        <f aca="false">I40+K40</f>
        <v>279258</v>
      </c>
      <c r="M40" s="48" t="n">
        <v>1.2</v>
      </c>
      <c r="N40" s="49" t="n">
        <v>4.46</v>
      </c>
      <c r="O40" s="50" t="n">
        <v>0.824</v>
      </c>
      <c r="P40" s="51" t="n">
        <v>16</v>
      </c>
      <c r="Q40" s="51" t="n">
        <v>78</v>
      </c>
      <c r="R40" s="44" t="s">
        <v>224</v>
      </c>
      <c r="S40" s="44" t="s">
        <v>225</v>
      </c>
      <c r="T40" s="43" t="s">
        <v>66</v>
      </c>
    </row>
    <row r="41" customFormat="false" ht="15" hidden="false" customHeight="false" outlineLevel="0" collapsed="false">
      <c r="A41" s="34" t="s">
        <v>226</v>
      </c>
      <c r="B41" s="35" t="s">
        <v>227</v>
      </c>
      <c r="C41" s="34" t="s">
        <v>25</v>
      </c>
      <c r="D41" s="34" t="s">
        <v>113</v>
      </c>
      <c r="E41" s="34" t="s">
        <v>63</v>
      </c>
      <c r="F41" s="34" t="s">
        <v>137</v>
      </c>
      <c r="G41" s="36" t="n">
        <v>29077</v>
      </c>
      <c r="H41" s="36" t="n">
        <v>43291</v>
      </c>
      <c r="I41" s="37" t="n">
        <v>83000</v>
      </c>
      <c r="J41" s="38" t="n">
        <v>0.1</v>
      </c>
      <c r="K41" s="37" t="n">
        <f aca="false">J41*I41</f>
        <v>8300</v>
      </c>
      <c r="L41" s="37" t="n">
        <f aca="false">I41+K41</f>
        <v>91300</v>
      </c>
      <c r="M41" s="39" t="n">
        <v>6.5</v>
      </c>
      <c r="N41" s="40" t="n">
        <v>4.8</v>
      </c>
      <c r="O41" s="41" t="n">
        <v>0.805</v>
      </c>
      <c r="P41" s="42" t="n">
        <v>15</v>
      </c>
      <c r="Q41" s="42" t="n">
        <v>67</v>
      </c>
      <c r="R41" s="35" t="s">
        <v>228</v>
      </c>
      <c r="S41" s="35" t="s">
        <v>229</v>
      </c>
      <c r="T41" s="34" t="s">
        <v>66</v>
      </c>
    </row>
    <row r="42" customFormat="false" ht="15" hidden="false" customHeight="false" outlineLevel="0" collapsed="false">
      <c r="A42" s="43" t="s">
        <v>230</v>
      </c>
      <c r="B42" s="44" t="s">
        <v>231</v>
      </c>
      <c r="C42" s="43" t="s">
        <v>27</v>
      </c>
      <c r="D42" s="43" t="s">
        <v>113</v>
      </c>
      <c r="E42" s="43" t="s">
        <v>151</v>
      </c>
      <c r="F42" s="43" t="s">
        <v>137</v>
      </c>
      <c r="G42" s="45" t="n">
        <v>33072</v>
      </c>
      <c r="H42" s="45" t="n">
        <v>43764</v>
      </c>
      <c r="I42" s="46" t="n">
        <v>43000</v>
      </c>
      <c r="J42" s="47" t="n">
        <v>0.292</v>
      </c>
      <c r="K42" s="46" t="n">
        <f aca="false">J42*I42</f>
        <v>12556</v>
      </c>
      <c r="L42" s="46" t="n">
        <f aca="false">I42+K42</f>
        <v>55556</v>
      </c>
      <c r="M42" s="48" t="n">
        <v>5.2</v>
      </c>
      <c r="N42" s="49" t="n">
        <v>3.2</v>
      </c>
      <c r="O42" s="50" t="n">
        <v>0.892</v>
      </c>
      <c r="P42" s="51" t="n">
        <v>26</v>
      </c>
      <c r="Q42" s="51" t="n">
        <v>183</v>
      </c>
      <c r="R42" s="44" t="s">
        <v>232</v>
      </c>
      <c r="S42" s="44" t="s">
        <v>233</v>
      </c>
      <c r="T42" s="43" t="s">
        <v>60</v>
      </c>
    </row>
    <row r="43" customFormat="false" ht="15" hidden="false" customHeight="false" outlineLevel="0" collapsed="false">
      <c r="A43" s="34" t="s">
        <v>234</v>
      </c>
      <c r="B43" s="35" t="s">
        <v>235</v>
      </c>
      <c r="C43" s="34" t="s">
        <v>29</v>
      </c>
      <c r="D43" s="34" t="s">
        <v>55</v>
      </c>
      <c r="E43" s="34" t="s">
        <v>131</v>
      </c>
      <c r="F43" s="34" t="s">
        <v>137</v>
      </c>
      <c r="G43" s="36" t="n">
        <v>38030</v>
      </c>
      <c r="H43" s="36" t="n">
        <v>44853</v>
      </c>
      <c r="I43" s="37" t="n">
        <v>71000</v>
      </c>
      <c r="J43" s="38" t="n">
        <v>0.195</v>
      </c>
      <c r="K43" s="37" t="n">
        <f aca="false">J43*I43</f>
        <v>13845</v>
      </c>
      <c r="L43" s="37" t="n">
        <f aca="false">I43+K43</f>
        <v>84845</v>
      </c>
      <c r="M43" s="39" t="n">
        <v>2.2</v>
      </c>
      <c r="N43" s="40" t="n">
        <v>4.96</v>
      </c>
      <c r="O43" s="41" t="n">
        <v>0.711</v>
      </c>
      <c r="P43" s="42" t="n">
        <v>39</v>
      </c>
      <c r="Q43" s="42" t="n">
        <v>121</v>
      </c>
      <c r="R43" s="35" t="s">
        <v>236</v>
      </c>
      <c r="S43" s="35" t="s">
        <v>237</v>
      </c>
      <c r="T43" s="34" t="s">
        <v>66</v>
      </c>
    </row>
    <row r="44" customFormat="false" ht="15" hidden="false" customHeight="false" outlineLevel="0" collapsed="false">
      <c r="A44" s="43" t="s">
        <v>238</v>
      </c>
      <c r="B44" s="44" t="s">
        <v>239</v>
      </c>
      <c r="C44" s="43" t="s">
        <v>29</v>
      </c>
      <c r="D44" s="43" t="s">
        <v>113</v>
      </c>
      <c r="E44" s="43" t="s">
        <v>131</v>
      </c>
      <c r="F44" s="43" t="s">
        <v>137</v>
      </c>
      <c r="G44" s="45" t="n">
        <v>28353</v>
      </c>
      <c r="H44" s="45" t="n">
        <v>43977</v>
      </c>
      <c r="I44" s="46" t="n">
        <v>176000</v>
      </c>
      <c r="J44" s="47" t="n">
        <v>0.098</v>
      </c>
      <c r="K44" s="46" t="n">
        <f aca="false">J44*I44</f>
        <v>17248</v>
      </c>
      <c r="L44" s="46" t="n">
        <f aca="false">I44+K44</f>
        <v>193248</v>
      </c>
      <c r="M44" s="48" t="n">
        <v>4.6</v>
      </c>
      <c r="N44" s="49" t="n">
        <v>2.61</v>
      </c>
      <c r="O44" s="50" t="n">
        <v>0.831</v>
      </c>
      <c r="P44" s="51" t="n">
        <v>34</v>
      </c>
      <c r="Q44" s="51" t="n">
        <v>147</v>
      </c>
      <c r="R44" s="44" t="s">
        <v>240</v>
      </c>
      <c r="S44" s="44" t="s">
        <v>241</v>
      </c>
      <c r="T44" s="43" t="s">
        <v>82</v>
      </c>
    </row>
    <row r="45" customFormat="false" ht="15" hidden="false" customHeight="false" outlineLevel="0" collapsed="false">
      <c r="A45" s="34" t="s">
        <v>242</v>
      </c>
      <c r="B45" s="35" t="s">
        <v>243</v>
      </c>
      <c r="C45" s="34" t="s">
        <v>27</v>
      </c>
      <c r="D45" s="34" t="s">
        <v>95</v>
      </c>
      <c r="E45" s="34" t="s">
        <v>74</v>
      </c>
      <c r="F45" s="34" t="s">
        <v>57</v>
      </c>
      <c r="G45" s="36" t="n">
        <v>37227</v>
      </c>
      <c r="H45" s="36" t="n">
        <v>44544</v>
      </c>
      <c r="I45" s="37" t="n">
        <v>199000</v>
      </c>
      <c r="J45" s="38" t="n">
        <v>0.28</v>
      </c>
      <c r="K45" s="37" t="n">
        <f aca="false">J45*I45</f>
        <v>55720</v>
      </c>
      <c r="L45" s="37" t="n">
        <f aca="false">I45+K45</f>
        <v>254720</v>
      </c>
      <c r="M45" s="39" t="n">
        <v>3</v>
      </c>
      <c r="N45" s="40" t="n">
        <v>4.06</v>
      </c>
      <c r="O45" s="41" t="n">
        <v>0.899</v>
      </c>
      <c r="P45" s="42" t="n">
        <v>8</v>
      </c>
      <c r="Q45" s="42" t="n">
        <v>194</v>
      </c>
      <c r="R45" s="35" t="s">
        <v>244</v>
      </c>
      <c r="S45" s="35" t="s">
        <v>245</v>
      </c>
      <c r="T45" s="34" t="s">
        <v>66</v>
      </c>
    </row>
    <row r="46" customFormat="false" ht="15" hidden="false" customHeight="false" outlineLevel="0" collapsed="false">
      <c r="A46" s="43" t="s">
        <v>246</v>
      </c>
      <c r="B46" s="44" t="s">
        <v>247</v>
      </c>
      <c r="C46" s="43" t="s">
        <v>32</v>
      </c>
      <c r="D46" s="43" t="s">
        <v>95</v>
      </c>
      <c r="E46" s="43" t="s">
        <v>74</v>
      </c>
      <c r="F46" s="43" t="s">
        <v>137</v>
      </c>
      <c r="G46" s="45" t="n">
        <v>24827</v>
      </c>
      <c r="H46" s="45" t="n">
        <v>39379</v>
      </c>
      <c r="I46" s="46" t="n">
        <v>130000</v>
      </c>
      <c r="J46" s="47" t="n">
        <v>0.224</v>
      </c>
      <c r="K46" s="46" t="n">
        <f aca="false">J46*I46</f>
        <v>29120</v>
      </c>
      <c r="L46" s="46" t="n">
        <f aca="false">I46+K46</f>
        <v>159120</v>
      </c>
      <c r="M46" s="48" t="n">
        <v>17.2</v>
      </c>
      <c r="N46" s="49" t="n">
        <v>3.89</v>
      </c>
      <c r="O46" s="50" t="n">
        <v>0.758</v>
      </c>
      <c r="P46" s="51" t="n">
        <v>25</v>
      </c>
      <c r="Q46" s="51" t="n">
        <v>183</v>
      </c>
      <c r="R46" s="44" t="s">
        <v>248</v>
      </c>
      <c r="S46" s="44" t="s">
        <v>249</v>
      </c>
      <c r="T46" s="43" t="s">
        <v>82</v>
      </c>
    </row>
    <row r="47" customFormat="false" ht="15" hidden="false" customHeight="false" outlineLevel="0" collapsed="false">
      <c r="A47" s="34" t="s">
        <v>250</v>
      </c>
      <c r="B47" s="35" t="s">
        <v>251</v>
      </c>
      <c r="C47" s="34" t="s">
        <v>26</v>
      </c>
      <c r="D47" s="34" t="s">
        <v>69</v>
      </c>
      <c r="E47" s="34" t="s">
        <v>56</v>
      </c>
      <c r="F47" s="34" t="s">
        <v>137</v>
      </c>
      <c r="G47" s="36" t="n">
        <v>30616</v>
      </c>
      <c r="H47" s="36" t="n">
        <v>43294</v>
      </c>
      <c r="I47" s="37" t="n">
        <v>168000</v>
      </c>
      <c r="J47" s="38" t="n">
        <v>0.258</v>
      </c>
      <c r="K47" s="37" t="n">
        <f aca="false">J47*I47</f>
        <v>43344</v>
      </c>
      <c r="L47" s="37" t="n">
        <f aca="false">I47+K47</f>
        <v>211344</v>
      </c>
      <c r="M47" s="39" t="n">
        <v>6.5</v>
      </c>
      <c r="N47" s="40" t="n">
        <v>3.26</v>
      </c>
      <c r="O47" s="41" t="n">
        <v>0.763</v>
      </c>
      <c r="P47" s="42" t="n">
        <v>38</v>
      </c>
      <c r="Q47" s="42" t="n">
        <v>165</v>
      </c>
      <c r="R47" s="35" t="s">
        <v>252</v>
      </c>
      <c r="S47" s="35" t="s">
        <v>253</v>
      </c>
      <c r="T47" s="34" t="s">
        <v>82</v>
      </c>
    </row>
    <row r="48" customFormat="false" ht="15" hidden="false" customHeight="false" outlineLevel="0" collapsed="false">
      <c r="A48" s="43" t="s">
        <v>254</v>
      </c>
      <c r="B48" s="44" t="s">
        <v>255</v>
      </c>
      <c r="C48" s="43" t="s">
        <v>29</v>
      </c>
      <c r="D48" s="43" t="s">
        <v>113</v>
      </c>
      <c r="E48" s="43" t="s">
        <v>126</v>
      </c>
      <c r="F48" s="43" t="s">
        <v>137</v>
      </c>
      <c r="G48" s="45" t="n">
        <v>33241</v>
      </c>
      <c r="H48" s="45" t="n">
        <v>41625</v>
      </c>
      <c r="I48" s="46" t="n">
        <v>202000</v>
      </c>
      <c r="J48" s="47" t="n">
        <v>0.103</v>
      </c>
      <c r="K48" s="46" t="n">
        <f aca="false">J48*I48</f>
        <v>20806</v>
      </c>
      <c r="L48" s="46" t="n">
        <f aca="false">I48+K48</f>
        <v>222806</v>
      </c>
      <c r="M48" s="48" t="n">
        <v>11</v>
      </c>
      <c r="N48" s="49" t="n">
        <v>3.68</v>
      </c>
      <c r="O48" s="50" t="n">
        <v>0.97</v>
      </c>
      <c r="P48" s="51" t="n">
        <v>11</v>
      </c>
      <c r="Q48" s="51" t="n">
        <v>178</v>
      </c>
      <c r="R48" s="44" t="s">
        <v>256</v>
      </c>
      <c r="S48" s="44" t="s">
        <v>257</v>
      </c>
      <c r="T48" s="43" t="s">
        <v>66</v>
      </c>
    </row>
    <row r="49" customFormat="false" ht="15" hidden="false" customHeight="false" outlineLevel="0" collapsed="false">
      <c r="A49" s="34" t="s">
        <v>258</v>
      </c>
      <c r="B49" s="35" t="s">
        <v>259</v>
      </c>
      <c r="C49" s="34" t="s">
        <v>28</v>
      </c>
      <c r="D49" s="34" t="s">
        <v>69</v>
      </c>
      <c r="E49" s="34" t="s">
        <v>151</v>
      </c>
      <c r="F49" s="34" t="s">
        <v>57</v>
      </c>
      <c r="G49" s="36" t="n">
        <v>32388</v>
      </c>
      <c r="H49" s="36" t="n">
        <v>45420</v>
      </c>
      <c r="I49" s="37" t="n">
        <v>239000</v>
      </c>
      <c r="J49" s="38" t="n">
        <v>0.288</v>
      </c>
      <c r="K49" s="37" t="n">
        <f aca="false">J49*I49</f>
        <v>68832</v>
      </c>
      <c r="L49" s="37" t="n">
        <f aca="false">I49+K49</f>
        <v>307832</v>
      </c>
      <c r="M49" s="39" t="n">
        <v>0.6</v>
      </c>
      <c r="N49" s="40" t="n">
        <v>3.09</v>
      </c>
      <c r="O49" s="41" t="n">
        <v>0.793</v>
      </c>
      <c r="P49" s="42" t="n">
        <v>13</v>
      </c>
      <c r="Q49" s="42" t="n">
        <v>47</v>
      </c>
      <c r="R49" s="35" t="s">
        <v>260</v>
      </c>
      <c r="S49" s="35" t="s">
        <v>261</v>
      </c>
      <c r="T49" s="34" t="s">
        <v>66</v>
      </c>
    </row>
    <row r="50" customFormat="false" ht="15" hidden="false" customHeight="false" outlineLevel="0" collapsed="false">
      <c r="A50" s="43" t="s">
        <v>262</v>
      </c>
      <c r="B50" s="44" t="s">
        <v>263</v>
      </c>
      <c r="C50" s="43" t="s">
        <v>24</v>
      </c>
      <c r="D50" s="43" t="s">
        <v>90</v>
      </c>
      <c r="E50" s="43" t="s">
        <v>126</v>
      </c>
      <c r="F50" s="43" t="s">
        <v>79</v>
      </c>
      <c r="G50" s="45" t="n">
        <v>32452</v>
      </c>
      <c r="H50" s="45" t="n">
        <v>43567</v>
      </c>
      <c r="I50" s="46" t="n">
        <v>247000</v>
      </c>
      <c r="J50" s="47" t="n">
        <v>0.242</v>
      </c>
      <c r="K50" s="46" t="n">
        <f aca="false">J50*I50</f>
        <v>59774</v>
      </c>
      <c r="L50" s="46" t="n">
        <f aca="false">I50+K50</f>
        <v>306774</v>
      </c>
      <c r="M50" s="48" t="n">
        <v>5.7</v>
      </c>
      <c r="N50" s="49" t="n">
        <v>3.64</v>
      </c>
      <c r="O50" s="50" t="n">
        <v>0.966</v>
      </c>
      <c r="P50" s="51" t="n">
        <v>37</v>
      </c>
      <c r="Q50" s="51" t="n">
        <v>59</v>
      </c>
      <c r="R50" s="44" t="s">
        <v>264</v>
      </c>
      <c r="S50" s="44" t="s">
        <v>265</v>
      </c>
      <c r="T50" s="43" t="s">
        <v>82</v>
      </c>
    </row>
    <row r="51" customFormat="false" ht="15" hidden="false" customHeight="false" outlineLevel="0" collapsed="false">
      <c r="A51" s="34" t="s">
        <v>266</v>
      </c>
      <c r="B51" s="35" t="s">
        <v>267</v>
      </c>
      <c r="C51" s="34" t="s">
        <v>30</v>
      </c>
      <c r="D51" s="34" t="s">
        <v>113</v>
      </c>
      <c r="E51" s="34" t="s">
        <v>74</v>
      </c>
      <c r="F51" s="34" t="s">
        <v>57</v>
      </c>
      <c r="G51" s="36" t="n">
        <v>35306</v>
      </c>
      <c r="H51" s="36" t="n">
        <v>38452</v>
      </c>
      <c r="I51" s="37" t="n">
        <v>63000</v>
      </c>
      <c r="J51" s="38" t="n">
        <v>0.214</v>
      </c>
      <c r="K51" s="37" t="n">
        <f aca="false">J51*I51</f>
        <v>13482</v>
      </c>
      <c r="L51" s="37" t="n">
        <f aca="false">I51+K51</f>
        <v>76482</v>
      </c>
      <c r="M51" s="39" t="n">
        <v>19.7</v>
      </c>
      <c r="N51" s="40" t="n">
        <v>2.51</v>
      </c>
      <c r="O51" s="41" t="n">
        <v>0.925</v>
      </c>
      <c r="P51" s="42" t="n">
        <v>7</v>
      </c>
      <c r="Q51" s="42" t="n">
        <v>118</v>
      </c>
      <c r="R51" s="35" t="s">
        <v>268</v>
      </c>
      <c r="S51" s="35" t="s">
        <v>269</v>
      </c>
      <c r="T51" s="34" t="s">
        <v>66</v>
      </c>
    </row>
    <row r="52" customFormat="false" ht="15" hidden="false" customHeight="false" outlineLevel="0" collapsed="false">
      <c r="A52" s="43" t="s">
        <v>270</v>
      </c>
      <c r="B52" s="44" t="s">
        <v>271</v>
      </c>
      <c r="C52" s="43" t="s">
        <v>26</v>
      </c>
      <c r="D52" s="43" t="s">
        <v>85</v>
      </c>
      <c r="E52" s="43" t="s">
        <v>126</v>
      </c>
      <c r="F52" s="43" t="s">
        <v>57</v>
      </c>
      <c r="G52" s="45" t="n">
        <v>33394</v>
      </c>
      <c r="H52" s="45" t="n">
        <v>39183</v>
      </c>
      <c r="I52" s="46" t="n">
        <v>171000</v>
      </c>
      <c r="J52" s="47" t="n">
        <v>0.112</v>
      </c>
      <c r="K52" s="46" t="n">
        <f aca="false">J52*I52</f>
        <v>19152</v>
      </c>
      <c r="L52" s="46" t="n">
        <f aca="false">I52+K52</f>
        <v>190152</v>
      </c>
      <c r="M52" s="48" t="n">
        <v>17.7</v>
      </c>
      <c r="N52" s="49" t="n">
        <v>4.62</v>
      </c>
      <c r="O52" s="50" t="n">
        <v>0.837</v>
      </c>
      <c r="P52" s="51" t="n">
        <v>30</v>
      </c>
      <c r="Q52" s="51" t="n">
        <v>180</v>
      </c>
      <c r="R52" s="44" t="s">
        <v>272</v>
      </c>
      <c r="S52" s="44" t="s">
        <v>273</v>
      </c>
      <c r="T52" s="43" t="s">
        <v>60</v>
      </c>
    </row>
    <row r="53" customFormat="false" ht="15" hidden="false" customHeight="false" outlineLevel="0" collapsed="false">
      <c r="A53" s="34" t="s">
        <v>274</v>
      </c>
      <c r="B53" s="35" t="s">
        <v>275</v>
      </c>
      <c r="C53" s="34" t="s">
        <v>32</v>
      </c>
      <c r="D53" s="34" t="s">
        <v>69</v>
      </c>
      <c r="E53" s="34" t="s">
        <v>151</v>
      </c>
      <c r="F53" s="34" t="s">
        <v>137</v>
      </c>
      <c r="G53" s="36" t="n">
        <v>27556</v>
      </c>
      <c r="H53" s="36" t="n">
        <v>41519</v>
      </c>
      <c r="I53" s="37" t="n">
        <v>185000</v>
      </c>
      <c r="J53" s="38" t="n">
        <v>0.254</v>
      </c>
      <c r="K53" s="37" t="n">
        <f aca="false">J53*I53</f>
        <v>46990</v>
      </c>
      <c r="L53" s="37" t="n">
        <f aca="false">I53+K53</f>
        <v>231990</v>
      </c>
      <c r="M53" s="39" t="n">
        <v>11.3</v>
      </c>
      <c r="N53" s="40" t="n">
        <v>4.73</v>
      </c>
      <c r="O53" s="41" t="n">
        <v>0.828</v>
      </c>
      <c r="P53" s="42" t="n">
        <v>36</v>
      </c>
      <c r="Q53" s="42" t="n">
        <v>124</v>
      </c>
      <c r="R53" s="35" t="s">
        <v>276</v>
      </c>
      <c r="S53" s="35" t="s">
        <v>277</v>
      </c>
      <c r="T53" s="34" t="s">
        <v>66</v>
      </c>
    </row>
    <row r="54" customFormat="false" ht="15" hidden="false" customHeight="false" outlineLevel="0" collapsed="false">
      <c r="A54" s="43" t="s">
        <v>278</v>
      </c>
      <c r="B54" s="44" t="s">
        <v>279</v>
      </c>
      <c r="C54" s="43" t="s">
        <v>31</v>
      </c>
      <c r="D54" s="43" t="s">
        <v>113</v>
      </c>
      <c r="E54" s="43" t="s">
        <v>56</v>
      </c>
      <c r="F54" s="43" t="s">
        <v>57</v>
      </c>
      <c r="G54" s="45" t="n">
        <v>35834</v>
      </c>
      <c r="H54" s="45" t="n">
        <v>42298</v>
      </c>
      <c r="I54" s="46" t="n">
        <v>245000</v>
      </c>
      <c r="J54" s="47" t="n">
        <v>0.209</v>
      </c>
      <c r="K54" s="46" t="n">
        <f aca="false">J54*I54</f>
        <v>51205</v>
      </c>
      <c r="L54" s="46" t="n">
        <f aca="false">I54+K54</f>
        <v>296205</v>
      </c>
      <c r="M54" s="48" t="n">
        <v>9.2</v>
      </c>
      <c r="N54" s="49" t="n">
        <v>4.41</v>
      </c>
      <c r="O54" s="50" t="n">
        <v>0.856</v>
      </c>
      <c r="P54" s="51" t="n">
        <v>16</v>
      </c>
      <c r="Q54" s="51" t="n">
        <v>80</v>
      </c>
      <c r="R54" s="44" t="s">
        <v>280</v>
      </c>
      <c r="S54" s="44" t="s">
        <v>281</v>
      </c>
      <c r="T54" s="43" t="s">
        <v>66</v>
      </c>
    </row>
    <row r="55" customFormat="false" ht="15" hidden="false" customHeight="false" outlineLevel="0" collapsed="false">
      <c r="A55" s="34" t="s">
        <v>282</v>
      </c>
      <c r="B55" s="35" t="s">
        <v>283</v>
      </c>
      <c r="C55" s="34" t="s">
        <v>25</v>
      </c>
      <c r="D55" s="34" t="s">
        <v>142</v>
      </c>
      <c r="E55" s="34" t="s">
        <v>56</v>
      </c>
      <c r="F55" s="34" t="s">
        <v>57</v>
      </c>
      <c r="G55" s="36" t="n">
        <v>32578</v>
      </c>
      <c r="H55" s="36" t="n">
        <v>38465</v>
      </c>
      <c r="I55" s="37" t="n">
        <v>96000</v>
      </c>
      <c r="J55" s="38" t="n">
        <v>0.134</v>
      </c>
      <c r="K55" s="37" t="n">
        <f aca="false">J55*I55</f>
        <v>12864</v>
      </c>
      <c r="L55" s="37" t="n">
        <f aca="false">I55+K55</f>
        <v>108864</v>
      </c>
      <c r="M55" s="39" t="n">
        <v>19.7</v>
      </c>
      <c r="N55" s="40" t="n">
        <v>4.73</v>
      </c>
      <c r="O55" s="41" t="n">
        <v>0.724</v>
      </c>
      <c r="P55" s="42" t="n">
        <v>10</v>
      </c>
      <c r="Q55" s="42" t="n">
        <v>69</v>
      </c>
      <c r="R55" s="35" t="s">
        <v>284</v>
      </c>
      <c r="S55" s="35" t="s">
        <v>285</v>
      </c>
      <c r="T55" s="34" t="s">
        <v>66</v>
      </c>
    </row>
    <row r="56" customFormat="false" ht="15" hidden="false" customHeight="false" outlineLevel="0" collapsed="false">
      <c r="A56" s="43" t="s">
        <v>286</v>
      </c>
      <c r="B56" s="44" t="s">
        <v>287</v>
      </c>
      <c r="C56" s="43" t="s">
        <v>26</v>
      </c>
      <c r="D56" s="43" t="s">
        <v>142</v>
      </c>
      <c r="E56" s="43" t="s">
        <v>96</v>
      </c>
      <c r="F56" s="43" t="s">
        <v>57</v>
      </c>
      <c r="G56" s="45" t="n">
        <v>33892</v>
      </c>
      <c r="H56" s="45" t="n">
        <v>41843</v>
      </c>
      <c r="I56" s="46" t="n">
        <v>133000</v>
      </c>
      <c r="J56" s="47" t="n">
        <v>0.152</v>
      </c>
      <c r="K56" s="46" t="n">
        <f aca="false">J56*I56</f>
        <v>20216</v>
      </c>
      <c r="L56" s="46" t="n">
        <f aca="false">I56+K56</f>
        <v>153216</v>
      </c>
      <c r="M56" s="48" t="n">
        <v>10.4</v>
      </c>
      <c r="N56" s="49" t="n">
        <v>3.86</v>
      </c>
      <c r="O56" s="50" t="n">
        <v>0.825</v>
      </c>
      <c r="P56" s="51" t="n">
        <v>14</v>
      </c>
      <c r="Q56" s="51" t="n">
        <v>117</v>
      </c>
      <c r="R56" s="44" t="s">
        <v>288</v>
      </c>
      <c r="S56" s="44" t="s">
        <v>289</v>
      </c>
      <c r="T56" s="43" t="s">
        <v>66</v>
      </c>
    </row>
    <row r="57" customFormat="false" ht="15" hidden="false" customHeight="false" outlineLevel="0" collapsed="false">
      <c r="A57" s="34" t="s">
        <v>290</v>
      </c>
      <c r="B57" s="35" t="s">
        <v>291</v>
      </c>
      <c r="C57" s="34" t="s">
        <v>33</v>
      </c>
      <c r="D57" s="34" t="s">
        <v>142</v>
      </c>
      <c r="E57" s="34" t="s">
        <v>63</v>
      </c>
      <c r="F57" s="34" t="s">
        <v>79</v>
      </c>
      <c r="G57" s="36" t="n">
        <v>35338</v>
      </c>
      <c r="H57" s="36" t="n">
        <v>39167</v>
      </c>
      <c r="I57" s="37" t="n">
        <v>124000</v>
      </c>
      <c r="J57" s="38" t="n">
        <v>0.169</v>
      </c>
      <c r="K57" s="37" t="n">
        <f aca="false">J57*I57</f>
        <v>20956</v>
      </c>
      <c r="L57" s="37" t="n">
        <f aca="false">I57+K57</f>
        <v>144956</v>
      </c>
      <c r="M57" s="39" t="n">
        <v>17.8</v>
      </c>
      <c r="N57" s="40" t="n">
        <v>4.86</v>
      </c>
      <c r="O57" s="41" t="n">
        <v>0.79</v>
      </c>
      <c r="P57" s="42" t="n">
        <v>25</v>
      </c>
      <c r="Q57" s="42" t="n">
        <v>117</v>
      </c>
      <c r="R57" s="35" t="s">
        <v>292</v>
      </c>
      <c r="S57" s="35" t="s">
        <v>293</v>
      </c>
      <c r="T57" s="34" t="s">
        <v>60</v>
      </c>
    </row>
    <row r="58" customFormat="false" ht="15" hidden="false" customHeight="false" outlineLevel="0" collapsed="false">
      <c r="A58" s="43" t="s">
        <v>294</v>
      </c>
      <c r="B58" s="44" t="s">
        <v>295</v>
      </c>
      <c r="C58" s="43" t="s">
        <v>32</v>
      </c>
      <c r="D58" s="43" t="s">
        <v>85</v>
      </c>
      <c r="E58" s="43" t="s">
        <v>96</v>
      </c>
      <c r="F58" s="43" t="s">
        <v>137</v>
      </c>
      <c r="G58" s="45" t="n">
        <v>30456</v>
      </c>
      <c r="H58" s="45" t="n">
        <v>43654</v>
      </c>
      <c r="I58" s="46" t="n">
        <v>82000</v>
      </c>
      <c r="J58" s="47" t="n">
        <v>0.118</v>
      </c>
      <c r="K58" s="46" t="n">
        <f aca="false">J58*I58</f>
        <v>9676</v>
      </c>
      <c r="L58" s="46" t="n">
        <f aca="false">I58+K58</f>
        <v>91676</v>
      </c>
      <c r="M58" s="48" t="n">
        <v>5.5</v>
      </c>
      <c r="N58" s="49" t="n">
        <v>3.71</v>
      </c>
      <c r="O58" s="50" t="n">
        <v>0.817</v>
      </c>
      <c r="P58" s="51" t="n">
        <v>26</v>
      </c>
      <c r="Q58" s="51" t="n">
        <v>195</v>
      </c>
      <c r="R58" s="44" t="s">
        <v>296</v>
      </c>
      <c r="S58" s="44" t="s">
        <v>297</v>
      </c>
      <c r="T58" s="43" t="s">
        <v>66</v>
      </c>
    </row>
    <row r="59" customFormat="false" ht="15" hidden="false" customHeight="false" outlineLevel="0" collapsed="false">
      <c r="A59" s="34" t="s">
        <v>298</v>
      </c>
      <c r="B59" s="35" t="s">
        <v>299</v>
      </c>
      <c r="C59" s="34" t="s">
        <v>31</v>
      </c>
      <c r="D59" s="34" t="s">
        <v>90</v>
      </c>
      <c r="E59" s="34" t="s">
        <v>63</v>
      </c>
      <c r="F59" s="34" t="s">
        <v>137</v>
      </c>
      <c r="G59" s="36" t="n">
        <v>36045</v>
      </c>
      <c r="H59" s="36" t="n">
        <v>40970</v>
      </c>
      <c r="I59" s="37" t="n">
        <v>180000</v>
      </c>
      <c r="J59" s="38" t="n">
        <v>0.191</v>
      </c>
      <c r="K59" s="37" t="n">
        <f aca="false">J59*I59</f>
        <v>34380</v>
      </c>
      <c r="L59" s="37" t="n">
        <f aca="false">I59+K59</f>
        <v>214380</v>
      </c>
      <c r="M59" s="39" t="n">
        <v>12.8</v>
      </c>
      <c r="N59" s="40" t="n">
        <v>2.57</v>
      </c>
      <c r="O59" s="41" t="n">
        <v>0.893</v>
      </c>
      <c r="P59" s="42" t="n">
        <v>9</v>
      </c>
      <c r="Q59" s="42" t="n">
        <v>128</v>
      </c>
      <c r="R59" s="35" t="s">
        <v>300</v>
      </c>
      <c r="S59" s="35" t="s">
        <v>301</v>
      </c>
      <c r="T59" s="34" t="s">
        <v>66</v>
      </c>
    </row>
    <row r="60" customFormat="false" ht="15" hidden="false" customHeight="false" outlineLevel="0" collapsed="false">
      <c r="A60" s="43" t="s">
        <v>302</v>
      </c>
      <c r="B60" s="44" t="s">
        <v>303</v>
      </c>
      <c r="C60" s="43" t="s">
        <v>24</v>
      </c>
      <c r="D60" s="43" t="s">
        <v>95</v>
      </c>
      <c r="E60" s="43" t="s">
        <v>74</v>
      </c>
      <c r="F60" s="43" t="s">
        <v>137</v>
      </c>
      <c r="G60" s="45" t="n">
        <v>34634</v>
      </c>
      <c r="H60" s="45" t="n">
        <v>45272</v>
      </c>
      <c r="I60" s="46" t="n">
        <v>80000</v>
      </c>
      <c r="J60" s="47" t="n">
        <v>0.164</v>
      </c>
      <c r="K60" s="46" t="n">
        <f aca="false">J60*I60</f>
        <v>13120</v>
      </c>
      <c r="L60" s="46" t="n">
        <f aca="false">I60+K60</f>
        <v>93120</v>
      </c>
      <c r="M60" s="48" t="n">
        <v>1.1</v>
      </c>
      <c r="N60" s="49" t="n">
        <v>3.34</v>
      </c>
      <c r="O60" s="50" t="n">
        <v>0.964</v>
      </c>
      <c r="P60" s="51" t="n">
        <v>18</v>
      </c>
      <c r="Q60" s="51" t="n">
        <v>117</v>
      </c>
      <c r="R60" s="44" t="s">
        <v>304</v>
      </c>
      <c r="S60" s="44" t="s">
        <v>305</v>
      </c>
      <c r="T60" s="43" t="s">
        <v>66</v>
      </c>
    </row>
    <row r="61" customFormat="false" ht="15" hidden="false" customHeight="false" outlineLevel="0" collapsed="false">
      <c r="A61" s="34" t="s">
        <v>306</v>
      </c>
      <c r="B61" s="35" t="s">
        <v>307</v>
      </c>
      <c r="C61" s="34" t="s">
        <v>25</v>
      </c>
      <c r="D61" s="34" t="s">
        <v>113</v>
      </c>
      <c r="E61" s="34" t="s">
        <v>63</v>
      </c>
      <c r="F61" s="34" t="s">
        <v>79</v>
      </c>
      <c r="G61" s="36" t="n">
        <v>32824</v>
      </c>
      <c r="H61" s="36" t="n">
        <v>41301</v>
      </c>
      <c r="I61" s="37" t="n">
        <v>166000</v>
      </c>
      <c r="J61" s="38" t="n">
        <v>0.063</v>
      </c>
      <c r="K61" s="37" t="n">
        <f aca="false">J61*I61</f>
        <v>10458</v>
      </c>
      <c r="L61" s="37" t="n">
        <f aca="false">I61+K61</f>
        <v>176458</v>
      </c>
      <c r="M61" s="39" t="n">
        <v>11.9</v>
      </c>
      <c r="N61" s="40" t="n">
        <v>4.88</v>
      </c>
      <c r="O61" s="41" t="n">
        <v>0.767</v>
      </c>
      <c r="P61" s="42" t="n">
        <v>5</v>
      </c>
      <c r="Q61" s="42" t="n">
        <v>176</v>
      </c>
      <c r="R61" s="35" t="s">
        <v>308</v>
      </c>
      <c r="S61" s="35" t="s">
        <v>309</v>
      </c>
      <c r="T61" s="34" t="s">
        <v>66</v>
      </c>
    </row>
    <row r="62" customFormat="false" ht="15" hidden="false" customHeight="false" outlineLevel="0" collapsed="false">
      <c r="A62" s="43" t="s">
        <v>310</v>
      </c>
      <c r="B62" s="44" t="s">
        <v>311</v>
      </c>
      <c r="C62" s="43" t="s">
        <v>24</v>
      </c>
      <c r="D62" s="43" t="s">
        <v>90</v>
      </c>
      <c r="E62" s="43" t="s">
        <v>96</v>
      </c>
      <c r="F62" s="43" t="s">
        <v>57</v>
      </c>
      <c r="G62" s="45" t="n">
        <v>24724</v>
      </c>
      <c r="H62" s="45" t="n">
        <v>43671</v>
      </c>
      <c r="I62" s="46" t="n">
        <v>187000</v>
      </c>
      <c r="J62" s="47" t="n">
        <v>0.088</v>
      </c>
      <c r="K62" s="46" t="n">
        <f aca="false">J62*I62</f>
        <v>16456</v>
      </c>
      <c r="L62" s="46" t="n">
        <f aca="false">I62+K62</f>
        <v>203456</v>
      </c>
      <c r="M62" s="48" t="n">
        <v>5.4</v>
      </c>
      <c r="N62" s="49" t="n">
        <v>2.82</v>
      </c>
      <c r="O62" s="50" t="n">
        <v>0.901</v>
      </c>
      <c r="P62" s="51" t="n">
        <v>37</v>
      </c>
      <c r="Q62" s="51" t="n">
        <v>65</v>
      </c>
      <c r="R62" s="44" t="s">
        <v>312</v>
      </c>
      <c r="S62" s="44" t="s">
        <v>313</v>
      </c>
      <c r="T62" s="43" t="s">
        <v>66</v>
      </c>
    </row>
    <row r="63" customFormat="false" ht="15" hidden="false" customHeight="false" outlineLevel="0" collapsed="false">
      <c r="A63" s="34" t="s">
        <v>314</v>
      </c>
      <c r="B63" s="35" t="s">
        <v>315</v>
      </c>
      <c r="C63" s="34" t="s">
        <v>28</v>
      </c>
      <c r="D63" s="34" t="s">
        <v>85</v>
      </c>
      <c r="E63" s="34" t="s">
        <v>151</v>
      </c>
      <c r="F63" s="34" t="s">
        <v>57</v>
      </c>
      <c r="G63" s="36" t="n">
        <v>35449</v>
      </c>
      <c r="H63" s="36" t="n">
        <v>42754</v>
      </c>
      <c r="I63" s="37" t="n">
        <v>183000</v>
      </c>
      <c r="J63" s="38" t="n">
        <v>0.202</v>
      </c>
      <c r="K63" s="37" t="n">
        <f aca="false">J63*I63</f>
        <v>36966</v>
      </c>
      <c r="L63" s="37" t="n">
        <f aca="false">I63+K63</f>
        <v>219966</v>
      </c>
      <c r="M63" s="39" t="n">
        <v>7.9</v>
      </c>
      <c r="N63" s="40" t="n">
        <v>4.37</v>
      </c>
      <c r="O63" s="41" t="n">
        <v>0.734</v>
      </c>
      <c r="P63" s="42" t="n">
        <v>11</v>
      </c>
      <c r="Q63" s="42" t="n">
        <v>89</v>
      </c>
      <c r="R63" s="35" t="s">
        <v>316</v>
      </c>
      <c r="S63" s="35" t="s">
        <v>317</v>
      </c>
      <c r="T63" s="34" t="s">
        <v>66</v>
      </c>
    </row>
    <row r="64" customFormat="false" ht="15" hidden="false" customHeight="false" outlineLevel="0" collapsed="false">
      <c r="A64" s="43" t="s">
        <v>318</v>
      </c>
      <c r="B64" s="44" t="s">
        <v>319</v>
      </c>
      <c r="C64" s="43" t="s">
        <v>33</v>
      </c>
      <c r="D64" s="43" t="s">
        <v>55</v>
      </c>
      <c r="E64" s="43" t="s">
        <v>56</v>
      </c>
      <c r="F64" s="43" t="s">
        <v>79</v>
      </c>
      <c r="G64" s="45" t="n">
        <v>36863</v>
      </c>
      <c r="H64" s="45" t="n">
        <v>40840</v>
      </c>
      <c r="I64" s="46" t="n">
        <v>202000</v>
      </c>
      <c r="J64" s="47" t="n">
        <v>0.277</v>
      </c>
      <c r="K64" s="46" t="n">
        <f aca="false">J64*I64</f>
        <v>55954</v>
      </c>
      <c r="L64" s="46" t="n">
        <f aca="false">I64+K64</f>
        <v>257954</v>
      </c>
      <c r="M64" s="48" t="n">
        <v>13.2</v>
      </c>
      <c r="N64" s="49" t="n">
        <v>3.44</v>
      </c>
      <c r="O64" s="50" t="n">
        <v>0.982</v>
      </c>
      <c r="P64" s="51" t="n">
        <v>13</v>
      </c>
      <c r="Q64" s="51" t="n">
        <v>29</v>
      </c>
      <c r="R64" s="44" t="s">
        <v>320</v>
      </c>
      <c r="S64" s="44" t="s">
        <v>321</v>
      </c>
      <c r="T64" s="43" t="s">
        <v>60</v>
      </c>
    </row>
    <row r="65" customFormat="false" ht="15" hidden="false" customHeight="false" outlineLevel="0" collapsed="false">
      <c r="A65" s="34" t="s">
        <v>322</v>
      </c>
      <c r="B65" s="35" t="s">
        <v>323</v>
      </c>
      <c r="C65" s="34" t="s">
        <v>27</v>
      </c>
      <c r="D65" s="34" t="s">
        <v>55</v>
      </c>
      <c r="E65" s="34" t="s">
        <v>56</v>
      </c>
      <c r="F65" s="34" t="s">
        <v>79</v>
      </c>
      <c r="G65" s="36" t="n">
        <v>30563</v>
      </c>
      <c r="H65" s="36" t="n">
        <v>41691</v>
      </c>
      <c r="I65" s="37" t="n">
        <v>182000</v>
      </c>
      <c r="J65" s="38" t="n">
        <v>0.251</v>
      </c>
      <c r="K65" s="37" t="n">
        <f aca="false">J65*I65</f>
        <v>45682</v>
      </c>
      <c r="L65" s="37" t="n">
        <f aca="false">I65+K65</f>
        <v>227682</v>
      </c>
      <c r="M65" s="39" t="n">
        <v>10.9</v>
      </c>
      <c r="N65" s="40" t="n">
        <v>4.49</v>
      </c>
      <c r="O65" s="41" t="n">
        <v>0.87</v>
      </c>
      <c r="P65" s="42" t="n">
        <v>3</v>
      </c>
      <c r="Q65" s="42" t="n">
        <v>98</v>
      </c>
      <c r="R65" s="35" t="s">
        <v>324</v>
      </c>
      <c r="S65" s="35" t="s">
        <v>325</v>
      </c>
      <c r="T65" s="34" t="s">
        <v>60</v>
      </c>
    </row>
    <row r="66" customFormat="false" ht="15" hidden="false" customHeight="false" outlineLevel="0" collapsed="false">
      <c r="A66" s="43" t="s">
        <v>326</v>
      </c>
      <c r="B66" s="44" t="s">
        <v>327</v>
      </c>
      <c r="C66" s="43" t="s">
        <v>30</v>
      </c>
      <c r="D66" s="43" t="s">
        <v>142</v>
      </c>
      <c r="E66" s="43" t="s">
        <v>151</v>
      </c>
      <c r="F66" s="43" t="s">
        <v>57</v>
      </c>
      <c r="G66" s="45" t="n">
        <v>32463</v>
      </c>
      <c r="H66" s="45" t="n">
        <v>45147</v>
      </c>
      <c r="I66" s="46" t="n">
        <v>157000</v>
      </c>
      <c r="J66" s="47" t="n">
        <v>0.212</v>
      </c>
      <c r="K66" s="46" t="n">
        <f aca="false">J66*I66</f>
        <v>33284</v>
      </c>
      <c r="L66" s="46" t="n">
        <f aca="false">I66+K66</f>
        <v>190284</v>
      </c>
      <c r="M66" s="48" t="n">
        <v>1.4</v>
      </c>
      <c r="N66" s="49" t="n">
        <v>2.53</v>
      </c>
      <c r="O66" s="50" t="n">
        <v>0.826</v>
      </c>
      <c r="P66" s="51" t="n">
        <v>32</v>
      </c>
      <c r="Q66" s="51" t="n">
        <v>37</v>
      </c>
      <c r="R66" s="44" t="s">
        <v>328</v>
      </c>
      <c r="S66" s="44" t="s">
        <v>329</v>
      </c>
      <c r="T66" s="43" t="s">
        <v>66</v>
      </c>
    </row>
    <row r="67" customFormat="false" ht="15" hidden="false" customHeight="false" outlineLevel="0" collapsed="false">
      <c r="A67" s="34" t="s">
        <v>330</v>
      </c>
      <c r="B67" s="35" t="s">
        <v>331</v>
      </c>
      <c r="C67" s="34" t="s">
        <v>29</v>
      </c>
      <c r="D67" s="34" t="s">
        <v>142</v>
      </c>
      <c r="E67" s="34" t="s">
        <v>126</v>
      </c>
      <c r="F67" s="34" t="s">
        <v>79</v>
      </c>
      <c r="G67" s="36" t="n">
        <v>31702</v>
      </c>
      <c r="H67" s="36" t="n">
        <v>42694</v>
      </c>
      <c r="I67" s="37" t="n">
        <v>65000</v>
      </c>
      <c r="J67" s="38" t="n">
        <v>0.159</v>
      </c>
      <c r="K67" s="37" t="n">
        <f aca="false">J67*I67</f>
        <v>10335</v>
      </c>
      <c r="L67" s="37" t="n">
        <f aca="false">I67+K67</f>
        <v>75335</v>
      </c>
      <c r="M67" s="39" t="n">
        <v>8.1</v>
      </c>
      <c r="N67" s="40" t="n">
        <v>4.33</v>
      </c>
      <c r="O67" s="41" t="n">
        <v>0.99</v>
      </c>
      <c r="P67" s="42" t="n">
        <v>18</v>
      </c>
      <c r="Q67" s="42" t="n">
        <v>167</v>
      </c>
      <c r="R67" s="35" t="s">
        <v>332</v>
      </c>
      <c r="S67" s="35" t="s">
        <v>333</v>
      </c>
      <c r="T67" s="34" t="s">
        <v>60</v>
      </c>
    </row>
    <row r="68" customFormat="false" ht="15" hidden="false" customHeight="false" outlineLevel="0" collapsed="false">
      <c r="A68" s="43" t="s">
        <v>334</v>
      </c>
      <c r="B68" s="44" t="s">
        <v>335</v>
      </c>
      <c r="C68" s="43" t="s">
        <v>31</v>
      </c>
      <c r="D68" s="43" t="s">
        <v>113</v>
      </c>
      <c r="E68" s="43" t="s">
        <v>74</v>
      </c>
      <c r="F68" s="43" t="s">
        <v>79</v>
      </c>
      <c r="G68" s="45" t="n">
        <v>32661</v>
      </c>
      <c r="H68" s="45" t="n">
        <v>45031</v>
      </c>
      <c r="I68" s="46" t="n">
        <v>180000</v>
      </c>
      <c r="J68" s="47" t="n">
        <v>0.117</v>
      </c>
      <c r="K68" s="46" t="n">
        <f aca="false">J68*I68</f>
        <v>21060</v>
      </c>
      <c r="L68" s="46" t="n">
        <f aca="false">I68+K68</f>
        <v>201060</v>
      </c>
      <c r="M68" s="48" t="n">
        <v>1.7</v>
      </c>
      <c r="N68" s="49" t="n">
        <v>4.63</v>
      </c>
      <c r="O68" s="50" t="n">
        <v>0.949</v>
      </c>
      <c r="P68" s="51" t="n">
        <v>6</v>
      </c>
      <c r="Q68" s="51" t="n">
        <v>81</v>
      </c>
      <c r="R68" s="44" t="s">
        <v>336</v>
      </c>
      <c r="S68" s="44" t="s">
        <v>337</v>
      </c>
      <c r="T68" s="43" t="s">
        <v>66</v>
      </c>
    </row>
    <row r="69" customFormat="false" ht="15" hidden="false" customHeight="false" outlineLevel="0" collapsed="false">
      <c r="A69" s="34" t="s">
        <v>338</v>
      </c>
      <c r="B69" s="35" t="s">
        <v>339</v>
      </c>
      <c r="C69" s="34" t="s">
        <v>27</v>
      </c>
      <c r="D69" s="34" t="s">
        <v>85</v>
      </c>
      <c r="E69" s="34" t="s">
        <v>126</v>
      </c>
      <c r="F69" s="34" t="s">
        <v>79</v>
      </c>
      <c r="G69" s="36" t="n">
        <v>26714</v>
      </c>
      <c r="H69" s="36" t="n">
        <v>40459</v>
      </c>
      <c r="I69" s="37" t="n">
        <v>184000</v>
      </c>
      <c r="J69" s="38" t="n">
        <v>0.217</v>
      </c>
      <c r="K69" s="37" t="n">
        <f aca="false">J69*I69</f>
        <v>39928</v>
      </c>
      <c r="L69" s="37" t="n">
        <f aca="false">I69+K69</f>
        <v>223928</v>
      </c>
      <c r="M69" s="39" t="n">
        <v>14.2</v>
      </c>
      <c r="N69" s="40" t="n">
        <v>3.34</v>
      </c>
      <c r="O69" s="41" t="n">
        <v>0.848</v>
      </c>
      <c r="P69" s="42" t="n">
        <v>21</v>
      </c>
      <c r="Q69" s="42" t="n">
        <v>56</v>
      </c>
      <c r="R69" s="35" t="s">
        <v>340</v>
      </c>
      <c r="S69" s="35" t="s">
        <v>341</v>
      </c>
      <c r="T69" s="34" t="s">
        <v>66</v>
      </c>
    </row>
    <row r="70" customFormat="false" ht="15" hidden="false" customHeight="false" outlineLevel="0" collapsed="false">
      <c r="A70" s="43" t="s">
        <v>342</v>
      </c>
      <c r="B70" s="44" t="s">
        <v>343</v>
      </c>
      <c r="C70" s="43" t="s">
        <v>27</v>
      </c>
      <c r="D70" s="43" t="s">
        <v>95</v>
      </c>
      <c r="E70" s="43" t="s">
        <v>56</v>
      </c>
      <c r="F70" s="43" t="s">
        <v>137</v>
      </c>
      <c r="G70" s="45" t="n">
        <v>29543</v>
      </c>
      <c r="H70" s="45" t="n">
        <v>43476</v>
      </c>
      <c r="I70" s="46" t="n">
        <v>98000</v>
      </c>
      <c r="J70" s="47" t="n">
        <v>0.27</v>
      </c>
      <c r="K70" s="46" t="n">
        <f aca="false">J70*I70</f>
        <v>26460</v>
      </c>
      <c r="L70" s="46" t="n">
        <f aca="false">I70+K70</f>
        <v>124460</v>
      </c>
      <c r="M70" s="48" t="n">
        <v>6</v>
      </c>
      <c r="N70" s="49" t="n">
        <v>4.25</v>
      </c>
      <c r="O70" s="50" t="n">
        <v>0.783</v>
      </c>
      <c r="P70" s="51" t="n">
        <v>1</v>
      </c>
      <c r="Q70" s="51" t="n">
        <v>142</v>
      </c>
      <c r="R70" s="44" t="s">
        <v>344</v>
      </c>
      <c r="S70" s="44" t="s">
        <v>345</v>
      </c>
      <c r="T70" s="43" t="s">
        <v>66</v>
      </c>
    </row>
    <row r="71" customFormat="false" ht="15" hidden="false" customHeight="false" outlineLevel="0" collapsed="false">
      <c r="A71" s="34" t="s">
        <v>346</v>
      </c>
      <c r="B71" s="35" t="s">
        <v>347</v>
      </c>
      <c r="C71" s="34" t="s">
        <v>25</v>
      </c>
      <c r="D71" s="34" t="s">
        <v>90</v>
      </c>
      <c r="E71" s="34" t="s">
        <v>74</v>
      </c>
      <c r="F71" s="34" t="s">
        <v>137</v>
      </c>
      <c r="G71" s="36" t="n">
        <v>25325</v>
      </c>
      <c r="H71" s="36" t="n">
        <v>41774</v>
      </c>
      <c r="I71" s="37" t="n">
        <v>170000</v>
      </c>
      <c r="J71" s="38" t="n">
        <v>0.24</v>
      </c>
      <c r="K71" s="37" t="n">
        <f aca="false">J71*I71</f>
        <v>40800</v>
      </c>
      <c r="L71" s="37" t="n">
        <f aca="false">I71+K71</f>
        <v>210800</v>
      </c>
      <c r="M71" s="39" t="n">
        <v>10.6</v>
      </c>
      <c r="N71" s="40" t="n">
        <v>4.23</v>
      </c>
      <c r="O71" s="41" t="n">
        <v>0.894</v>
      </c>
      <c r="P71" s="42" t="n">
        <v>32</v>
      </c>
      <c r="Q71" s="42" t="n">
        <v>124</v>
      </c>
      <c r="R71" s="35" t="s">
        <v>348</v>
      </c>
      <c r="S71" s="35" t="s">
        <v>349</v>
      </c>
      <c r="T71" s="34" t="s">
        <v>66</v>
      </c>
    </row>
    <row r="72" customFormat="false" ht="15" hidden="false" customHeight="false" outlineLevel="0" collapsed="false">
      <c r="A72" s="43" t="s">
        <v>350</v>
      </c>
      <c r="B72" s="44" t="s">
        <v>351</v>
      </c>
      <c r="C72" s="43" t="s">
        <v>25</v>
      </c>
      <c r="D72" s="43" t="s">
        <v>95</v>
      </c>
      <c r="E72" s="43" t="s">
        <v>96</v>
      </c>
      <c r="F72" s="43" t="s">
        <v>137</v>
      </c>
      <c r="G72" s="45" t="n">
        <v>29839</v>
      </c>
      <c r="H72" s="45" t="n">
        <v>38934</v>
      </c>
      <c r="I72" s="46" t="n">
        <v>206000</v>
      </c>
      <c r="J72" s="47" t="n">
        <v>0.111</v>
      </c>
      <c r="K72" s="46" t="n">
        <f aca="false">J72*I72</f>
        <v>22866</v>
      </c>
      <c r="L72" s="46" t="n">
        <f aca="false">I72+K72</f>
        <v>228866</v>
      </c>
      <c r="M72" s="48" t="n">
        <v>18.4</v>
      </c>
      <c r="N72" s="49" t="n">
        <v>4.16</v>
      </c>
      <c r="O72" s="50" t="n">
        <v>0.811</v>
      </c>
      <c r="P72" s="51" t="n">
        <v>36</v>
      </c>
      <c r="Q72" s="51" t="n">
        <v>145</v>
      </c>
      <c r="R72" s="44" t="s">
        <v>352</v>
      </c>
      <c r="S72" s="44" t="s">
        <v>353</v>
      </c>
      <c r="T72" s="43" t="s">
        <v>66</v>
      </c>
    </row>
    <row r="73" customFormat="false" ht="15" hidden="false" customHeight="false" outlineLevel="0" collapsed="false">
      <c r="A73" s="34" t="s">
        <v>354</v>
      </c>
      <c r="B73" s="35" t="s">
        <v>355</v>
      </c>
      <c r="C73" s="34" t="s">
        <v>30</v>
      </c>
      <c r="D73" s="34" t="s">
        <v>142</v>
      </c>
      <c r="E73" s="34" t="s">
        <v>151</v>
      </c>
      <c r="F73" s="34" t="s">
        <v>137</v>
      </c>
      <c r="G73" s="36" t="n">
        <v>35109</v>
      </c>
      <c r="H73" s="36" t="n">
        <v>40044</v>
      </c>
      <c r="I73" s="37" t="n">
        <v>209000</v>
      </c>
      <c r="J73" s="38" t="n">
        <v>0.163</v>
      </c>
      <c r="K73" s="37" t="n">
        <f aca="false">J73*I73</f>
        <v>34067</v>
      </c>
      <c r="L73" s="37" t="n">
        <f aca="false">I73+K73</f>
        <v>243067</v>
      </c>
      <c r="M73" s="39" t="n">
        <v>15.4</v>
      </c>
      <c r="N73" s="40" t="n">
        <v>3.27</v>
      </c>
      <c r="O73" s="41" t="n">
        <v>0.769</v>
      </c>
      <c r="P73" s="42" t="n">
        <v>13</v>
      </c>
      <c r="Q73" s="42" t="n">
        <v>90</v>
      </c>
      <c r="R73" s="35" t="s">
        <v>356</v>
      </c>
      <c r="S73" s="35" t="s">
        <v>357</v>
      </c>
      <c r="T73" s="34" t="s">
        <v>66</v>
      </c>
    </row>
    <row r="74" customFormat="false" ht="15" hidden="false" customHeight="false" outlineLevel="0" collapsed="false">
      <c r="A74" s="43" t="s">
        <v>358</v>
      </c>
      <c r="B74" s="44" t="s">
        <v>359</v>
      </c>
      <c r="C74" s="43" t="s">
        <v>32</v>
      </c>
      <c r="D74" s="43" t="s">
        <v>85</v>
      </c>
      <c r="E74" s="43" t="s">
        <v>136</v>
      </c>
      <c r="F74" s="43" t="s">
        <v>57</v>
      </c>
      <c r="G74" s="45" t="n">
        <v>32332</v>
      </c>
      <c r="H74" s="45" t="n">
        <v>39686</v>
      </c>
      <c r="I74" s="46" t="n">
        <v>81000</v>
      </c>
      <c r="J74" s="47" t="n">
        <v>0.235</v>
      </c>
      <c r="K74" s="46" t="n">
        <f aca="false">J74*I74</f>
        <v>19035</v>
      </c>
      <c r="L74" s="46" t="n">
        <f aca="false">I74+K74</f>
        <v>100035</v>
      </c>
      <c r="M74" s="48" t="n">
        <v>16.3</v>
      </c>
      <c r="N74" s="49" t="n">
        <v>3.19</v>
      </c>
      <c r="O74" s="50" t="n">
        <v>0.877</v>
      </c>
      <c r="P74" s="51" t="n">
        <v>34</v>
      </c>
      <c r="Q74" s="51" t="n">
        <v>162</v>
      </c>
      <c r="R74" s="44" t="s">
        <v>360</v>
      </c>
      <c r="S74" s="44" t="s">
        <v>361</v>
      </c>
      <c r="T74" s="43" t="s">
        <v>66</v>
      </c>
    </row>
    <row r="75" customFormat="false" ht="15" hidden="false" customHeight="false" outlineLevel="0" collapsed="false">
      <c r="A75" s="34" t="s">
        <v>362</v>
      </c>
      <c r="B75" s="35" t="s">
        <v>363</v>
      </c>
      <c r="C75" s="34" t="s">
        <v>25</v>
      </c>
      <c r="D75" s="34" t="s">
        <v>85</v>
      </c>
      <c r="E75" s="34" t="s">
        <v>96</v>
      </c>
      <c r="F75" s="34" t="s">
        <v>137</v>
      </c>
      <c r="G75" s="36" t="n">
        <v>35614</v>
      </c>
      <c r="H75" s="36" t="n">
        <v>39599</v>
      </c>
      <c r="I75" s="37" t="n">
        <v>84000</v>
      </c>
      <c r="J75" s="38" t="n">
        <v>0.14</v>
      </c>
      <c r="K75" s="37" t="n">
        <f aca="false">J75*I75</f>
        <v>11760</v>
      </c>
      <c r="L75" s="37" t="n">
        <f aca="false">I75+K75</f>
        <v>95760</v>
      </c>
      <c r="M75" s="39" t="n">
        <v>16.6</v>
      </c>
      <c r="N75" s="40" t="n">
        <v>3.26</v>
      </c>
      <c r="O75" s="41" t="n">
        <v>0.912</v>
      </c>
      <c r="P75" s="42" t="n">
        <v>9</v>
      </c>
      <c r="Q75" s="42" t="n">
        <v>80</v>
      </c>
      <c r="R75" s="35" t="s">
        <v>364</v>
      </c>
      <c r="S75" s="35" t="s">
        <v>365</v>
      </c>
      <c r="T75" s="34" t="s">
        <v>66</v>
      </c>
    </row>
    <row r="76" customFormat="false" ht="15" hidden="false" customHeight="false" outlineLevel="0" collapsed="false">
      <c r="A76" s="43" t="s">
        <v>366</v>
      </c>
      <c r="B76" s="44" t="s">
        <v>367</v>
      </c>
      <c r="C76" s="43" t="s">
        <v>24</v>
      </c>
      <c r="D76" s="43" t="s">
        <v>69</v>
      </c>
      <c r="E76" s="43" t="s">
        <v>56</v>
      </c>
      <c r="F76" s="43" t="s">
        <v>79</v>
      </c>
      <c r="G76" s="45" t="n">
        <v>28043</v>
      </c>
      <c r="H76" s="45" t="n">
        <v>43716</v>
      </c>
      <c r="I76" s="46" t="n">
        <v>58000</v>
      </c>
      <c r="J76" s="47" t="n">
        <v>0.209</v>
      </c>
      <c r="K76" s="46" t="n">
        <f aca="false">J76*I76</f>
        <v>12122</v>
      </c>
      <c r="L76" s="46" t="n">
        <f aca="false">I76+K76</f>
        <v>70122</v>
      </c>
      <c r="M76" s="48" t="n">
        <v>5.3</v>
      </c>
      <c r="N76" s="49" t="n">
        <v>4.38</v>
      </c>
      <c r="O76" s="50" t="n">
        <v>0.731</v>
      </c>
      <c r="P76" s="51" t="n">
        <v>1</v>
      </c>
      <c r="Q76" s="51" t="n">
        <v>156</v>
      </c>
      <c r="R76" s="44" t="s">
        <v>368</v>
      </c>
      <c r="S76" s="44" t="s">
        <v>369</v>
      </c>
      <c r="T76" s="43" t="s">
        <v>66</v>
      </c>
    </row>
    <row r="77" customFormat="false" ht="15" hidden="false" customHeight="false" outlineLevel="0" collapsed="false">
      <c r="A77" s="34" t="s">
        <v>370</v>
      </c>
      <c r="B77" s="35" t="s">
        <v>371</v>
      </c>
      <c r="C77" s="34" t="s">
        <v>31</v>
      </c>
      <c r="D77" s="34" t="s">
        <v>113</v>
      </c>
      <c r="E77" s="34" t="s">
        <v>126</v>
      </c>
      <c r="F77" s="34" t="s">
        <v>137</v>
      </c>
      <c r="G77" s="36" t="n">
        <v>31992</v>
      </c>
      <c r="H77" s="36" t="n">
        <v>40640</v>
      </c>
      <c r="I77" s="37" t="n">
        <v>73000</v>
      </c>
      <c r="J77" s="38" t="n">
        <v>0.291</v>
      </c>
      <c r="K77" s="37" t="n">
        <f aca="false">J77*I77</f>
        <v>21243</v>
      </c>
      <c r="L77" s="37" t="n">
        <f aca="false">I77+K77</f>
        <v>94243</v>
      </c>
      <c r="M77" s="39" t="n">
        <v>13.7</v>
      </c>
      <c r="N77" s="40" t="n">
        <v>3.13</v>
      </c>
      <c r="O77" s="41" t="n">
        <v>0.959</v>
      </c>
      <c r="P77" s="42" t="n">
        <v>8</v>
      </c>
      <c r="Q77" s="42" t="n">
        <v>26</v>
      </c>
      <c r="R77" s="35" t="s">
        <v>372</v>
      </c>
      <c r="S77" s="35" t="s">
        <v>373</v>
      </c>
      <c r="T77" s="34" t="s">
        <v>66</v>
      </c>
    </row>
    <row r="78" customFormat="false" ht="15" hidden="false" customHeight="false" outlineLevel="0" collapsed="false">
      <c r="A78" s="43" t="s">
        <v>374</v>
      </c>
      <c r="B78" s="44" t="s">
        <v>375</v>
      </c>
      <c r="C78" s="43" t="s">
        <v>31</v>
      </c>
      <c r="D78" s="43" t="s">
        <v>55</v>
      </c>
      <c r="E78" s="43" t="s">
        <v>63</v>
      </c>
      <c r="F78" s="43" t="s">
        <v>57</v>
      </c>
      <c r="G78" s="45" t="n">
        <v>36089</v>
      </c>
      <c r="H78" s="45" t="n">
        <v>43180</v>
      </c>
      <c r="I78" s="46" t="n">
        <v>64000</v>
      </c>
      <c r="J78" s="47" t="n">
        <v>0.253</v>
      </c>
      <c r="K78" s="46" t="n">
        <f aca="false">J78*I78</f>
        <v>16192</v>
      </c>
      <c r="L78" s="46" t="n">
        <f aca="false">I78+K78</f>
        <v>80192</v>
      </c>
      <c r="M78" s="48" t="n">
        <v>6.8</v>
      </c>
      <c r="N78" s="49" t="n">
        <v>4.87</v>
      </c>
      <c r="O78" s="50" t="n">
        <v>0.726</v>
      </c>
      <c r="P78" s="51" t="n">
        <v>16</v>
      </c>
      <c r="Q78" s="51" t="n">
        <v>40</v>
      </c>
      <c r="R78" s="44" t="s">
        <v>376</v>
      </c>
      <c r="S78" s="44" t="s">
        <v>377</v>
      </c>
      <c r="T78" s="43" t="s">
        <v>60</v>
      </c>
    </row>
    <row r="79" customFormat="false" ht="15" hidden="false" customHeight="false" outlineLevel="0" collapsed="false">
      <c r="A79" s="34" t="s">
        <v>378</v>
      </c>
      <c r="B79" s="35" t="s">
        <v>379</v>
      </c>
      <c r="C79" s="34" t="s">
        <v>30</v>
      </c>
      <c r="D79" s="34" t="s">
        <v>69</v>
      </c>
      <c r="E79" s="34" t="s">
        <v>96</v>
      </c>
      <c r="F79" s="34" t="s">
        <v>79</v>
      </c>
      <c r="G79" s="36" t="n">
        <v>28868</v>
      </c>
      <c r="H79" s="36" t="n">
        <v>40337</v>
      </c>
      <c r="I79" s="37" t="n">
        <v>124000</v>
      </c>
      <c r="J79" s="38" t="n">
        <v>0.163</v>
      </c>
      <c r="K79" s="37" t="n">
        <f aca="false">J79*I79</f>
        <v>20212</v>
      </c>
      <c r="L79" s="37" t="n">
        <f aca="false">I79+K79</f>
        <v>144212</v>
      </c>
      <c r="M79" s="39" t="n">
        <v>14.6</v>
      </c>
      <c r="N79" s="40" t="n">
        <v>3.61</v>
      </c>
      <c r="O79" s="41" t="n">
        <v>0.958</v>
      </c>
      <c r="P79" s="42" t="n">
        <v>28</v>
      </c>
      <c r="Q79" s="42" t="n">
        <v>88</v>
      </c>
      <c r="R79" s="35" t="s">
        <v>380</v>
      </c>
      <c r="S79" s="35" t="s">
        <v>381</v>
      </c>
      <c r="T79" s="34" t="s">
        <v>60</v>
      </c>
    </row>
    <row r="80" customFormat="false" ht="15" hidden="false" customHeight="false" outlineLevel="0" collapsed="false">
      <c r="A80" s="43" t="s">
        <v>382</v>
      </c>
      <c r="B80" s="44" t="s">
        <v>383</v>
      </c>
      <c r="C80" s="43" t="s">
        <v>33</v>
      </c>
      <c r="D80" s="43" t="s">
        <v>55</v>
      </c>
      <c r="E80" s="43" t="s">
        <v>131</v>
      </c>
      <c r="F80" s="43" t="s">
        <v>57</v>
      </c>
      <c r="G80" s="45" t="n">
        <v>33645</v>
      </c>
      <c r="H80" s="45" t="n">
        <v>43404</v>
      </c>
      <c r="I80" s="46" t="n">
        <v>188000</v>
      </c>
      <c r="J80" s="47" t="n">
        <v>0.103</v>
      </c>
      <c r="K80" s="46" t="n">
        <f aca="false">J80*I80</f>
        <v>19364</v>
      </c>
      <c r="L80" s="46" t="n">
        <f aca="false">I80+K80</f>
        <v>207364</v>
      </c>
      <c r="M80" s="48" t="n">
        <v>6.2</v>
      </c>
      <c r="N80" s="49" t="n">
        <v>4.15</v>
      </c>
      <c r="O80" s="50" t="n">
        <v>0.747</v>
      </c>
      <c r="P80" s="51" t="n">
        <v>12</v>
      </c>
      <c r="Q80" s="51" t="n">
        <v>151</v>
      </c>
      <c r="R80" s="44" t="s">
        <v>384</v>
      </c>
      <c r="S80" s="44" t="s">
        <v>385</v>
      </c>
      <c r="T80" s="43" t="s">
        <v>66</v>
      </c>
    </row>
    <row r="81" customFormat="false" ht="15" hidden="false" customHeight="false" outlineLevel="0" collapsed="false">
      <c r="A81" s="34" t="s">
        <v>386</v>
      </c>
      <c r="B81" s="35" t="s">
        <v>387</v>
      </c>
      <c r="C81" s="34" t="s">
        <v>26</v>
      </c>
      <c r="D81" s="34" t="s">
        <v>55</v>
      </c>
      <c r="E81" s="34" t="s">
        <v>74</v>
      </c>
      <c r="F81" s="34" t="s">
        <v>137</v>
      </c>
      <c r="G81" s="36" t="n">
        <v>32107</v>
      </c>
      <c r="H81" s="36" t="n">
        <v>40979</v>
      </c>
      <c r="I81" s="37" t="n">
        <v>205000</v>
      </c>
      <c r="J81" s="38" t="n">
        <v>0.198</v>
      </c>
      <c r="K81" s="37" t="n">
        <f aca="false">J81*I81</f>
        <v>40590</v>
      </c>
      <c r="L81" s="37" t="n">
        <f aca="false">I81+K81</f>
        <v>245590</v>
      </c>
      <c r="M81" s="39" t="n">
        <v>12.8</v>
      </c>
      <c r="N81" s="40" t="n">
        <v>3.23</v>
      </c>
      <c r="O81" s="41" t="n">
        <v>0.769</v>
      </c>
      <c r="P81" s="42" t="n">
        <v>19</v>
      </c>
      <c r="Q81" s="42" t="n">
        <v>189</v>
      </c>
      <c r="R81" s="35" t="s">
        <v>388</v>
      </c>
      <c r="S81" s="35" t="s">
        <v>389</v>
      </c>
      <c r="T81" s="34" t="s">
        <v>66</v>
      </c>
    </row>
    <row r="82" customFormat="false" ht="15" hidden="false" customHeight="false" outlineLevel="0" collapsed="false">
      <c r="A82" s="43" t="s">
        <v>390</v>
      </c>
      <c r="B82" s="44" t="s">
        <v>391</v>
      </c>
      <c r="C82" s="43" t="s">
        <v>25</v>
      </c>
      <c r="D82" s="43" t="s">
        <v>142</v>
      </c>
      <c r="E82" s="43" t="s">
        <v>96</v>
      </c>
      <c r="F82" s="43" t="s">
        <v>137</v>
      </c>
      <c r="G82" s="45" t="n">
        <v>36485</v>
      </c>
      <c r="H82" s="45" t="n">
        <v>43908</v>
      </c>
      <c r="I82" s="46" t="n">
        <v>231000</v>
      </c>
      <c r="J82" s="47" t="n">
        <v>0.248</v>
      </c>
      <c r="K82" s="46" t="n">
        <f aca="false">J82*I82</f>
        <v>57288</v>
      </c>
      <c r="L82" s="46" t="n">
        <f aca="false">I82+K82</f>
        <v>288288</v>
      </c>
      <c r="M82" s="48" t="n">
        <v>4.8</v>
      </c>
      <c r="N82" s="49" t="n">
        <v>3.97</v>
      </c>
      <c r="O82" s="50" t="n">
        <v>0.941</v>
      </c>
      <c r="P82" s="51" t="n">
        <v>13</v>
      </c>
      <c r="Q82" s="51" t="n">
        <v>118</v>
      </c>
      <c r="R82" s="44" t="s">
        <v>392</v>
      </c>
      <c r="S82" s="44" t="s">
        <v>393</v>
      </c>
      <c r="T82" s="43" t="s">
        <v>66</v>
      </c>
    </row>
    <row r="83" customFormat="false" ht="15" hidden="false" customHeight="false" outlineLevel="0" collapsed="false">
      <c r="A83" s="34" t="s">
        <v>394</v>
      </c>
      <c r="B83" s="35" t="s">
        <v>395</v>
      </c>
      <c r="C83" s="34" t="s">
        <v>32</v>
      </c>
      <c r="D83" s="34" t="s">
        <v>90</v>
      </c>
      <c r="E83" s="34" t="s">
        <v>136</v>
      </c>
      <c r="F83" s="34" t="s">
        <v>137</v>
      </c>
      <c r="G83" s="36" t="n">
        <v>33067</v>
      </c>
      <c r="H83" s="36" t="n">
        <v>42727</v>
      </c>
      <c r="I83" s="37" t="n">
        <v>241000</v>
      </c>
      <c r="J83" s="38" t="n">
        <v>0.086</v>
      </c>
      <c r="K83" s="37" t="n">
        <f aca="false">J83*I83</f>
        <v>20726</v>
      </c>
      <c r="L83" s="37" t="n">
        <f aca="false">I83+K83</f>
        <v>261726</v>
      </c>
      <c r="M83" s="39" t="n">
        <v>8</v>
      </c>
      <c r="N83" s="40" t="n">
        <v>2.65</v>
      </c>
      <c r="O83" s="41" t="n">
        <v>0.938</v>
      </c>
      <c r="P83" s="42" t="n">
        <v>39</v>
      </c>
      <c r="Q83" s="42" t="n">
        <v>155</v>
      </c>
      <c r="R83" s="35" t="s">
        <v>396</v>
      </c>
      <c r="S83" s="35" t="s">
        <v>397</v>
      </c>
      <c r="T83" s="34" t="s">
        <v>66</v>
      </c>
    </row>
    <row r="84" customFormat="false" ht="15" hidden="false" customHeight="false" outlineLevel="0" collapsed="false">
      <c r="A84" s="43" t="s">
        <v>398</v>
      </c>
      <c r="B84" s="44" t="s">
        <v>399</v>
      </c>
      <c r="C84" s="43" t="s">
        <v>31</v>
      </c>
      <c r="D84" s="43" t="s">
        <v>55</v>
      </c>
      <c r="E84" s="43" t="s">
        <v>126</v>
      </c>
      <c r="F84" s="43" t="s">
        <v>79</v>
      </c>
      <c r="G84" s="45" t="n">
        <v>31146</v>
      </c>
      <c r="H84" s="45" t="n">
        <v>44082</v>
      </c>
      <c r="I84" s="46" t="n">
        <v>104000</v>
      </c>
      <c r="J84" s="47" t="n">
        <v>0.225</v>
      </c>
      <c r="K84" s="46" t="n">
        <f aca="false">J84*I84</f>
        <v>23400</v>
      </c>
      <c r="L84" s="46" t="n">
        <f aca="false">I84+K84</f>
        <v>127400</v>
      </c>
      <c r="M84" s="48" t="n">
        <v>4.3</v>
      </c>
      <c r="N84" s="49" t="n">
        <v>4.86</v>
      </c>
      <c r="O84" s="50" t="n">
        <v>0.85</v>
      </c>
      <c r="P84" s="51" t="n">
        <v>32</v>
      </c>
      <c r="Q84" s="51" t="n">
        <v>122</v>
      </c>
      <c r="R84" s="44" t="s">
        <v>400</v>
      </c>
      <c r="S84" s="44" t="s">
        <v>401</v>
      </c>
      <c r="T84" s="43" t="s">
        <v>66</v>
      </c>
    </row>
    <row r="85" customFormat="false" ht="15" hidden="false" customHeight="false" outlineLevel="0" collapsed="false">
      <c r="A85" s="34" t="s">
        <v>402</v>
      </c>
      <c r="B85" s="35" t="s">
        <v>403</v>
      </c>
      <c r="C85" s="34" t="s">
        <v>33</v>
      </c>
      <c r="D85" s="34" t="s">
        <v>55</v>
      </c>
      <c r="E85" s="34" t="s">
        <v>74</v>
      </c>
      <c r="F85" s="34" t="s">
        <v>79</v>
      </c>
      <c r="G85" s="36" t="n">
        <v>28932</v>
      </c>
      <c r="H85" s="36" t="n">
        <v>41674</v>
      </c>
      <c r="I85" s="37" t="n">
        <v>109000</v>
      </c>
      <c r="J85" s="38" t="n">
        <v>0.201</v>
      </c>
      <c r="K85" s="37" t="n">
        <f aca="false">J85*I85</f>
        <v>21909</v>
      </c>
      <c r="L85" s="37" t="n">
        <f aca="false">I85+K85</f>
        <v>130909</v>
      </c>
      <c r="M85" s="39" t="n">
        <v>10.9</v>
      </c>
      <c r="N85" s="40" t="n">
        <v>2.56</v>
      </c>
      <c r="O85" s="41" t="n">
        <v>0.769</v>
      </c>
      <c r="P85" s="42" t="n">
        <v>37</v>
      </c>
      <c r="Q85" s="42" t="n">
        <v>160</v>
      </c>
      <c r="R85" s="35" t="s">
        <v>404</v>
      </c>
      <c r="S85" s="35" t="s">
        <v>405</v>
      </c>
      <c r="T85" s="34" t="s">
        <v>66</v>
      </c>
    </row>
    <row r="86" customFormat="false" ht="15" hidden="false" customHeight="false" outlineLevel="0" collapsed="false">
      <c r="A86" s="43" t="s">
        <v>406</v>
      </c>
      <c r="B86" s="44" t="s">
        <v>407</v>
      </c>
      <c r="C86" s="43" t="s">
        <v>28</v>
      </c>
      <c r="D86" s="43" t="s">
        <v>69</v>
      </c>
      <c r="E86" s="43" t="s">
        <v>63</v>
      </c>
      <c r="F86" s="43" t="s">
        <v>57</v>
      </c>
      <c r="G86" s="45" t="n">
        <v>31341</v>
      </c>
      <c r="H86" s="45" t="n">
        <v>38994</v>
      </c>
      <c r="I86" s="46" t="n">
        <v>148000</v>
      </c>
      <c r="J86" s="47" t="n">
        <v>0.18</v>
      </c>
      <c r="K86" s="46" t="n">
        <f aca="false">J86*I86</f>
        <v>26640</v>
      </c>
      <c r="L86" s="46" t="n">
        <f aca="false">I86+K86</f>
        <v>174640</v>
      </c>
      <c r="M86" s="48" t="n">
        <v>18.2</v>
      </c>
      <c r="N86" s="49" t="n">
        <v>3.61</v>
      </c>
      <c r="O86" s="50" t="n">
        <v>0.783</v>
      </c>
      <c r="P86" s="51" t="n">
        <v>38</v>
      </c>
      <c r="Q86" s="51" t="n">
        <v>121</v>
      </c>
      <c r="R86" s="44" t="s">
        <v>408</v>
      </c>
      <c r="S86" s="44" t="s">
        <v>409</v>
      </c>
      <c r="T86" s="43" t="s">
        <v>82</v>
      </c>
    </row>
    <row r="87" customFormat="false" ht="15" hidden="false" customHeight="false" outlineLevel="0" collapsed="false">
      <c r="A87" s="34" t="s">
        <v>410</v>
      </c>
      <c r="B87" s="35" t="s">
        <v>411</v>
      </c>
      <c r="C87" s="34" t="s">
        <v>31</v>
      </c>
      <c r="D87" s="34" t="s">
        <v>55</v>
      </c>
      <c r="E87" s="34" t="s">
        <v>126</v>
      </c>
      <c r="F87" s="34" t="s">
        <v>137</v>
      </c>
      <c r="G87" s="36" t="n">
        <v>32327</v>
      </c>
      <c r="H87" s="36" t="n">
        <v>39738</v>
      </c>
      <c r="I87" s="37" t="n">
        <v>132000</v>
      </c>
      <c r="J87" s="38" t="n">
        <v>0.133</v>
      </c>
      <c r="K87" s="37" t="n">
        <f aca="false">J87*I87</f>
        <v>17556</v>
      </c>
      <c r="L87" s="37" t="n">
        <f aca="false">I87+K87</f>
        <v>149556</v>
      </c>
      <c r="M87" s="39" t="n">
        <v>16.2</v>
      </c>
      <c r="N87" s="40" t="n">
        <v>4.18</v>
      </c>
      <c r="O87" s="41" t="n">
        <v>0.957</v>
      </c>
      <c r="P87" s="42" t="n">
        <v>22</v>
      </c>
      <c r="Q87" s="42" t="n">
        <v>115</v>
      </c>
      <c r="R87" s="35" t="s">
        <v>412</v>
      </c>
      <c r="S87" s="35" t="s">
        <v>413</v>
      </c>
      <c r="T87" s="34" t="s">
        <v>82</v>
      </c>
    </row>
    <row r="88" customFormat="false" ht="15" hidden="false" customHeight="false" outlineLevel="0" collapsed="false">
      <c r="A88" s="43" t="s">
        <v>414</v>
      </c>
      <c r="B88" s="44" t="s">
        <v>415</v>
      </c>
      <c r="C88" s="43" t="s">
        <v>31</v>
      </c>
      <c r="D88" s="43" t="s">
        <v>95</v>
      </c>
      <c r="E88" s="43" t="s">
        <v>74</v>
      </c>
      <c r="F88" s="43" t="s">
        <v>79</v>
      </c>
      <c r="G88" s="45" t="n">
        <v>25232</v>
      </c>
      <c r="H88" s="45" t="n">
        <v>39328</v>
      </c>
      <c r="I88" s="46" t="n">
        <v>34000</v>
      </c>
      <c r="J88" s="47" t="n">
        <v>0.164</v>
      </c>
      <c r="K88" s="46" t="n">
        <f aca="false">J88*I88</f>
        <v>5576</v>
      </c>
      <c r="L88" s="46" t="n">
        <f aca="false">I88+K88</f>
        <v>39576</v>
      </c>
      <c r="M88" s="48" t="n">
        <v>17.3</v>
      </c>
      <c r="N88" s="49" t="n">
        <v>3.29</v>
      </c>
      <c r="O88" s="50" t="n">
        <v>0.797</v>
      </c>
      <c r="P88" s="51" t="n">
        <v>26</v>
      </c>
      <c r="Q88" s="51" t="n">
        <v>141</v>
      </c>
      <c r="R88" s="44" t="s">
        <v>416</v>
      </c>
      <c r="S88" s="44" t="s">
        <v>417</v>
      </c>
      <c r="T88" s="43" t="s">
        <v>66</v>
      </c>
    </row>
    <row r="89" customFormat="false" ht="15" hidden="false" customHeight="false" outlineLevel="0" collapsed="false">
      <c r="A89" s="34" t="s">
        <v>418</v>
      </c>
      <c r="B89" s="35" t="s">
        <v>419</v>
      </c>
      <c r="C89" s="34" t="s">
        <v>32</v>
      </c>
      <c r="D89" s="34" t="s">
        <v>113</v>
      </c>
      <c r="E89" s="34" t="s">
        <v>74</v>
      </c>
      <c r="F89" s="34" t="s">
        <v>57</v>
      </c>
      <c r="G89" s="36" t="n">
        <v>33726</v>
      </c>
      <c r="H89" s="36" t="n">
        <v>45329</v>
      </c>
      <c r="I89" s="37" t="n">
        <v>74000</v>
      </c>
      <c r="J89" s="38" t="n">
        <v>0.18</v>
      </c>
      <c r="K89" s="37" t="n">
        <f aca="false">J89*I89</f>
        <v>13320</v>
      </c>
      <c r="L89" s="37" t="n">
        <f aca="false">I89+K89</f>
        <v>87320</v>
      </c>
      <c r="M89" s="39" t="n">
        <v>0.9</v>
      </c>
      <c r="N89" s="40" t="n">
        <v>4.06</v>
      </c>
      <c r="O89" s="41" t="n">
        <v>0.85</v>
      </c>
      <c r="P89" s="42" t="n">
        <v>29</v>
      </c>
      <c r="Q89" s="42" t="n">
        <v>23</v>
      </c>
      <c r="R89" s="35" t="s">
        <v>420</v>
      </c>
      <c r="S89" s="35" t="s">
        <v>421</v>
      </c>
      <c r="T89" s="34" t="s">
        <v>66</v>
      </c>
    </row>
    <row r="90" customFormat="false" ht="15" hidden="false" customHeight="false" outlineLevel="0" collapsed="false">
      <c r="A90" s="43" t="s">
        <v>422</v>
      </c>
      <c r="B90" s="44" t="s">
        <v>423</v>
      </c>
      <c r="C90" s="43" t="s">
        <v>28</v>
      </c>
      <c r="D90" s="43" t="s">
        <v>69</v>
      </c>
      <c r="E90" s="43" t="s">
        <v>136</v>
      </c>
      <c r="F90" s="43" t="s">
        <v>137</v>
      </c>
      <c r="G90" s="45" t="n">
        <v>24875</v>
      </c>
      <c r="H90" s="45" t="n">
        <v>40586</v>
      </c>
      <c r="I90" s="46" t="n">
        <v>139000</v>
      </c>
      <c r="J90" s="47" t="n">
        <v>0.27</v>
      </c>
      <c r="K90" s="46" t="n">
        <f aca="false">J90*I90</f>
        <v>37530</v>
      </c>
      <c r="L90" s="46" t="n">
        <f aca="false">I90+K90</f>
        <v>176530</v>
      </c>
      <c r="M90" s="48" t="n">
        <v>13.9</v>
      </c>
      <c r="N90" s="49" t="n">
        <v>3.71</v>
      </c>
      <c r="O90" s="50" t="n">
        <v>0.709</v>
      </c>
      <c r="P90" s="51" t="n">
        <v>39</v>
      </c>
      <c r="Q90" s="51" t="n">
        <v>71</v>
      </c>
      <c r="R90" s="44" t="s">
        <v>424</v>
      </c>
      <c r="S90" s="44" t="s">
        <v>425</v>
      </c>
      <c r="T90" s="43" t="s">
        <v>82</v>
      </c>
    </row>
    <row r="91" customFormat="false" ht="15" hidden="false" customHeight="false" outlineLevel="0" collapsed="false">
      <c r="A91" s="34" t="s">
        <v>426</v>
      </c>
      <c r="B91" s="35" t="s">
        <v>427</v>
      </c>
      <c r="C91" s="34" t="s">
        <v>26</v>
      </c>
      <c r="D91" s="34" t="s">
        <v>95</v>
      </c>
      <c r="E91" s="34" t="s">
        <v>63</v>
      </c>
      <c r="F91" s="34" t="s">
        <v>79</v>
      </c>
      <c r="G91" s="36" t="n">
        <v>30832</v>
      </c>
      <c r="H91" s="36" t="n">
        <v>42148</v>
      </c>
      <c r="I91" s="37" t="n">
        <v>131000</v>
      </c>
      <c r="J91" s="38" t="n">
        <v>0.073</v>
      </c>
      <c r="K91" s="37" t="n">
        <f aca="false">J91*I91</f>
        <v>9563</v>
      </c>
      <c r="L91" s="37" t="n">
        <f aca="false">I91+K91</f>
        <v>140563</v>
      </c>
      <c r="M91" s="39" t="n">
        <v>9.6</v>
      </c>
      <c r="N91" s="40" t="n">
        <v>4.98</v>
      </c>
      <c r="O91" s="41" t="n">
        <v>0.974</v>
      </c>
      <c r="P91" s="42" t="n">
        <v>30</v>
      </c>
      <c r="Q91" s="42" t="n">
        <v>40</v>
      </c>
      <c r="R91" s="35" t="s">
        <v>428</v>
      </c>
      <c r="S91" s="35" t="s">
        <v>429</v>
      </c>
      <c r="T91" s="34" t="s">
        <v>82</v>
      </c>
    </row>
    <row r="92" customFormat="false" ht="15" hidden="false" customHeight="false" outlineLevel="0" collapsed="false">
      <c r="A92" s="43" t="s">
        <v>430</v>
      </c>
      <c r="B92" s="44" t="s">
        <v>431</v>
      </c>
      <c r="C92" s="43" t="s">
        <v>26</v>
      </c>
      <c r="D92" s="43" t="s">
        <v>113</v>
      </c>
      <c r="E92" s="43" t="s">
        <v>56</v>
      </c>
      <c r="F92" s="43" t="s">
        <v>79</v>
      </c>
      <c r="G92" s="45" t="n">
        <v>28509</v>
      </c>
      <c r="H92" s="45" t="n">
        <v>42436</v>
      </c>
      <c r="I92" s="46" t="n">
        <v>209000</v>
      </c>
      <c r="J92" s="47" t="n">
        <v>0.118</v>
      </c>
      <c r="K92" s="46" t="n">
        <f aca="false">J92*I92</f>
        <v>24662</v>
      </c>
      <c r="L92" s="46" t="n">
        <f aca="false">I92+K92</f>
        <v>233662</v>
      </c>
      <c r="M92" s="48" t="n">
        <v>8.8</v>
      </c>
      <c r="N92" s="49" t="n">
        <v>4.59</v>
      </c>
      <c r="O92" s="50" t="n">
        <v>0.994</v>
      </c>
      <c r="P92" s="51" t="n">
        <v>16</v>
      </c>
      <c r="Q92" s="51" t="n">
        <v>126</v>
      </c>
      <c r="R92" s="44" t="s">
        <v>432</v>
      </c>
      <c r="S92" s="44" t="s">
        <v>433</v>
      </c>
      <c r="T92" s="43" t="s">
        <v>60</v>
      </c>
    </row>
    <row r="93" customFormat="false" ht="15" hidden="false" customHeight="false" outlineLevel="0" collapsed="false">
      <c r="A93" s="34" t="s">
        <v>434</v>
      </c>
      <c r="B93" s="35" t="s">
        <v>435</v>
      </c>
      <c r="C93" s="34" t="s">
        <v>26</v>
      </c>
      <c r="D93" s="34" t="s">
        <v>113</v>
      </c>
      <c r="E93" s="34" t="s">
        <v>96</v>
      </c>
      <c r="F93" s="34" t="s">
        <v>79</v>
      </c>
      <c r="G93" s="36" t="n">
        <v>27896</v>
      </c>
      <c r="H93" s="36" t="n">
        <v>43122</v>
      </c>
      <c r="I93" s="37" t="n">
        <v>158000</v>
      </c>
      <c r="J93" s="38" t="n">
        <v>0.237</v>
      </c>
      <c r="K93" s="37" t="n">
        <f aca="false">J93*I93</f>
        <v>37446</v>
      </c>
      <c r="L93" s="37" t="n">
        <f aca="false">I93+K93</f>
        <v>195446</v>
      </c>
      <c r="M93" s="39" t="n">
        <v>6.9</v>
      </c>
      <c r="N93" s="40" t="n">
        <v>2.84</v>
      </c>
      <c r="O93" s="41" t="n">
        <v>0.721</v>
      </c>
      <c r="P93" s="42" t="n">
        <v>27</v>
      </c>
      <c r="Q93" s="42" t="n">
        <v>97</v>
      </c>
      <c r="R93" s="35" t="s">
        <v>436</v>
      </c>
      <c r="S93" s="35" t="s">
        <v>437</v>
      </c>
      <c r="T93" s="34" t="s">
        <v>60</v>
      </c>
    </row>
    <row r="94" customFormat="false" ht="15" hidden="false" customHeight="false" outlineLevel="0" collapsed="false">
      <c r="A94" s="43" t="s">
        <v>438</v>
      </c>
      <c r="B94" s="44" t="s">
        <v>439</v>
      </c>
      <c r="C94" s="43" t="s">
        <v>28</v>
      </c>
      <c r="D94" s="43" t="s">
        <v>85</v>
      </c>
      <c r="E94" s="43" t="s">
        <v>63</v>
      </c>
      <c r="F94" s="43" t="s">
        <v>137</v>
      </c>
      <c r="G94" s="45" t="n">
        <v>36962</v>
      </c>
      <c r="H94" s="45" t="n">
        <v>39599</v>
      </c>
      <c r="I94" s="46" t="n">
        <v>215000</v>
      </c>
      <c r="J94" s="47" t="n">
        <v>0.125</v>
      </c>
      <c r="K94" s="46" t="n">
        <f aca="false">J94*I94</f>
        <v>26875</v>
      </c>
      <c r="L94" s="46" t="n">
        <f aca="false">I94+K94</f>
        <v>241875</v>
      </c>
      <c r="M94" s="48" t="n">
        <v>16.6</v>
      </c>
      <c r="N94" s="49" t="n">
        <v>3.97</v>
      </c>
      <c r="O94" s="50" t="n">
        <v>1</v>
      </c>
      <c r="P94" s="51" t="n">
        <v>32</v>
      </c>
      <c r="Q94" s="51" t="n">
        <v>48</v>
      </c>
      <c r="R94" s="44" t="s">
        <v>440</v>
      </c>
      <c r="S94" s="44" t="s">
        <v>441</v>
      </c>
      <c r="T94" s="43" t="s">
        <v>66</v>
      </c>
    </row>
    <row r="95" customFormat="false" ht="15" hidden="false" customHeight="false" outlineLevel="0" collapsed="false">
      <c r="A95" s="34" t="s">
        <v>442</v>
      </c>
      <c r="B95" s="35" t="s">
        <v>443</v>
      </c>
      <c r="C95" s="34" t="s">
        <v>32</v>
      </c>
      <c r="D95" s="34" t="s">
        <v>113</v>
      </c>
      <c r="E95" s="34" t="s">
        <v>151</v>
      </c>
      <c r="F95" s="34" t="s">
        <v>137</v>
      </c>
      <c r="G95" s="36" t="n">
        <v>28307</v>
      </c>
      <c r="H95" s="36" t="n">
        <v>44111</v>
      </c>
      <c r="I95" s="37" t="n">
        <v>169000</v>
      </c>
      <c r="J95" s="38" t="n">
        <v>0.241</v>
      </c>
      <c r="K95" s="37" t="n">
        <f aca="false">J95*I95</f>
        <v>40729</v>
      </c>
      <c r="L95" s="37" t="n">
        <f aca="false">I95+K95</f>
        <v>209729</v>
      </c>
      <c r="M95" s="39" t="n">
        <v>4.2</v>
      </c>
      <c r="N95" s="40" t="n">
        <v>3.44</v>
      </c>
      <c r="O95" s="41" t="n">
        <v>0.98</v>
      </c>
      <c r="P95" s="42" t="n">
        <v>13</v>
      </c>
      <c r="Q95" s="42" t="n">
        <v>188</v>
      </c>
      <c r="R95" s="35" t="s">
        <v>444</v>
      </c>
      <c r="S95" s="35" t="s">
        <v>445</v>
      </c>
      <c r="T95" s="34" t="s">
        <v>66</v>
      </c>
    </row>
    <row r="96" customFormat="false" ht="15" hidden="false" customHeight="false" outlineLevel="0" collapsed="false">
      <c r="A96" s="43" t="s">
        <v>446</v>
      </c>
      <c r="B96" s="44" t="s">
        <v>447</v>
      </c>
      <c r="C96" s="43" t="s">
        <v>33</v>
      </c>
      <c r="D96" s="43" t="s">
        <v>113</v>
      </c>
      <c r="E96" s="43" t="s">
        <v>96</v>
      </c>
      <c r="F96" s="43" t="s">
        <v>137</v>
      </c>
      <c r="G96" s="45" t="n">
        <v>27117</v>
      </c>
      <c r="H96" s="45" t="n">
        <v>39354</v>
      </c>
      <c r="I96" s="46" t="n">
        <v>36000</v>
      </c>
      <c r="J96" s="47" t="n">
        <v>0.13</v>
      </c>
      <c r="K96" s="46" t="n">
        <f aca="false">J96*I96</f>
        <v>4680</v>
      </c>
      <c r="L96" s="46" t="n">
        <f aca="false">I96+K96</f>
        <v>40680</v>
      </c>
      <c r="M96" s="48" t="n">
        <v>17.3</v>
      </c>
      <c r="N96" s="49" t="n">
        <v>3.68</v>
      </c>
      <c r="O96" s="50" t="n">
        <v>0.974</v>
      </c>
      <c r="P96" s="51" t="n">
        <v>25</v>
      </c>
      <c r="Q96" s="51" t="n">
        <v>108</v>
      </c>
      <c r="R96" s="44" t="s">
        <v>448</v>
      </c>
      <c r="S96" s="44" t="s">
        <v>449</v>
      </c>
      <c r="T96" s="43" t="s">
        <v>82</v>
      </c>
    </row>
    <row r="97" customFormat="false" ht="15" hidden="false" customHeight="false" outlineLevel="0" collapsed="false">
      <c r="A97" s="34" t="s">
        <v>450</v>
      </c>
      <c r="B97" s="35" t="s">
        <v>451</v>
      </c>
      <c r="C97" s="34" t="s">
        <v>26</v>
      </c>
      <c r="D97" s="34" t="s">
        <v>113</v>
      </c>
      <c r="E97" s="34" t="s">
        <v>63</v>
      </c>
      <c r="F97" s="34" t="s">
        <v>57</v>
      </c>
      <c r="G97" s="36" t="n">
        <v>33252</v>
      </c>
      <c r="H97" s="36" t="n">
        <v>45050</v>
      </c>
      <c r="I97" s="37" t="n">
        <v>156000</v>
      </c>
      <c r="J97" s="38" t="n">
        <v>0.291</v>
      </c>
      <c r="K97" s="37" t="n">
        <f aca="false">J97*I97</f>
        <v>45396</v>
      </c>
      <c r="L97" s="37" t="n">
        <f aca="false">I97+K97</f>
        <v>201396</v>
      </c>
      <c r="M97" s="39" t="n">
        <v>1.7</v>
      </c>
      <c r="N97" s="40" t="n">
        <v>3.33</v>
      </c>
      <c r="O97" s="41" t="n">
        <v>0.73</v>
      </c>
      <c r="P97" s="42" t="n">
        <v>29</v>
      </c>
      <c r="Q97" s="42" t="n">
        <v>35</v>
      </c>
      <c r="R97" s="35" t="s">
        <v>452</v>
      </c>
      <c r="S97" s="35" t="s">
        <v>453</v>
      </c>
      <c r="T97" s="34" t="s">
        <v>60</v>
      </c>
    </row>
    <row r="98" customFormat="false" ht="15" hidden="false" customHeight="false" outlineLevel="0" collapsed="false">
      <c r="A98" s="43" t="s">
        <v>454</v>
      </c>
      <c r="B98" s="44" t="s">
        <v>455</v>
      </c>
      <c r="C98" s="43" t="s">
        <v>31</v>
      </c>
      <c r="D98" s="43" t="s">
        <v>55</v>
      </c>
      <c r="E98" s="43" t="s">
        <v>136</v>
      </c>
      <c r="F98" s="43" t="s">
        <v>137</v>
      </c>
      <c r="G98" s="45" t="n">
        <v>37016</v>
      </c>
      <c r="H98" s="45" t="n">
        <v>39151</v>
      </c>
      <c r="I98" s="46" t="n">
        <v>196000</v>
      </c>
      <c r="J98" s="47" t="n">
        <v>0.292</v>
      </c>
      <c r="K98" s="46" t="n">
        <f aca="false">J98*I98</f>
        <v>57232</v>
      </c>
      <c r="L98" s="46" t="n">
        <f aca="false">I98+K98</f>
        <v>253232</v>
      </c>
      <c r="M98" s="48" t="n">
        <v>17.8</v>
      </c>
      <c r="N98" s="49" t="n">
        <v>2.69</v>
      </c>
      <c r="O98" s="50" t="n">
        <v>0.934</v>
      </c>
      <c r="P98" s="51" t="n">
        <v>17</v>
      </c>
      <c r="Q98" s="51" t="n">
        <v>96</v>
      </c>
      <c r="R98" s="44" t="s">
        <v>456</v>
      </c>
      <c r="S98" s="44" t="s">
        <v>457</v>
      </c>
      <c r="T98" s="43" t="s">
        <v>60</v>
      </c>
    </row>
    <row r="99" customFormat="false" ht="15" hidden="false" customHeight="false" outlineLevel="0" collapsed="false">
      <c r="A99" s="34" t="s">
        <v>458</v>
      </c>
      <c r="B99" s="35" t="s">
        <v>459</v>
      </c>
      <c r="C99" s="34" t="s">
        <v>30</v>
      </c>
      <c r="D99" s="34" t="s">
        <v>142</v>
      </c>
      <c r="E99" s="34" t="s">
        <v>131</v>
      </c>
      <c r="F99" s="34" t="s">
        <v>137</v>
      </c>
      <c r="G99" s="36" t="n">
        <v>30793</v>
      </c>
      <c r="H99" s="36" t="n">
        <v>38764</v>
      </c>
      <c r="I99" s="37" t="n">
        <v>248000</v>
      </c>
      <c r="J99" s="38" t="n">
        <v>0.219</v>
      </c>
      <c r="K99" s="37" t="n">
        <f aca="false">J99*I99</f>
        <v>54312</v>
      </c>
      <c r="L99" s="37" t="n">
        <f aca="false">I99+K99</f>
        <v>302312</v>
      </c>
      <c r="M99" s="39" t="n">
        <v>18.9</v>
      </c>
      <c r="N99" s="40" t="n">
        <v>3.83</v>
      </c>
      <c r="O99" s="41" t="n">
        <v>0.986</v>
      </c>
      <c r="P99" s="42" t="n">
        <v>32</v>
      </c>
      <c r="Q99" s="42" t="n">
        <v>148</v>
      </c>
      <c r="R99" s="35" t="s">
        <v>460</v>
      </c>
      <c r="S99" s="35" t="s">
        <v>461</v>
      </c>
      <c r="T99" s="34" t="s">
        <v>66</v>
      </c>
    </row>
    <row r="100" customFormat="false" ht="15" hidden="false" customHeight="false" outlineLevel="0" collapsed="false">
      <c r="A100" s="43" t="s">
        <v>462</v>
      </c>
      <c r="B100" s="44" t="s">
        <v>463</v>
      </c>
      <c r="C100" s="43" t="s">
        <v>33</v>
      </c>
      <c r="D100" s="43" t="s">
        <v>55</v>
      </c>
      <c r="E100" s="43" t="s">
        <v>96</v>
      </c>
      <c r="F100" s="43" t="s">
        <v>79</v>
      </c>
      <c r="G100" s="45" t="n">
        <v>25048</v>
      </c>
      <c r="H100" s="45" t="n">
        <v>41264</v>
      </c>
      <c r="I100" s="46" t="n">
        <v>204000</v>
      </c>
      <c r="J100" s="47" t="n">
        <v>0.28</v>
      </c>
      <c r="K100" s="46" t="n">
        <f aca="false">J100*I100</f>
        <v>57120</v>
      </c>
      <c r="L100" s="46" t="n">
        <f aca="false">I100+K100</f>
        <v>261120</v>
      </c>
      <c r="M100" s="48" t="n">
        <v>12</v>
      </c>
      <c r="N100" s="49" t="n">
        <v>4.99</v>
      </c>
      <c r="O100" s="50" t="n">
        <v>0.924</v>
      </c>
      <c r="P100" s="51" t="n">
        <v>28</v>
      </c>
      <c r="Q100" s="51" t="n">
        <v>35</v>
      </c>
      <c r="R100" s="44" t="s">
        <v>464</v>
      </c>
      <c r="S100" s="44" t="s">
        <v>465</v>
      </c>
      <c r="T100" s="43" t="s">
        <v>82</v>
      </c>
    </row>
    <row r="101" customFormat="false" ht="15" hidden="false" customHeight="false" outlineLevel="0" collapsed="false">
      <c r="A101" s="34" t="s">
        <v>466</v>
      </c>
      <c r="B101" s="35" t="s">
        <v>467</v>
      </c>
      <c r="C101" s="34" t="s">
        <v>25</v>
      </c>
      <c r="D101" s="34" t="s">
        <v>113</v>
      </c>
      <c r="E101" s="34" t="s">
        <v>136</v>
      </c>
      <c r="F101" s="34" t="s">
        <v>79</v>
      </c>
      <c r="G101" s="36" t="n">
        <v>37844</v>
      </c>
      <c r="H101" s="36" t="n">
        <v>41649</v>
      </c>
      <c r="I101" s="37" t="n">
        <v>103000</v>
      </c>
      <c r="J101" s="38" t="n">
        <v>0.276</v>
      </c>
      <c r="K101" s="37" t="n">
        <f aca="false">J101*I101</f>
        <v>28428</v>
      </c>
      <c r="L101" s="37" t="n">
        <f aca="false">I101+K101</f>
        <v>131428</v>
      </c>
      <c r="M101" s="39" t="n">
        <v>11</v>
      </c>
      <c r="N101" s="40" t="n">
        <v>2.61</v>
      </c>
      <c r="O101" s="41" t="n">
        <v>0.939</v>
      </c>
      <c r="P101" s="42" t="n">
        <v>19</v>
      </c>
      <c r="Q101" s="42" t="n">
        <v>101</v>
      </c>
      <c r="R101" s="35" t="s">
        <v>468</v>
      </c>
      <c r="S101" s="35" t="s">
        <v>469</v>
      </c>
      <c r="T101" s="34" t="s">
        <v>66</v>
      </c>
    </row>
    <row r="102" customFormat="false" ht="15" hidden="false" customHeight="false" outlineLevel="0" collapsed="false">
      <c r="A102" s="43" t="s">
        <v>470</v>
      </c>
      <c r="B102" s="44" t="s">
        <v>471</v>
      </c>
      <c r="C102" s="43" t="s">
        <v>30</v>
      </c>
      <c r="D102" s="43" t="s">
        <v>90</v>
      </c>
      <c r="E102" s="43" t="s">
        <v>96</v>
      </c>
      <c r="F102" s="43" t="s">
        <v>79</v>
      </c>
      <c r="G102" s="45" t="n">
        <v>30653</v>
      </c>
      <c r="H102" s="45" t="n">
        <v>43137</v>
      </c>
      <c r="I102" s="46" t="n">
        <v>133000</v>
      </c>
      <c r="J102" s="47" t="n">
        <v>0.191</v>
      </c>
      <c r="K102" s="46" t="n">
        <f aca="false">J102*I102</f>
        <v>25403</v>
      </c>
      <c r="L102" s="46" t="n">
        <f aca="false">I102+K102</f>
        <v>158403</v>
      </c>
      <c r="M102" s="48" t="n">
        <v>6.9</v>
      </c>
      <c r="N102" s="49" t="n">
        <v>4.48</v>
      </c>
      <c r="O102" s="50" t="n">
        <v>0.751</v>
      </c>
      <c r="P102" s="51" t="n">
        <v>6</v>
      </c>
      <c r="Q102" s="51" t="n">
        <v>166</v>
      </c>
      <c r="R102" s="44" t="s">
        <v>472</v>
      </c>
      <c r="S102" s="44" t="s">
        <v>473</v>
      </c>
      <c r="T102" s="43" t="s">
        <v>66</v>
      </c>
    </row>
    <row r="103" customFormat="false" ht="15" hidden="false" customHeight="false" outlineLevel="0" collapsed="false">
      <c r="A103" s="34" t="s">
        <v>474</v>
      </c>
      <c r="B103" s="35" t="s">
        <v>475</v>
      </c>
      <c r="C103" s="34" t="s">
        <v>33</v>
      </c>
      <c r="D103" s="34" t="s">
        <v>142</v>
      </c>
      <c r="E103" s="34" t="s">
        <v>96</v>
      </c>
      <c r="F103" s="34" t="s">
        <v>137</v>
      </c>
      <c r="G103" s="36" t="n">
        <v>36462</v>
      </c>
      <c r="H103" s="36" t="n">
        <v>45371</v>
      </c>
      <c r="I103" s="37" t="n">
        <v>177000</v>
      </c>
      <c r="J103" s="38" t="n">
        <v>0.086</v>
      </c>
      <c r="K103" s="37" t="n">
        <f aca="false">J103*I103</f>
        <v>15222</v>
      </c>
      <c r="L103" s="37" t="n">
        <f aca="false">I103+K103</f>
        <v>192222</v>
      </c>
      <c r="M103" s="39" t="n">
        <v>0.8</v>
      </c>
      <c r="N103" s="40" t="n">
        <v>3.65</v>
      </c>
      <c r="O103" s="41" t="n">
        <v>0.776</v>
      </c>
      <c r="P103" s="42" t="n">
        <v>17</v>
      </c>
      <c r="Q103" s="42" t="n">
        <v>180</v>
      </c>
      <c r="R103" s="35" t="s">
        <v>476</v>
      </c>
      <c r="S103" s="35" t="s">
        <v>477</v>
      </c>
      <c r="T103" s="34" t="s">
        <v>66</v>
      </c>
    </row>
    <row r="104" customFormat="false" ht="15" hidden="false" customHeight="false" outlineLevel="0" collapsed="false">
      <c r="A104" s="43" t="s">
        <v>478</v>
      </c>
      <c r="B104" s="44" t="s">
        <v>479</v>
      </c>
      <c r="C104" s="43" t="s">
        <v>31</v>
      </c>
      <c r="D104" s="43" t="s">
        <v>95</v>
      </c>
      <c r="E104" s="43" t="s">
        <v>136</v>
      </c>
      <c r="F104" s="43" t="s">
        <v>57</v>
      </c>
      <c r="G104" s="45" t="n">
        <v>34815</v>
      </c>
      <c r="H104" s="45" t="n">
        <v>41724</v>
      </c>
      <c r="I104" s="46" t="n">
        <v>140000</v>
      </c>
      <c r="J104" s="47" t="n">
        <v>0.286</v>
      </c>
      <c r="K104" s="46" t="n">
        <f aca="false">J104*I104</f>
        <v>40040</v>
      </c>
      <c r="L104" s="46" t="n">
        <f aca="false">I104+K104</f>
        <v>180040</v>
      </c>
      <c r="M104" s="48" t="n">
        <v>10.8</v>
      </c>
      <c r="N104" s="49" t="n">
        <v>4.97</v>
      </c>
      <c r="O104" s="50" t="n">
        <v>0.79</v>
      </c>
      <c r="P104" s="51" t="n">
        <v>28</v>
      </c>
      <c r="Q104" s="51" t="n">
        <v>186</v>
      </c>
      <c r="R104" s="44" t="s">
        <v>480</v>
      </c>
      <c r="S104" s="44" t="s">
        <v>481</v>
      </c>
      <c r="T104" s="43" t="s">
        <v>66</v>
      </c>
    </row>
    <row r="105" customFormat="false" ht="15" hidden="false" customHeight="false" outlineLevel="0" collapsed="false">
      <c r="A105" s="34" t="s">
        <v>482</v>
      </c>
      <c r="B105" s="35" t="s">
        <v>483</v>
      </c>
      <c r="C105" s="34" t="s">
        <v>31</v>
      </c>
      <c r="D105" s="34" t="s">
        <v>85</v>
      </c>
      <c r="E105" s="34" t="s">
        <v>56</v>
      </c>
      <c r="F105" s="34" t="s">
        <v>57</v>
      </c>
      <c r="G105" s="36" t="n">
        <v>28248</v>
      </c>
      <c r="H105" s="36" t="n">
        <v>43149</v>
      </c>
      <c r="I105" s="37" t="n">
        <v>125000</v>
      </c>
      <c r="J105" s="38" t="n">
        <v>0.263</v>
      </c>
      <c r="K105" s="37" t="n">
        <f aca="false">J105*I105</f>
        <v>32875</v>
      </c>
      <c r="L105" s="37" t="n">
        <f aca="false">I105+K105</f>
        <v>157875</v>
      </c>
      <c r="M105" s="39" t="n">
        <v>6.9</v>
      </c>
      <c r="N105" s="40" t="n">
        <v>2.77</v>
      </c>
      <c r="O105" s="41" t="n">
        <v>0.814</v>
      </c>
      <c r="P105" s="42" t="n">
        <v>23</v>
      </c>
      <c r="Q105" s="42" t="n">
        <v>157</v>
      </c>
      <c r="R105" s="35" t="s">
        <v>484</v>
      </c>
      <c r="S105" s="35" t="s">
        <v>485</v>
      </c>
      <c r="T105" s="34" t="s">
        <v>66</v>
      </c>
    </row>
    <row r="106" customFormat="false" ht="15" hidden="false" customHeight="false" outlineLevel="0" collapsed="false">
      <c r="A106" s="43" t="s">
        <v>486</v>
      </c>
      <c r="B106" s="44" t="s">
        <v>487</v>
      </c>
      <c r="C106" s="43" t="s">
        <v>28</v>
      </c>
      <c r="D106" s="43" t="s">
        <v>55</v>
      </c>
      <c r="E106" s="43" t="s">
        <v>74</v>
      </c>
      <c r="F106" s="43" t="s">
        <v>137</v>
      </c>
      <c r="G106" s="45" t="n">
        <v>30921</v>
      </c>
      <c r="H106" s="45" t="n">
        <v>42971</v>
      </c>
      <c r="I106" s="46" t="n">
        <v>27000</v>
      </c>
      <c r="J106" s="47" t="n">
        <v>0.191</v>
      </c>
      <c r="K106" s="46" t="n">
        <f aca="false">J106*I106</f>
        <v>5157</v>
      </c>
      <c r="L106" s="46" t="n">
        <f aca="false">I106+K106</f>
        <v>32157</v>
      </c>
      <c r="M106" s="48" t="n">
        <v>7.4</v>
      </c>
      <c r="N106" s="49" t="n">
        <v>4.21</v>
      </c>
      <c r="O106" s="50" t="n">
        <v>0.923</v>
      </c>
      <c r="P106" s="51" t="n">
        <v>4</v>
      </c>
      <c r="Q106" s="51" t="n">
        <v>165</v>
      </c>
      <c r="R106" s="44" t="s">
        <v>488</v>
      </c>
      <c r="S106" s="44" t="s">
        <v>489</v>
      </c>
      <c r="T106" s="43" t="s">
        <v>82</v>
      </c>
    </row>
    <row r="107" customFormat="false" ht="15" hidden="false" customHeight="false" outlineLevel="0" collapsed="false">
      <c r="A107" s="34" t="s">
        <v>490</v>
      </c>
      <c r="B107" s="35" t="s">
        <v>491</v>
      </c>
      <c r="C107" s="34" t="s">
        <v>31</v>
      </c>
      <c r="D107" s="34" t="s">
        <v>85</v>
      </c>
      <c r="E107" s="34" t="s">
        <v>56</v>
      </c>
      <c r="F107" s="34" t="s">
        <v>57</v>
      </c>
      <c r="G107" s="36" t="n">
        <v>26679</v>
      </c>
      <c r="H107" s="36" t="n">
        <v>40701</v>
      </c>
      <c r="I107" s="37" t="n">
        <v>184000</v>
      </c>
      <c r="J107" s="38" t="n">
        <v>0.25</v>
      </c>
      <c r="K107" s="37" t="n">
        <f aca="false">J107*I107</f>
        <v>46000</v>
      </c>
      <c r="L107" s="37" t="n">
        <f aca="false">I107+K107</f>
        <v>230000</v>
      </c>
      <c r="M107" s="39" t="n">
        <v>13.6</v>
      </c>
      <c r="N107" s="40" t="n">
        <v>3.05</v>
      </c>
      <c r="O107" s="41" t="n">
        <v>0.757</v>
      </c>
      <c r="P107" s="42" t="n">
        <v>17</v>
      </c>
      <c r="Q107" s="42" t="n">
        <v>183</v>
      </c>
      <c r="R107" s="35" t="s">
        <v>492</v>
      </c>
      <c r="S107" s="35" t="s">
        <v>493</v>
      </c>
      <c r="T107" s="34" t="s">
        <v>82</v>
      </c>
    </row>
    <row r="108" customFormat="false" ht="15" hidden="false" customHeight="false" outlineLevel="0" collapsed="false">
      <c r="A108" s="43" t="s">
        <v>494</v>
      </c>
      <c r="B108" s="44" t="s">
        <v>495</v>
      </c>
      <c r="C108" s="43" t="s">
        <v>26</v>
      </c>
      <c r="D108" s="43" t="s">
        <v>142</v>
      </c>
      <c r="E108" s="43" t="s">
        <v>131</v>
      </c>
      <c r="F108" s="43" t="s">
        <v>79</v>
      </c>
      <c r="G108" s="45" t="n">
        <v>37394</v>
      </c>
      <c r="H108" s="45" t="n">
        <v>43110</v>
      </c>
      <c r="I108" s="46" t="n">
        <v>194000</v>
      </c>
      <c r="J108" s="47" t="n">
        <v>0.06</v>
      </c>
      <c r="K108" s="46" t="n">
        <f aca="false">J108*I108</f>
        <v>11640</v>
      </c>
      <c r="L108" s="46" t="n">
        <f aca="false">I108+K108</f>
        <v>205640</v>
      </c>
      <c r="M108" s="48" t="n">
        <v>7</v>
      </c>
      <c r="N108" s="49" t="n">
        <v>4.47</v>
      </c>
      <c r="O108" s="50" t="n">
        <v>0.71</v>
      </c>
      <c r="P108" s="51" t="n">
        <v>24</v>
      </c>
      <c r="Q108" s="51" t="n">
        <v>197</v>
      </c>
      <c r="R108" s="44" t="s">
        <v>496</v>
      </c>
      <c r="S108" s="44" t="s">
        <v>497</v>
      </c>
      <c r="T108" s="43" t="s">
        <v>66</v>
      </c>
    </row>
    <row r="109" customFormat="false" ht="15" hidden="false" customHeight="false" outlineLevel="0" collapsed="false">
      <c r="A109" s="34" t="s">
        <v>498</v>
      </c>
      <c r="B109" s="35" t="s">
        <v>499</v>
      </c>
      <c r="C109" s="34" t="s">
        <v>25</v>
      </c>
      <c r="D109" s="34" t="s">
        <v>95</v>
      </c>
      <c r="E109" s="34" t="s">
        <v>151</v>
      </c>
      <c r="F109" s="34" t="s">
        <v>79</v>
      </c>
      <c r="G109" s="36" t="n">
        <v>31860</v>
      </c>
      <c r="H109" s="36" t="n">
        <v>40394</v>
      </c>
      <c r="I109" s="37" t="n">
        <v>133000</v>
      </c>
      <c r="J109" s="38" t="n">
        <v>0.094</v>
      </c>
      <c r="K109" s="37" t="n">
        <f aca="false">J109*I109</f>
        <v>12502</v>
      </c>
      <c r="L109" s="37" t="n">
        <f aca="false">I109+K109</f>
        <v>145502</v>
      </c>
      <c r="M109" s="39" t="n">
        <v>14.4</v>
      </c>
      <c r="N109" s="40" t="n">
        <v>2.83</v>
      </c>
      <c r="O109" s="41" t="n">
        <v>0.862</v>
      </c>
      <c r="P109" s="42" t="n">
        <v>24</v>
      </c>
      <c r="Q109" s="42" t="n">
        <v>145</v>
      </c>
      <c r="R109" s="35" t="s">
        <v>500</v>
      </c>
      <c r="S109" s="35" t="s">
        <v>501</v>
      </c>
      <c r="T109" s="34" t="s">
        <v>60</v>
      </c>
    </row>
    <row r="110" customFormat="false" ht="15" hidden="false" customHeight="false" outlineLevel="0" collapsed="false">
      <c r="A110" s="43" t="s">
        <v>502</v>
      </c>
      <c r="B110" s="44" t="s">
        <v>503</v>
      </c>
      <c r="C110" s="43" t="s">
        <v>28</v>
      </c>
      <c r="D110" s="43" t="s">
        <v>85</v>
      </c>
      <c r="E110" s="43" t="s">
        <v>136</v>
      </c>
      <c r="F110" s="43" t="s">
        <v>137</v>
      </c>
      <c r="G110" s="45" t="n">
        <v>30823</v>
      </c>
      <c r="H110" s="45" t="n">
        <v>40084</v>
      </c>
      <c r="I110" s="46" t="n">
        <v>241000</v>
      </c>
      <c r="J110" s="47" t="n">
        <v>0.286</v>
      </c>
      <c r="K110" s="46" t="n">
        <f aca="false">J110*I110</f>
        <v>68926</v>
      </c>
      <c r="L110" s="46" t="n">
        <f aca="false">I110+K110</f>
        <v>309926</v>
      </c>
      <c r="M110" s="48" t="n">
        <v>15.3</v>
      </c>
      <c r="N110" s="49" t="n">
        <v>4.92</v>
      </c>
      <c r="O110" s="50" t="n">
        <v>0.789</v>
      </c>
      <c r="P110" s="51" t="n">
        <v>22</v>
      </c>
      <c r="Q110" s="51" t="n">
        <v>39</v>
      </c>
      <c r="R110" s="44" t="s">
        <v>504</v>
      </c>
      <c r="S110" s="44" t="s">
        <v>505</v>
      </c>
      <c r="T110" s="43" t="s">
        <v>66</v>
      </c>
    </row>
    <row r="111" customFormat="false" ht="15" hidden="false" customHeight="false" outlineLevel="0" collapsed="false">
      <c r="A111" s="34" t="s">
        <v>506</v>
      </c>
      <c r="B111" s="35" t="s">
        <v>507</v>
      </c>
      <c r="C111" s="34" t="s">
        <v>25</v>
      </c>
      <c r="D111" s="34" t="s">
        <v>90</v>
      </c>
      <c r="E111" s="34" t="s">
        <v>96</v>
      </c>
      <c r="F111" s="34" t="s">
        <v>79</v>
      </c>
      <c r="G111" s="36" t="n">
        <v>36044</v>
      </c>
      <c r="H111" s="36" t="n">
        <v>42944</v>
      </c>
      <c r="I111" s="37" t="n">
        <v>214000</v>
      </c>
      <c r="J111" s="38" t="n">
        <v>0.219</v>
      </c>
      <c r="K111" s="37" t="n">
        <f aca="false">J111*I111</f>
        <v>46866</v>
      </c>
      <c r="L111" s="37" t="n">
        <f aca="false">I111+K111</f>
        <v>260866</v>
      </c>
      <c r="M111" s="39" t="n">
        <v>7.4</v>
      </c>
      <c r="N111" s="40" t="n">
        <v>3.49</v>
      </c>
      <c r="O111" s="41" t="n">
        <v>0.954</v>
      </c>
      <c r="P111" s="42" t="n">
        <v>36</v>
      </c>
      <c r="Q111" s="42" t="n">
        <v>103</v>
      </c>
      <c r="R111" s="35" t="s">
        <v>508</v>
      </c>
      <c r="S111" s="35" t="s">
        <v>509</v>
      </c>
      <c r="T111" s="34" t="s">
        <v>66</v>
      </c>
    </row>
    <row r="112" customFormat="false" ht="15" hidden="false" customHeight="false" outlineLevel="0" collapsed="false">
      <c r="A112" s="43" t="s">
        <v>510</v>
      </c>
      <c r="B112" s="44" t="s">
        <v>511</v>
      </c>
      <c r="C112" s="43" t="s">
        <v>30</v>
      </c>
      <c r="D112" s="43" t="s">
        <v>55</v>
      </c>
      <c r="E112" s="43" t="s">
        <v>56</v>
      </c>
      <c r="F112" s="43" t="s">
        <v>79</v>
      </c>
      <c r="G112" s="45" t="n">
        <v>24831</v>
      </c>
      <c r="H112" s="45" t="n">
        <v>39827</v>
      </c>
      <c r="I112" s="46" t="n">
        <v>57000</v>
      </c>
      <c r="J112" s="47" t="n">
        <v>0.164</v>
      </c>
      <c r="K112" s="46" t="n">
        <f aca="false">J112*I112</f>
        <v>9348</v>
      </c>
      <c r="L112" s="46" t="n">
        <f aca="false">I112+K112</f>
        <v>66348</v>
      </c>
      <c r="M112" s="48" t="n">
        <v>16</v>
      </c>
      <c r="N112" s="49" t="n">
        <v>4.18</v>
      </c>
      <c r="O112" s="50" t="n">
        <v>0.902</v>
      </c>
      <c r="P112" s="51" t="n">
        <v>38</v>
      </c>
      <c r="Q112" s="51" t="n">
        <v>107</v>
      </c>
      <c r="R112" s="44" t="s">
        <v>512</v>
      </c>
      <c r="S112" s="44" t="s">
        <v>513</v>
      </c>
      <c r="T112" s="43" t="s">
        <v>82</v>
      </c>
    </row>
    <row r="113" customFormat="false" ht="15" hidden="false" customHeight="false" outlineLevel="0" collapsed="false">
      <c r="A113" s="34" t="s">
        <v>514</v>
      </c>
      <c r="B113" s="35" t="s">
        <v>515</v>
      </c>
      <c r="C113" s="34" t="s">
        <v>29</v>
      </c>
      <c r="D113" s="34" t="s">
        <v>55</v>
      </c>
      <c r="E113" s="34" t="s">
        <v>96</v>
      </c>
      <c r="F113" s="34" t="s">
        <v>137</v>
      </c>
      <c r="G113" s="36" t="n">
        <v>37714</v>
      </c>
      <c r="H113" s="36" t="n">
        <v>40676</v>
      </c>
      <c r="I113" s="37" t="n">
        <v>31000</v>
      </c>
      <c r="J113" s="38" t="n">
        <v>0.205</v>
      </c>
      <c r="K113" s="37" t="n">
        <f aca="false">J113*I113</f>
        <v>6355</v>
      </c>
      <c r="L113" s="37" t="n">
        <f aca="false">I113+K113</f>
        <v>37355</v>
      </c>
      <c r="M113" s="39" t="n">
        <v>13.6</v>
      </c>
      <c r="N113" s="40" t="n">
        <v>4.86</v>
      </c>
      <c r="O113" s="41" t="n">
        <v>0.798</v>
      </c>
      <c r="P113" s="42" t="n">
        <v>40</v>
      </c>
      <c r="Q113" s="42" t="n">
        <v>66</v>
      </c>
      <c r="R113" s="35" t="s">
        <v>516</v>
      </c>
      <c r="S113" s="35" t="s">
        <v>517</v>
      </c>
      <c r="T113" s="34" t="s">
        <v>82</v>
      </c>
    </row>
    <row r="114" customFormat="false" ht="15" hidden="false" customHeight="false" outlineLevel="0" collapsed="false">
      <c r="A114" s="43" t="s">
        <v>518</v>
      </c>
      <c r="B114" s="44" t="s">
        <v>519</v>
      </c>
      <c r="C114" s="43" t="s">
        <v>25</v>
      </c>
      <c r="D114" s="43" t="s">
        <v>142</v>
      </c>
      <c r="E114" s="43" t="s">
        <v>126</v>
      </c>
      <c r="F114" s="43" t="s">
        <v>79</v>
      </c>
      <c r="G114" s="45" t="n">
        <v>29755</v>
      </c>
      <c r="H114" s="45" t="n">
        <v>43934</v>
      </c>
      <c r="I114" s="46" t="n">
        <v>104000</v>
      </c>
      <c r="J114" s="47" t="n">
        <v>0.212</v>
      </c>
      <c r="K114" s="46" t="n">
        <f aca="false">J114*I114</f>
        <v>22048</v>
      </c>
      <c r="L114" s="46" t="n">
        <f aca="false">I114+K114</f>
        <v>126048</v>
      </c>
      <c r="M114" s="48" t="n">
        <v>4.7</v>
      </c>
      <c r="N114" s="49" t="n">
        <v>2.79</v>
      </c>
      <c r="O114" s="50" t="n">
        <v>0.714</v>
      </c>
      <c r="P114" s="51" t="n">
        <v>3</v>
      </c>
      <c r="Q114" s="51" t="n">
        <v>87</v>
      </c>
      <c r="R114" s="44" t="s">
        <v>520</v>
      </c>
      <c r="S114" s="44" t="s">
        <v>521</v>
      </c>
      <c r="T114" s="43" t="s">
        <v>66</v>
      </c>
    </row>
    <row r="115" customFormat="false" ht="15" hidden="false" customHeight="false" outlineLevel="0" collapsed="false">
      <c r="A115" s="34" t="s">
        <v>522</v>
      </c>
      <c r="B115" s="35" t="s">
        <v>523</v>
      </c>
      <c r="C115" s="34" t="s">
        <v>25</v>
      </c>
      <c r="D115" s="34" t="s">
        <v>55</v>
      </c>
      <c r="E115" s="34" t="s">
        <v>96</v>
      </c>
      <c r="F115" s="34" t="s">
        <v>79</v>
      </c>
      <c r="G115" s="36" t="n">
        <v>32110</v>
      </c>
      <c r="H115" s="36" t="n">
        <v>42603</v>
      </c>
      <c r="I115" s="37" t="n">
        <v>60000</v>
      </c>
      <c r="J115" s="38" t="n">
        <v>0.147</v>
      </c>
      <c r="K115" s="37" t="n">
        <f aca="false">J115*I115</f>
        <v>8820</v>
      </c>
      <c r="L115" s="37" t="n">
        <f aca="false">I115+K115</f>
        <v>68820</v>
      </c>
      <c r="M115" s="39" t="n">
        <v>8.4</v>
      </c>
      <c r="N115" s="40" t="n">
        <v>3.43</v>
      </c>
      <c r="O115" s="41" t="n">
        <v>0.985</v>
      </c>
      <c r="P115" s="42" t="n">
        <v>35</v>
      </c>
      <c r="Q115" s="42" t="n">
        <v>117</v>
      </c>
      <c r="R115" s="35" t="s">
        <v>524</v>
      </c>
      <c r="S115" s="35" t="s">
        <v>525</v>
      </c>
      <c r="T115" s="34" t="s">
        <v>60</v>
      </c>
    </row>
    <row r="116" customFormat="false" ht="15" hidden="false" customHeight="false" outlineLevel="0" collapsed="false">
      <c r="A116" s="43" t="s">
        <v>526</v>
      </c>
      <c r="B116" s="44" t="s">
        <v>527</v>
      </c>
      <c r="C116" s="43" t="s">
        <v>26</v>
      </c>
      <c r="D116" s="43" t="s">
        <v>113</v>
      </c>
      <c r="E116" s="43" t="s">
        <v>131</v>
      </c>
      <c r="F116" s="43" t="s">
        <v>137</v>
      </c>
      <c r="G116" s="45" t="n">
        <v>31284</v>
      </c>
      <c r="H116" s="45" t="n">
        <v>38803</v>
      </c>
      <c r="I116" s="46" t="n">
        <v>186000</v>
      </c>
      <c r="J116" s="47" t="n">
        <v>0.152</v>
      </c>
      <c r="K116" s="46" t="n">
        <f aca="false">J116*I116</f>
        <v>28272</v>
      </c>
      <c r="L116" s="46" t="n">
        <f aca="false">I116+K116</f>
        <v>214272</v>
      </c>
      <c r="M116" s="48" t="n">
        <v>18.8</v>
      </c>
      <c r="N116" s="49" t="n">
        <v>4.88</v>
      </c>
      <c r="O116" s="50" t="n">
        <v>0.71</v>
      </c>
      <c r="P116" s="51" t="n">
        <v>24</v>
      </c>
      <c r="Q116" s="51" t="n">
        <v>65</v>
      </c>
      <c r="R116" s="44" t="s">
        <v>528</v>
      </c>
      <c r="S116" s="44" t="s">
        <v>529</v>
      </c>
      <c r="T116" s="43" t="s">
        <v>66</v>
      </c>
    </row>
    <row r="117" customFormat="false" ht="15" hidden="false" customHeight="false" outlineLevel="0" collapsed="false">
      <c r="A117" s="34" t="s">
        <v>530</v>
      </c>
      <c r="B117" s="35" t="s">
        <v>531</v>
      </c>
      <c r="C117" s="34" t="s">
        <v>31</v>
      </c>
      <c r="D117" s="34" t="s">
        <v>90</v>
      </c>
      <c r="E117" s="34" t="s">
        <v>151</v>
      </c>
      <c r="F117" s="34" t="s">
        <v>57</v>
      </c>
      <c r="G117" s="36" t="n">
        <v>30569</v>
      </c>
      <c r="H117" s="36" t="n">
        <v>41418</v>
      </c>
      <c r="I117" s="37" t="n">
        <v>204000</v>
      </c>
      <c r="J117" s="38" t="n">
        <v>0.142</v>
      </c>
      <c r="K117" s="37" t="n">
        <f aca="false">J117*I117</f>
        <v>28968</v>
      </c>
      <c r="L117" s="37" t="n">
        <f aca="false">I117+K117</f>
        <v>232968</v>
      </c>
      <c r="M117" s="39" t="n">
        <v>11.6</v>
      </c>
      <c r="N117" s="40" t="n">
        <v>4.75</v>
      </c>
      <c r="O117" s="41" t="n">
        <v>0.893</v>
      </c>
      <c r="P117" s="42" t="n">
        <v>4</v>
      </c>
      <c r="Q117" s="42" t="n">
        <v>111</v>
      </c>
      <c r="R117" s="35" t="s">
        <v>532</v>
      </c>
      <c r="S117" s="35" t="s">
        <v>533</v>
      </c>
      <c r="T117" s="34" t="s">
        <v>66</v>
      </c>
    </row>
    <row r="118" customFormat="false" ht="15" hidden="false" customHeight="false" outlineLevel="0" collapsed="false">
      <c r="A118" s="43" t="s">
        <v>534</v>
      </c>
      <c r="B118" s="44" t="s">
        <v>535</v>
      </c>
      <c r="C118" s="43" t="s">
        <v>27</v>
      </c>
      <c r="D118" s="43" t="s">
        <v>55</v>
      </c>
      <c r="E118" s="43" t="s">
        <v>126</v>
      </c>
      <c r="F118" s="43" t="s">
        <v>57</v>
      </c>
      <c r="G118" s="45" t="n">
        <v>29553</v>
      </c>
      <c r="H118" s="45" t="n">
        <v>44989</v>
      </c>
      <c r="I118" s="46" t="n">
        <v>198000</v>
      </c>
      <c r="J118" s="47" t="n">
        <v>0.103</v>
      </c>
      <c r="K118" s="46" t="n">
        <f aca="false">J118*I118</f>
        <v>20394</v>
      </c>
      <c r="L118" s="46" t="n">
        <f aca="false">I118+K118</f>
        <v>218394</v>
      </c>
      <c r="M118" s="48" t="n">
        <v>1.8</v>
      </c>
      <c r="N118" s="49" t="n">
        <v>4.1</v>
      </c>
      <c r="O118" s="50" t="n">
        <v>0.991</v>
      </c>
      <c r="P118" s="51" t="n">
        <v>4</v>
      </c>
      <c r="Q118" s="51" t="n">
        <v>95</v>
      </c>
      <c r="R118" s="44" t="s">
        <v>536</v>
      </c>
      <c r="S118" s="44" t="s">
        <v>537</v>
      </c>
      <c r="T118" s="43" t="s">
        <v>66</v>
      </c>
    </row>
    <row r="119" customFormat="false" ht="15" hidden="false" customHeight="false" outlineLevel="0" collapsed="false">
      <c r="A119" s="34" t="s">
        <v>538</v>
      </c>
      <c r="B119" s="35" t="s">
        <v>539</v>
      </c>
      <c r="C119" s="34" t="s">
        <v>26</v>
      </c>
      <c r="D119" s="34" t="s">
        <v>85</v>
      </c>
      <c r="E119" s="34" t="s">
        <v>96</v>
      </c>
      <c r="F119" s="34" t="s">
        <v>57</v>
      </c>
      <c r="G119" s="36" t="n">
        <v>34286</v>
      </c>
      <c r="H119" s="36" t="n">
        <v>43971</v>
      </c>
      <c r="I119" s="37" t="n">
        <v>242000</v>
      </c>
      <c r="J119" s="38" t="n">
        <v>0.241</v>
      </c>
      <c r="K119" s="37" t="n">
        <f aca="false">J119*I119</f>
        <v>58322</v>
      </c>
      <c r="L119" s="37" t="n">
        <f aca="false">I119+K119</f>
        <v>300322</v>
      </c>
      <c r="M119" s="39" t="n">
        <v>4.6</v>
      </c>
      <c r="N119" s="40" t="n">
        <v>3.02</v>
      </c>
      <c r="O119" s="41" t="n">
        <v>0.765</v>
      </c>
      <c r="P119" s="42" t="n">
        <v>15</v>
      </c>
      <c r="Q119" s="42" t="n">
        <v>94</v>
      </c>
      <c r="R119" s="35" t="s">
        <v>540</v>
      </c>
      <c r="S119" s="35" t="s">
        <v>541</v>
      </c>
      <c r="T119" s="34" t="s">
        <v>66</v>
      </c>
    </row>
    <row r="120" customFormat="false" ht="15" hidden="false" customHeight="false" outlineLevel="0" collapsed="false">
      <c r="A120" s="43" t="s">
        <v>542</v>
      </c>
      <c r="B120" s="44" t="s">
        <v>543</v>
      </c>
      <c r="C120" s="43" t="s">
        <v>33</v>
      </c>
      <c r="D120" s="43" t="s">
        <v>55</v>
      </c>
      <c r="E120" s="43" t="s">
        <v>56</v>
      </c>
      <c r="F120" s="43" t="s">
        <v>57</v>
      </c>
      <c r="G120" s="45" t="n">
        <v>32231</v>
      </c>
      <c r="H120" s="45" t="n">
        <v>42945</v>
      </c>
      <c r="I120" s="46" t="n">
        <v>59000</v>
      </c>
      <c r="J120" s="47" t="n">
        <v>0.185</v>
      </c>
      <c r="K120" s="46" t="n">
        <f aca="false">J120*I120</f>
        <v>10915</v>
      </c>
      <c r="L120" s="46" t="n">
        <f aca="false">I120+K120</f>
        <v>69915</v>
      </c>
      <c r="M120" s="48" t="n">
        <v>7.4</v>
      </c>
      <c r="N120" s="49" t="n">
        <v>4.5</v>
      </c>
      <c r="O120" s="50" t="n">
        <v>0.733</v>
      </c>
      <c r="P120" s="51" t="n">
        <v>2</v>
      </c>
      <c r="Q120" s="51" t="n">
        <v>43</v>
      </c>
      <c r="R120" s="44" t="s">
        <v>544</v>
      </c>
      <c r="S120" s="44" t="s">
        <v>545</v>
      </c>
      <c r="T120" s="43" t="s">
        <v>66</v>
      </c>
    </row>
    <row r="121" customFormat="false" ht="15" hidden="false" customHeight="false" outlineLevel="0" collapsed="false">
      <c r="A121" s="34" t="s">
        <v>546</v>
      </c>
      <c r="B121" s="35" t="s">
        <v>547</v>
      </c>
      <c r="C121" s="34" t="s">
        <v>29</v>
      </c>
      <c r="D121" s="34" t="s">
        <v>85</v>
      </c>
      <c r="E121" s="34" t="s">
        <v>96</v>
      </c>
      <c r="F121" s="34" t="s">
        <v>79</v>
      </c>
      <c r="G121" s="36" t="n">
        <v>35058</v>
      </c>
      <c r="H121" s="36" t="n">
        <v>42543</v>
      </c>
      <c r="I121" s="37" t="n">
        <v>109000</v>
      </c>
      <c r="J121" s="38" t="n">
        <v>0.054</v>
      </c>
      <c r="K121" s="37" t="n">
        <f aca="false">J121*I121</f>
        <v>5886</v>
      </c>
      <c r="L121" s="37" t="n">
        <f aca="false">I121+K121</f>
        <v>114886</v>
      </c>
      <c r="M121" s="39" t="n">
        <v>8.5</v>
      </c>
      <c r="N121" s="40" t="n">
        <v>3.16</v>
      </c>
      <c r="O121" s="41" t="n">
        <v>0.738</v>
      </c>
      <c r="P121" s="42" t="n">
        <v>27</v>
      </c>
      <c r="Q121" s="42" t="n">
        <v>144</v>
      </c>
      <c r="R121" s="35" t="s">
        <v>548</v>
      </c>
      <c r="S121" s="35" t="s">
        <v>549</v>
      </c>
      <c r="T121" s="34" t="s">
        <v>66</v>
      </c>
    </row>
    <row r="122" customFormat="false" ht="15" hidden="false" customHeight="false" outlineLevel="0" collapsed="false">
      <c r="A122" s="43" t="s">
        <v>550</v>
      </c>
      <c r="B122" s="44" t="s">
        <v>551</v>
      </c>
      <c r="C122" s="43" t="s">
        <v>25</v>
      </c>
      <c r="D122" s="43" t="s">
        <v>113</v>
      </c>
      <c r="E122" s="43" t="s">
        <v>126</v>
      </c>
      <c r="F122" s="43" t="s">
        <v>137</v>
      </c>
      <c r="G122" s="45" t="n">
        <v>25939</v>
      </c>
      <c r="H122" s="45" t="n">
        <v>43493</v>
      </c>
      <c r="I122" s="46" t="n">
        <v>159000</v>
      </c>
      <c r="J122" s="47" t="n">
        <v>0.198</v>
      </c>
      <c r="K122" s="46" t="n">
        <f aca="false">J122*I122</f>
        <v>31482</v>
      </c>
      <c r="L122" s="46" t="n">
        <f aca="false">I122+K122</f>
        <v>190482</v>
      </c>
      <c r="M122" s="48" t="n">
        <v>5.9</v>
      </c>
      <c r="N122" s="49" t="n">
        <v>3.63</v>
      </c>
      <c r="O122" s="50" t="n">
        <v>0.766</v>
      </c>
      <c r="P122" s="51" t="n">
        <v>40</v>
      </c>
      <c r="Q122" s="51" t="n">
        <v>21</v>
      </c>
      <c r="R122" s="44" t="s">
        <v>552</v>
      </c>
      <c r="S122" s="44" t="s">
        <v>553</v>
      </c>
      <c r="T122" s="43" t="s">
        <v>82</v>
      </c>
    </row>
    <row r="123" customFormat="false" ht="15" hidden="false" customHeight="false" outlineLevel="0" collapsed="false">
      <c r="A123" s="34" t="s">
        <v>554</v>
      </c>
      <c r="B123" s="35" t="s">
        <v>555</v>
      </c>
      <c r="C123" s="34" t="s">
        <v>32</v>
      </c>
      <c r="D123" s="34" t="s">
        <v>95</v>
      </c>
      <c r="E123" s="34" t="s">
        <v>126</v>
      </c>
      <c r="F123" s="34" t="s">
        <v>79</v>
      </c>
      <c r="G123" s="36" t="n">
        <v>29966</v>
      </c>
      <c r="H123" s="36" t="n">
        <v>43603</v>
      </c>
      <c r="I123" s="37" t="n">
        <v>33000</v>
      </c>
      <c r="J123" s="38" t="n">
        <v>0.065</v>
      </c>
      <c r="K123" s="37" t="n">
        <f aca="false">J123*I123</f>
        <v>2145</v>
      </c>
      <c r="L123" s="37" t="n">
        <f aca="false">I123+K123</f>
        <v>35145</v>
      </c>
      <c r="M123" s="39" t="n">
        <v>5.6</v>
      </c>
      <c r="N123" s="40" t="n">
        <v>3.7</v>
      </c>
      <c r="O123" s="41" t="n">
        <v>0.82</v>
      </c>
      <c r="P123" s="42" t="n">
        <v>7</v>
      </c>
      <c r="Q123" s="42" t="n">
        <v>135</v>
      </c>
      <c r="R123" s="35" t="s">
        <v>556</v>
      </c>
      <c r="S123" s="35" t="s">
        <v>557</v>
      </c>
      <c r="T123" s="34" t="s">
        <v>82</v>
      </c>
    </row>
    <row r="124" customFormat="false" ht="15" hidden="false" customHeight="false" outlineLevel="0" collapsed="false">
      <c r="A124" s="43" t="s">
        <v>558</v>
      </c>
      <c r="B124" s="44" t="s">
        <v>559</v>
      </c>
      <c r="C124" s="43" t="s">
        <v>31</v>
      </c>
      <c r="D124" s="43" t="s">
        <v>55</v>
      </c>
      <c r="E124" s="43" t="s">
        <v>131</v>
      </c>
      <c r="F124" s="43" t="s">
        <v>137</v>
      </c>
      <c r="G124" s="45" t="n">
        <v>33684</v>
      </c>
      <c r="H124" s="45" t="n">
        <v>41838</v>
      </c>
      <c r="I124" s="46" t="n">
        <v>184000</v>
      </c>
      <c r="J124" s="47" t="n">
        <v>0.087</v>
      </c>
      <c r="K124" s="46" t="n">
        <f aca="false">J124*I124</f>
        <v>16008</v>
      </c>
      <c r="L124" s="46" t="n">
        <f aca="false">I124+K124</f>
        <v>200008</v>
      </c>
      <c r="M124" s="48" t="n">
        <v>10.5</v>
      </c>
      <c r="N124" s="49" t="n">
        <v>2.82</v>
      </c>
      <c r="O124" s="50" t="n">
        <v>0.887</v>
      </c>
      <c r="P124" s="51" t="n">
        <v>38</v>
      </c>
      <c r="Q124" s="51" t="n">
        <v>150</v>
      </c>
      <c r="R124" s="44" t="s">
        <v>560</v>
      </c>
      <c r="S124" s="44" t="s">
        <v>561</v>
      </c>
      <c r="T124" s="43" t="s">
        <v>82</v>
      </c>
    </row>
    <row r="125" customFormat="false" ht="15" hidden="false" customHeight="false" outlineLevel="0" collapsed="false">
      <c r="A125" s="34" t="s">
        <v>562</v>
      </c>
      <c r="B125" s="35" t="s">
        <v>563</v>
      </c>
      <c r="C125" s="34" t="s">
        <v>29</v>
      </c>
      <c r="D125" s="34" t="s">
        <v>113</v>
      </c>
      <c r="E125" s="34" t="s">
        <v>56</v>
      </c>
      <c r="F125" s="34" t="s">
        <v>137</v>
      </c>
      <c r="G125" s="36" t="n">
        <v>29665</v>
      </c>
      <c r="H125" s="36" t="n">
        <v>39359</v>
      </c>
      <c r="I125" s="37" t="n">
        <v>157000</v>
      </c>
      <c r="J125" s="38" t="n">
        <v>0.201</v>
      </c>
      <c r="K125" s="37" t="n">
        <f aca="false">J125*I125</f>
        <v>31557</v>
      </c>
      <c r="L125" s="37" t="n">
        <f aca="false">I125+K125</f>
        <v>188557</v>
      </c>
      <c r="M125" s="39" t="n">
        <v>17.2</v>
      </c>
      <c r="N125" s="40" t="n">
        <v>2.75</v>
      </c>
      <c r="O125" s="41" t="n">
        <v>0.911</v>
      </c>
      <c r="P125" s="42" t="n">
        <v>36</v>
      </c>
      <c r="Q125" s="42" t="n">
        <v>194</v>
      </c>
      <c r="R125" s="35" t="s">
        <v>564</v>
      </c>
      <c r="S125" s="35" t="s">
        <v>565</v>
      </c>
      <c r="T125" s="34" t="s">
        <v>66</v>
      </c>
    </row>
    <row r="126" customFormat="false" ht="15" hidden="false" customHeight="false" outlineLevel="0" collapsed="false">
      <c r="A126" s="43" t="s">
        <v>566</v>
      </c>
      <c r="B126" s="44" t="s">
        <v>567</v>
      </c>
      <c r="C126" s="43" t="s">
        <v>30</v>
      </c>
      <c r="D126" s="43" t="s">
        <v>113</v>
      </c>
      <c r="E126" s="43" t="s">
        <v>96</v>
      </c>
      <c r="F126" s="43" t="s">
        <v>137</v>
      </c>
      <c r="G126" s="45" t="n">
        <v>31169</v>
      </c>
      <c r="H126" s="45" t="n">
        <v>39742</v>
      </c>
      <c r="I126" s="46" t="n">
        <v>113000</v>
      </c>
      <c r="J126" s="47" t="n">
        <v>0.257</v>
      </c>
      <c r="K126" s="46" t="n">
        <f aca="false">J126*I126</f>
        <v>29041</v>
      </c>
      <c r="L126" s="46" t="n">
        <f aca="false">I126+K126</f>
        <v>142041</v>
      </c>
      <c r="M126" s="48" t="n">
        <v>16.2</v>
      </c>
      <c r="N126" s="49" t="n">
        <v>3.5</v>
      </c>
      <c r="O126" s="50" t="n">
        <v>0.919</v>
      </c>
      <c r="P126" s="51" t="n">
        <v>21</v>
      </c>
      <c r="Q126" s="51" t="n">
        <v>119</v>
      </c>
      <c r="R126" s="44" t="s">
        <v>568</v>
      </c>
      <c r="S126" s="44" t="s">
        <v>569</v>
      </c>
      <c r="T126" s="43" t="s">
        <v>66</v>
      </c>
    </row>
    <row r="127" customFormat="false" ht="15" hidden="false" customHeight="false" outlineLevel="0" collapsed="false">
      <c r="A127" s="34" t="s">
        <v>570</v>
      </c>
      <c r="B127" s="35" t="s">
        <v>571</v>
      </c>
      <c r="C127" s="34" t="s">
        <v>28</v>
      </c>
      <c r="D127" s="34" t="s">
        <v>95</v>
      </c>
      <c r="E127" s="34" t="s">
        <v>136</v>
      </c>
      <c r="F127" s="34" t="s">
        <v>79</v>
      </c>
      <c r="G127" s="36" t="n">
        <v>35171</v>
      </c>
      <c r="H127" s="36" t="n">
        <v>42380</v>
      </c>
      <c r="I127" s="37" t="n">
        <v>149000</v>
      </c>
      <c r="J127" s="38" t="n">
        <v>0.067</v>
      </c>
      <c r="K127" s="37" t="n">
        <f aca="false">J127*I127</f>
        <v>9983</v>
      </c>
      <c r="L127" s="37" t="n">
        <f aca="false">I127+K127</f>
        <v>158983</v>
      </c>
      <c r="M127" s="39" t="n">
        <v>9</v>
      </c>
      <c r="N127" s="40" t="n">
        <v>4.58</v>
      </c>
      <c r="O127" s="41" t="n">
        <v>0.728</v>
      </c>
      <c r="P127" s="42" t="n">
        <v>7</v>
      </c>
      <c r="Q127" s="42" t="n">
        <v>200</v>
      </c>
      <c r="R127" s="35" t="s">
        <v>572</v>
      </c>
      <c r="S127" s="35" t="s">
        <v>573</v>
      </c>
      <c r="T127" s="34" t="s">
        <v>82</v>
      </c>
    </row>
    <row r="128" customFormat="false" ht="15" hidden="false" customHeight="false" outlineLevel="0" collapsed="false">
      <c r="A128" s="43" t="s">
        <v>574</v>
      </c>
      <c r="B128" s="44" t="s">
        <v>575</v>
      </c>
      <c r="C128" s="43" t="s">
        <v>29</v>
      </c>
      <c r="D128" s="43" t="s">
        <v>85</v>
      </c>
      <c r="E128" s="43" t="s">
        <v>136</v>
      </c>
      <c r="F128" s="43" t="s">
        <v>79</v>
      </c>
      <c r="G128" s="45" t="n">
        <v>28171</v>
      </c>
      <c r="H128" s="45" t="n">
        <v>44491</v>
      </c>
      <c r="I128" s="46" t="n">
        <v>40000</v>
      </c>
      <c r="J128" s="47" t="n">
        <v>0.197</v>
      </c>
      <c r="K128" s="46" t="n">
        <f aca="false">J128*I128</f>
        <v>7880</v>
      </c>
      <c r="L128" s="46" t="n">
        <f aca="false">I128+K128</f>
        <v>47880</v>
      </c>
      <c r="M128" s="48" t="n">
        <v>3.2</v>
      </c>
      <c r="N128" s="49" t="n">
        <v>3.9</v>
      </c>
      <c r="O128" s="50" t="n">
        <v>0.799</v>
      </c>
      <c r="P128" s="51" t="n">
        <v>8</v>
      </c>
      <c r="Q128" s="51" t="n">
        <v>115</v>
      </c>
      <c r="R128" s="44" t="s">
        <v>576</v>
      </c>
      <c r="S128" s="44" t="s">
        <v>577</v>
      </c>
      <c r="T128" s="43" t="s">
        <v>66</v>
      </c>
    </row>
    <row r="129" customFormat="false" ht="15" hidden="false" customHeight="false" outlineLevel="0" collapsed="false">
      <c r="A129" s="34" t="s">
        <v>578</v>
      </c>
      <c r="B129" s="35" t="s">
        <v>579</v>
      </c>
      <c r="C129" s="34" t="s">
        <v>30</v>
      </c>
      <c r="D129" s="34" t="s">
        <v>85</v>
      </c>
      <c r="E129" s="34" t="s">
        <v>63</v>
      </c>
      <c r="F129" s="34" t="s">
        <v>137</v>
      </c>
      <c r="G129" s="36" t="n">
        <v>28994</v>
      </c>
      <c r="H129" s="36" t="n">
        <v>43365</v>
      </c>
      <c r="I129" s="37" t="n">
        <v>182000</v>
      </c>
      <c r="J129" s="38" t="n">
        <v>0.128</v>
      </c>
      <c r="K129" s="37" t="n">
        <f aca="false">J129*I129</f>
        <v>23296</v>
      </c>
      <c r="L129" s="37" t="n">
        <f aca="false">I129+K129</f>
        <v>205296</v>
      </c>
      <c r="M129" s="39" t="n">
        <v>6.3</v>
      </c>
      <c r="N129" s="40" t="n">
        <v>2.76</v>
      </c>
      <c r="O129" s="41" t="n">
        <v>0.852</v>
      </c>
      <c r="P129" s="42" t="n">
        <v>10</v>
      </c>
      <c r="Q129" s="42" t="n">
        <v>178</v>
      </c>
      <c r="R129" s="35" t="s">
        <v>580</v>
      </c>
      <c r="S129" s="35" t="s">
        <v>581</v>
      </c>
      <c r="T129" s="34" t="s">
        <v>66</v>
      </c>
    </row>
    <row r="130" customFormat="false" ht="15" hidden="false" customHeight="false" outlineLevel="0" collapsed="false">
      <c r="A130" s="43" t="s">
        <v>582</v>
      </c>
      <c r="B130" s="44" t="s">
        <v>583</v>
      </c>
      <c r="C130" s="43" t="s">
        <v>27</v>
      </c>
      <c r="D130" s="43" t="s">
        <v>85</v>
      </c>
      <c r="E130" s="43" t="s">
        <v>131</v>
      </c>
      <c r="F130" s="43" t="s">
        <v>137</v>
      </c>
      <c r="G130" s="45" t="n">
        <v>32423</v>
      </c>
      <c r="H130" s="45" t="n">
        <v>40266</v>
      </c>
      <c r="I130" s="46" t="n">
        <v>246000</v>
      </c>
      <c r="J130" s="47" t="n">
        <v>0.189</v>
      </c>
      <c r="K130" s="46" t="n">
        <f aca="false">J130*I130</f>
        <v>46494</v>
      </c>
      <c r="L130" s="46" t="n">
        <f aca="false">I130+K130</f>
        <v>292494</v>
      </c>
      <c r="M130" s="48" t="n">
        <v>14.8</v>
      </c>
      <c r="N130" s="49" t="n">
        <v>2.79</v>
      </c>
      <c r="O130" s="50" t="n">
        <v>0.784</v>
      </c>
      <c r="P130" s="51" t="n">
        <v>15</v>
      </c>
      <c r="Q130" s="51" t="n">
        <v>119</v>
      </c>
      <c r="R130" s="44" t="s">
        <v>584</v>
      </c>
      <c r="S130" s="44" t="s">
        <v>585</v>
      </c>
      <c r="T130" s="43" t="s">
        <v>60</v>
      </c>
    </row>
    <row r="131" customFormat="false" ht="15" hidden="false" customHeight="false" outlineLevel="0" collapsed="false">
      <c r="A131" s="34" t="s">
        <v>586</v>
      </c>
      <c r="B131" s="35" t="s">
        <v>587</v>
      </c>
      <c r="C131" s="34" t="s">
        <v>33</v>
      </c>
      <c r="D131" s="34" t="s">
        <v>69</v>
      </c>
      <c r="E131" s="34" t="s">
        <v>63</v>
      </c>
      <c r="F131" s="34" t="s">
        <v>79</v>
      </c>
      <c r="G131" s="36" t="n">
        <v>35767</v>
      </c>
      <c r="H131" s="36" t="n">
        <v>41875</v>
      </c>
      <c r="I131" s="37" t="n">
        <v>197000</v>
      </c>
      <c r="J131" s="38" t="n">
        <v>0.257</v>
      </c>
      <c r="K131" s="37" t="n">
        <f aca="false">J131*I131</f>
        <v>50629</v>
      </c>
      <c r="L131" s="37" t="n">
        <f aca="false">I131+K131</f>
        <v>247629</v>
      </c>
      <c r="M131" s="39" t="n">
        <v>10.4</v>
      </c>
      <c r="N131" s="40" t="n">
        <v>3.17</v>
      </c>
      <c r="O131" s="41" t="n">
        <v>0.754</v>
      </c>
      <c r="P131" s="42" t="n">
        <v>20</v>
      </c>
      <c r="Q131" s="42" t="n">
        <v>96</v>
      </c>
      <c r="R131" s="35" t="s">
        <v>588</v>
      </c>
      <c r="S131" s="35" t="s">
        <v>589</v>
      </c>
      <c r="T131" s="34" t="s">
        <v>66</v>
      </c>
    </row>
    <row r="132" customFormat="false" ht="15" hidden="false" customHeight="false" outlineLevel="0" collapsed="false">
      <c r="A132" s="43" t="s">
        <v>590</v>
      </c>
      <c r="B132" s="44" t="s">
        <v>591</v>
      </c>
      <c r="C132" s="43" t="s">
        <v>24</v>
      </c>
      <c r="D132" s="43" t="s">
        <v>90</v>
      </c>
      <c r="E132" s="43" t="s">
        <v>136</v>
      </c>
      <c r="F132" s="43" t="s">
        <v>79</v>
      </c>
      <c r="G132" s="45" t="n">
        <v>36437</v>
      </c>
      <c r="H132" s="45" t="n">
        <v>44594</v>
      </c>
      <c r="I132" s="46" t="n">
        <v>197000</v>
      </c>
      <c r="J132" s="47" t="n">
        <v>0.15</v>
      </c>
      <c r="K132" s="46" t="n">
        <f aca="false">J132*I132</f>
        <v>29550</v>
      </c>
      <c r="L132" s="46" t="n">
        <f aca="false">I132+K132</f>
        <v>226550</v>
      </c>
      <c r="M132" s="48" t="n">
        <v>2.9</v>
      </c>
      <c r="N132" s="49" t="n">
        <v>2.85</v>
      </c>
      <c r="O132" s="50" t="n">
        <v>0.89</v>
      </c>
      <c r="P132" s="51" t="n">
        <v>2</v>
      </c>
      <c r="Q132" s="51" t="n">
        <v>33</v>
      </c>
      <c r="R132" s="44" t="s">
        <v>592</v>
      </c>
      <c r="S132" s="44" t="s">
        <v>593</v>
      </c>
      <c r="T132" s="43" t="s">
        <v>82</v>
      </c>
    </row>
    <row r="133" customFormat="false" ht="15" hidden="false" customHeight="false" outlineLevel="0" collapsed="false">
      <c r="A133" s="34" t="s">
        <v>594</v>
      </c>
      <c r="B133" s="35" t="s">
        <v>595</v>
      </c>
      <c r="C133" s="34" t="s">
        <v>32</v>
      </c>
      <c r="D133" s="34" t="s">
        <v>90</v>
      </c>
      <c r="E133" s="34" t="s">
        <v>74</v>
      </c>
      <c r="F133" s="34" t="s">
        <v>137</v>
      </c>
      <c r="G133" s="36" t="n">
        <v>24728</v>
      </c>
      <c r="H133" s="36" t="n">
        <v>40799</v>
      </c>
      <c r="I133" s="37" t="n">
        <v>143000</v>
      </c>
      <c r="J133" s="38" t="n">
        <v>0.135</v>
      </c>
      <c r="K133" s="37" t="n">
        <f aca="false">J133*I133</f>
        <v>19305</v>
      </c>
      <c r="L133" s="37" t="n">
        <f aca="false">I133+K133</f>
        <v>162305</v>
      </c>
      <c r="M133" s="39" t="n">
        <v>13.3</v>
      </c>
      <c r="N133" s="40" t="n">
        <v>3.43</v>
      </c>
      <c r="O133" s="41" t="n">
        <v>0.916</v>
      </c>
      <c r="P133" s="42" t="n">
        <v>37</v>
      </c>
      <c r="Q133" s="42" t="n">
        <v>162</v>
      </c>
      <c r="R133" s="35" t="s">
        <v>596</v>
      </c>
      <c r="S133" s="35" t="s">
        <v>597</v>
      </c>
      <c r="T133" s="34" t="s">
        <v>66</v>
      </c>
    </row>
    <row r="134" customFormat="false" ht="15" hidden="false" customHeight="false" outlineLevel="0" collapsed="false">
      <c r="A134" s="43" t="s">
        <v>598</v>
      </c>
      <c r="B134" s="44" t="s">
        <v>599</v>
      </c>
      <c r="C134" s="43" t="s">
        <v>24</v>
      </c>
      <c r="D134" s="43" t="s">
        <v>90</v>
      </c>
      <c r="E134" s="43" t="s">
        <v>136</v>
      </c>
      <c r="F134" s="43" t="s">
        <v>79</v>
      </c>
      <c r="G134" s="45" t="n">
        <v>30567</v>
      </c>
      <c r="H134" s="45" t="n">
        <v>43496</v>
      </c>
      <c r="I134" s="46" t="n">
        <v>38000</v>
      </c>
      <c r="J134" s="47" t="n">
        <v>0.218</v>
      </c>
      <c r="K134" s="46" t="n">
        <f aca="false">J134*I134</f>
        <v>8284</v>
      </c>
      <c r="L134" s="46" t="n">
        <f aca="false">I134+K134</f>
        <v>46284</v>
      </c>
      <c r="M134" s="48" t="n">
        <v>5.9</v>
      </c>
      <c r="N134" s="49" t="n">
        <v>3.18</v>
      </c>
      <c r="O134" s="50" t="n">
        <v>0.899</v>
      </c>
      <c r="P134" s="51" t="n">
        <v>32</v>
      </c>
      <c r="Q134" s="51" t="n">
        <v>165</v>
      </c>
      <c r="R134" s="44" t="s">
        <v>600</v>
      </c>
      <c r="S134" s="44" t="s">
        <v>601</v>
      </c>
      <c r="T134" s="43" t="s">
        <v>66</v>
      </c>
    </row>
    <row r="135" customFormat="false" ht="15" hidden="false" customHeight="false" outlineLevel="0" collapsed="false">
      <c r="A135" s="34" t="s">
        <v>602</v>
      </c>
      <c r="B135" s="35" t="s">
        <v>603</v>
      </c>
      <c r="C135" s="34" t="s">
        <v>30</v>
      </c>
      <c r="D135" s="34" t="s">
        <v>95</v>
      </c>
      <c r="E135" s="34" t="s">
        <v>96</v>
      </c>
      <c r="F135" s="34" t="s">
        <v>79</v>
      </c>
      <c r="G135" s="36" t="n">
        <v>27973</v>
      </c>
      <c r="H135" s="36" t="n">
        <v>42632</v>
      </c>
      <c r="I135" s="37" t="n">
        <v>54000</v>
      </c>
      <c r="J135" s="38" t="n">
        <v>0.136</v>
      </c>
      <c r="K135" s="37" t="n">
        <f aca="false">J135*I135</f>
        <v>7344</v>
      </c>
      <c r="L135" s="37" t="n">
        <f aca="false">I135+K135</f>
        <v>61344</v>
      </c>
      <c r="M135" s="39" t="n">
        <v>8.3</v>
      </c>
      <c r="N135" s="40" t="n">
        <v>2.78</v>
      </c>
      <c r="O135" s="41" t="n">
        <v>0.903</v>
      </c>
      <c r="P135" s="42" t="n">
        <v>38</v>
      </c>
      <c r="Q135" s="42" t="n">
        <v>134</v>
      </c>
      <c r="R135" s="35" t="s">
        <v>604</v>
      </c>
      <c r="S135" s="35" t="s">
        <v>605</v>
      </c>
      <c r="T135" s="34" t="s">
        <v>60</v>
      </c>
    </row>
    <row r="136" customFormat="false" ht="15" hidden="false" customHeight="false" outlineLevel="0" collapsed="false">
      <c r="A136" s="43" t="s">
        <v>606</v>
      </c>
      <c r="B136" s="44" t="s">
        <v>607</v>
      </c>
      <c r="C136" s="43" t="s">
        <v>28</v>
      </c>
      <c r="D136" s="43" t="s">
        <v>55</v>
      </c>
      <c r="E136" s="43" t="s">
        <v>96</v>
      </c>
      <c r="F136" s="43" t="s">
        <v>137</v>
      </c>
      <c r="G136" s="45" t="n">
        <v>26143</v>
      </c>
      <c r="H136" s="45" t="n">
        <v>41910</v>
      </c>
      <c r="I136" s="46" t="n">
        <v>182000</v>
      </c>
      <c r="J136" s="47" t="n">
        <v>0.064</v>
      </c>
      <c r="K136" s="46" t="n">
        <f aca="false">J136*I136</f>
        <v>11648</v>
      </c>
      <c r="L136" s="46" t="n">
        <f aca="false">I136+K136</f>
        <v>193648</v>
      </c>
      <c r="M136" s="48" t="n">
        <v>10.3</v>
      </c>
      <c r="N136" s="49" t="n">
        <v>3.01</v>
      </c>
      <c r="O136" s="50" t="n">
        <v>0.984</v>
      </c>
      <c r="P136" s="51" t="n">
        <v>9</v>
      </c>
      <c r="Q136" s="51" t="n">
        <v>75</v>
      </c>
      <c r="R136" s="44" t="s">
        <v>608</v>
      </c>
      <c r="S136" s="44" t="s">
        <v>609</v>
      </c>
      <c r="T136" s="43" t="s">
        <v>66</v>
      </c>
    </row>
    <row r="137" customFormat="false" ht="15" hidden="false" customHeight="false" outlineLevel="0" collapsed="false">
      <c r="A137" s="34" t="s">
        <v>610</v>
      </c>
      <c r="B137" s="35" t="s">
        <v>611</v>
      </c>
      <c r="C137" s="34" t="s">
        <v>29</v>
      </c>
      <c r="D137" s="34" t="s">
        <v>55</v>
      </c>
      <c r="E137" s="34" t="s">
        <v>63</v>
      </c>
      <c r="F137" s="34" t="s">
        <v>137</v>
      </c>
      <c r="G137" s="36" t="n">
        <v>33115</v>
      </c>
      <c r="H137" s="36" t="n">
        <v>41920</v>
      </c>
      <c r="I137" s="37" t="n">
        <v>220000</v>
      </c>
      <c r="J137" s="38" t="n">
        <v>0.158</v>
      </c>
      <c r="K137" s="37" t="n">
        <f aca="false">J137*I137</f>
        <v>34760</v>
      </c>
      <c r="L137" s="37" t="n">
        <f aca="false">I137+K137</f>
        <v>254760</v>
      </c>
      <c r="M137" s="39" t="n">
        <v>10.2</v>
      </c>
      <c r="N137" s="40" t="n">
        <v>2.82</v>
      </c>
      <c r="O137" s="41" t="n">
        <v>0.86</v>
      </c>
      <c r="P137" s="42" t="n">
        <v>15</v>
      </c>
      <c r="Q137" s="42" t="n">
        <v>138</v>
      </c>
      <c r="R137" s="35" t="s">
        <v>612</v>
      </c>
      <c r="S137" s="35" t="s">
        <v>613</v>
      </c>
      <c r="T137" s="34" t="s">
        <v>60</v>
      </c>
    </row>
    <row r="138" customFormat="false" ht="15" hidden="false" customHeight="false" outlineLevel="0" collapsed="false">
      <c r="A138" s="43" t="s">
        <v>614</v>
      </c>
      <c r="B138" s="44" t="s">
        <v>615</v>
      </c>
      <c r="C138" s="43" t="s">
        <v>29</v>
      </c>
      <c r="D138" s="43" t="s">
        <v>55</v>
      </c>
      <c r="E138" s="43" t="s">
        <v>74</v>
      </c>
      <c r="F138" s="43" t="s">
        <v>79</v>
      </c>
      <c r="G138" s="45" t="n">
        <v>27924</v>
      </c>
      <c r="H138" s="45" t="n">
        <v>44936</v>
      </c>
      <c r="I138" s="46" t="n">
        <v>36000</v>
      </c>
      <c r="J138" s="47" t="n">
        <v>0.159</v>
      </c>
      <c r="K138" s="46" t="n">
        <f aca="false">J138*I138</f>
        <v>5724</v>
      </c>
      <c r="L138" s="46" t="n">
        <f aca="false">I138+K138</f>
        <v>41724</v>
      </c>
      <c r="M138" s="48" t="n">
        <v>2</v>
      </c>
      <c r="N138" s="49" t="n">
        <v>3.65</v>
      </c>
      <c r="O138" s="50" t="n">
        <v>0.723</v>
      </c>
      <c r="P138" s="51" t="n">
        <v>21</v>
      </c>
      <c r="Q138" s="51" t="n">
        <v>157</v>
      </c>
      <c r="R138" s="44" t="s">
        <v>616</v>
      </c>
      <c r="S138" s="44" t="s">
        <v>617</v>
      </c>
      <c r="T138" s="43" t="s">
        <v>66</v>
      </c>
    </row>
    <row r="139" customFormat="false" ht="15" hidden="false" customHeight="false" outlineLevel="0" collapsed="false">
      <c r="A139" s="34" t="s">
        <v>618</v>
      </c>
      <c r="B139" s="35" t="s">
        <v>619</v>
      </c>
      <c r="C139" s="34" t="s">
        <v>33</v>
      </c>
      <c r="D139" s="34" t="s">
        <v>113</v>
      </c>
      <c r="E139" s="34" t="s">
        <v>74</v>
      </c>
      <c r="F139" s="34" t="s">
        <v>137</v>
      </c>
      <c r="G139" s="36" t="n">
        <v>34525</v>
      </c>
      <c r="H139" s="36" t="n">
        <v>39193</v>
      </c>
      <c r="I139" s="37" t="n">
        <v>55000</v>
      </c>
      <c r="J139" s="38" t="n">
        <v>0.151</v>
      </c>
      <c r="K139" s="37" t="n">
        <f aca="false">J139*I139</f>
        <v>8305</v>
      </c>
      <c r="L139" s="37" t="n">
        <f aca="false">I139+K139</f>
        <v>63305</v>
      </c>
      <c r="M139" s="39" t="n">
        <v>17.7</v>
      </c>
      <c r="N139" s="40" t="n">
        <v>4.92</v>
      </c>
      <c r="O139" s="41" t="n">
        <v>0.752</v>
      </c>
      <c r="P139" s="42" t="n">
        <v>40</v>
      </c>
      <c r="Q139" s="42" t="n">
        <v>127</v>
      </c>
      <c r="R139" s="35" t="s">
        <v>620</v>
      </c>
      <c r="S139" s="35" t="s">
        <v>621</v>
      </c>
      <c r="T139" s="34" t="s">
        <v>82</v>
      </c>
    </row>
    <row r="140" customFormat="false" ht="15" hidden="false" customHeight="false" outlineLevel="0" collapsed="false">
      <c r="A140" s="43" t="s">
        <v>622</v>
      </c>
      <c r="B140" s="44" t="s">
        <v>623</v>
      </c>
      <c r="C140" s="43" t="s">
        <v>29</v>
      </c>
      <c r="D140" s="43" t="s">
        <v>55</v>
      </c>
      <c r="E140" s="43" t="s">
        <v>74</v>
      </c>
      <c r="F140" s="43" t="s">
        <v>57</v>
      </c>
      <c r="G140" s="45" t="n">
        <v>28067</v>
      </c>
      <c r="H140" s="45" t="n">
        <v>39085</v>
      </c>
      <c r="I140" s="46" t="n">
        <v>88000</v>
      </c>
      <c r="J140" s="47" t="n">
        <v>0.159</v>
      </c>
      <c r="K140" s="46" t="n">
        <f aca="false">J140*I140</f>
        <v>13992</v>
      </c>
      <c r="L140" s="46" t="n">
        <f aca="false">I140+K140</f>
        <v>101992</v>
      </c>
      <c r="M140" s="48" t="n">
        <v>18</v>
      </c>
      <c r="N140" s="49" t="n">
        <v>3.5</v>
      </c>
      <c r="O140" s="50" t="n">
        <v>0.724</v>
      </c>
      <c r="P140" s="51" t="n">
        <v>20</v>
      </c>
      <c r="Q140" s="51" t="n">
        <v>200</v>
      </c>
      <c r="R140" s="44" t="s">
        <v>624</v>
      </c>
      <c r="S140" s="44" t="s">
        <v>625</v>
      </c>
      <c r="T140" s="43" t="s">
        <v>66</v>
      </c>
    </row>
    <row r="141" customFormat="false" ht="15" hidden="false" customHeight="false" outlineLevel="0" collapsed="false">
      <c r="A141" s="34" t="s">
        <v>626</v>
      </c>
      <c r="B141" s="35" t="s">
        <v>627</v>
      </c>
      <c r="C141" s="34" t="s">
        <v>27</v>
      </c>
      <c r="D141" s="34" t="s">
        <v>95</v>
      </c>
      <c r="E141" s="34" t="s">
        <v>136</v>
      </c>
      <c r="F141" s="34" t="s">
        <v>57</v>
      </c>
      <c r="G141" s="36" t="n">
        <v>27975</v>
      </c>
      <c r="H141" s="36" t="n">
        <v>44873</v>
      </c>
      <c r="I141" s="37" t="n">
        <v>158000</v>
      </c>
      <c r="J141" s="38" t="n">
        <v>0.208</v>
      </c>
      <c r="K141" s="37" t="n">
        <f aca="false">J141*I141</f>
        <v>32864</v>
      </c>
      <c r="L141" s="37" t="n">
        <f aca="false">I141+K141</f>
        <v>190864</v>
      </c>
      <c r="M141" s="39" t="n">
        <v>2.1</v>
      </c>
      <c r="N141" s="40" t="n">
        <v>3.83</v>
      </c>
      <c r="O141" s="41" t="n">
        <v>0.758</v>
      </c>
      <c r="P141" s="42" t="n">
        <v>23</v>
      </c>
      <c r="Q141" s="42" t="n">
        <v>99</v>
      </c>
      <c r="R141" s="35" t="s">
        <v>628</v>
      </c>
      <c r="S141" s="35" t="s">
        <v>629</v>
      </c>
      <c r="T141" s="34" t="s">
        <v>82</v>
      </c>
    </row>
    <row r="142" customFormat="false" ht="15" hidden="false" customHeight="false" outlineLevel="0" collapsed="false">
      <c r="A142" s="43" t="s">
        <v>630</v>
      </c>
      <c r="B142" s="44" t="s">
        <v>631</v>
      </c>
      <c r="C142" s="43" t="s">
        <v>26</v>
      </c>
      <c r="D142" s="43" t="s">
        <v>90</v>
      </c>
      <c r="E142" s="43" t="s">
        <v>131</v>
      </c>
      <c r="F142" s="43" t="s">
        <v>57</v>
      </c>
      <c r="G142" s="45" t="n">
        <v>24727</v>
      </c>
      <c r="H142" s="45" t="n">
        <v>39781</v>
      </c>
      <c r="I142" s="46" t="n">
        <v>92000</v>
      </c>
      <c r="J142" s="47" t="n">
        <v>0.099</v>
      </c>
      <c r="K142" s="46" t="n">
        <f aca="false">J142*I142</f>
        <v>9108</v>
      </c>
      <c r="L142" s="46" t="n">
        <f aca="false">I142+K142</f>
        <v>101108</v>
      </c>
      <c r="M142" s="48" t="n">
        <v>16.1</v>
      </c>
      <c r="N142" s="49" t="n">
        <v>4.01</v>
      </c>
      <c r="O142" s="50" t="n">
        <v>0.928</v>
      </c>
      <c r="P142" s="51" t="n">
        <v>5</v>
      </c>
      <c r="Q142" s="51" t="n">
        <v>55</v>
      </c>
      <c r="R142" s="44" t="s">
        <v>632</v>
      </c>
      <c r="S142" s="44" t="s">
        <v>633</v>
      </c>
      <c r="T142" s="43" t="s">
        <v>82</v>
      </c>
    </row>
    <row r="143" customFormat="false" ht="15" hidden="false" customHeight="false" outlineLevel="0" collapsed="false">
      <c r="A143" s="34" t="s">
        <v>634</v>
      </c>
      <c r="B143" s="35" t="s">
        <v>635</v>
      </c>
      <c r="C143" s="34" t="s">
        <v>31</v>
      </c>
      <c r="D143" s="34" t="s">
        <v>113</v>
      </c>
      <c r="E143" s="34" t="s">
        <v>126</v>
      </c>
      <c r="F143" s="34" t="s">
        <v>79</v>
      </c>
      <c r="G143" s="36" t="n">
        <v>26024</v>
      </c>
      <c r="H143" s="36" t="n">
        <v>42125</v>
      </c>
      <c r="I143" s="37" t="n">
        <v>172000</v>
      </c>
      <c r="J143" s="38" t="n">
        <v>0.211</v>
      </c>
      <c r="K143" s="37" t="n">
        <f aca="false">J143*I143</f>
        <v>36292</v>
      </c>
      <c r="L143" s="37" t="n">
        <f aca="false">I143+K143</f>
        <v>208292</v>
      </c>
      <c r="M143" s="39" t="n">
        <v>9.7</v>
      </c>
      <c r="N143" s="40" t="n">
        <v>4.97</v>
      </c>
      <c r="O143" s="41" t="n">
        <v>0.797</v>
      </c>
      <c r="P143" s="42" t="n">
        <v>21</v>
      </c>
      <c r="Q143" s="42" t="n">
        <v>48</v>
      </c>
      <c r="R143" s="35" t="s">
        <v>636</v>
      </c>
      <c r="S143" s="35" t="s">
        <v>637</v>
      </c>
      <c r="T143" s="34" t="s">
        <v>66</v>
      </c>
    </row>
    <row r="144" customFormat="false" ht="15" hidden="false" customHeight="false" outlineLevel="0" collapsed="false">
      <c r="A144" s="43" t="s">
        <v>638</v>
      </c>
      <c r="B144" s="44" t="s">
        <v>639</v>
      </c>
      <c r="C144" s="43" t="s">
        <v>25</v>
      </c>
      <c r="D144" s="43" t="s">
        <v>113</v>
      </c>
      <c r="E144" s="43" t="s">
        <v>126</v>
      </c>
      <c r="F144" s="43" t="s">
        <v>79</v>
      </c>
      <c r="G144" s="45" t="n">
        <v>27819</v>
      </c>
      <c r="H144" s="45" t="n">
        <v>40211</v>
      </c>
      <c r="I144" s="46" t="n">
        <v>104000</v>
      </c>
      <c r="J144" s="47" t="n">
        <v>0.249</v>
      </c>
      <c r="K144" s="46" t="n">
        <f aca="false">J144*I144</f>
        <v>25896</v>
      </c>
      <c r="L144" s="46" t="n">
        <f aca="false">I144+K144</f>
        <v>129896</v>
      </c>
      <c r="M144" s="48" t="n">
        <v>14.9</v>
      </c>
      <c r="N144" s="49" t="n">
        <v>3.98</v>
      </c>
      <c r="O144" s="50" t="n">
        <v>0.806</v>
      </c>
      <c r="P144" s="51" t="n">
        <v>5</v>
      </c>
      <c r="Q144" s="51" t="n">
        <v>89</v>
      </c>
      <c r="R144" s="44" t="s">
        <v>640</v>
      </c>
      <c r="S144" s="44" t="s">
        <v>641</v>
      </c>
      <c r="T144" s="43" t="s">
        <v>66</v>
      </c>
    </row>
    <row r="145" customFormat="false" ht="15" hidden="false" customHeight="false" outlineLevel="0" collapsed="false">
      <c r="A145" s="34" t="s">
        <v>642</v>
      </c>
      <c r="B145" s="35" t="s">
        <v>643</v>
      </c>
      <c r="C145" s="34" t="s">
        <v>31</v>
      </c>
      <c r="D145" s="34" t="s">
        <v>55</v>
      </c>
      <c r="E145" s="34" t="s">
        <v>63</v>
      </c>
      <c r="F145" s="34" t="s">
        <v>137</v>
      </c>
      <c r="G145" s="36" t="n">
        <v>26251</v>
      </c>
      <c r="H145" s="36" t="n">
        <v>40904</v>
      </c>
      <c r="I145" s="37" t="n">
        <v>243000</v>
      </c>
      <c r="J145" s="38" t="n">
        <v>0.122</v>
      </c>
      <c r="K145" s="37" t="n">
        <f aca="false">J145*I145</f>
        <v>29646</v>
      </c>
      <c r="L145" s="37" t="n">
        <f aca="false">I145+K145</f>
        <v>272646</v>
      </c>
      <c r="M145" s="39" t="n">
        <v>13</v>
      </c>
      <c r="N145" s="40" t="n">
        <v>4.11</v>
      </c>
      <c r="O145" s="41" t="n">
        <v>0.993</v>
      </c>
      <c r="P145" s="42" t="n">
        <v>6</v>
      </c>
      <c r="Q145" s="42" t="n">
        <v>167</v>
      </c>
      <c r="R145" s="35" t="s">
        <v>644</v>
      </c>
      <c r="S145" s="35" t="s">
        <v>645</v>
      </c>
      <c r="T145" s="34" t="s">
        <v>60</v>
      </c>
    </row>
    <row r="146" customFormat="false" ht="15" hidden="false" customHeight="false" outlineLevel="0" collapsed="false">
      <c r="A146" s="43" t="s">
        <v>646</v>
      </c>
      <c r="B146" s="44" t="s">
        <v>647</v>
      </c>
      <c r="C146" s="43" t="s">
        <v>32</v>
      </c>
      <c r="D146" s="43" t="s">
        <v>113</v>
      </c>
      <c r="E146" s="43" t="s">
        <v>126</v>
      </c>
      <c r="F146" s="43" t="s">
        <v>79</v>
      </c>
      <c r="G146" s="45" t="n">
        <v>35703</v>
      </c>
      <c r="H146" s="45" t="n">
        <v>39590</v>
      </c>
      <c r="I146" s="46" t="n">
        <v>170000</v>
      </c>
      <c r="J146" s="47" t="n">
        <v>0.289</v>
      </c>
      <c r="K146" s="46" t="n">
        <f aca="false">J146*I146</f>
        <v>49130</v>
      </c>
      <c r="L146" s="46" t="n">
        <f aca="false">I146+K146</f>
        <v>219130</v>
      </c>
      <c r="M146" s="48" t="n">
        <v>16.6</v>
      </c>
      <c r="N146" s="49" t="n">
        <v>4.35</v>
      </c>
      <c r="O146" s="50" t="n">
        <v>0.712</v>
      </c>
      <c r="P146" s="51" t="n">
        <v>37</v>
      </c>
      <c r="Q146" s="51" t="n">
        <v>176</v>
      </c>
      <c r="R146" s="44" t="s">
        <v>648</v>
      </c>
      <c r="S146" s="44" t="s">
        <v>649</v>
      </c>
      <c r="T146" s="43" t="s">
        <v>66</v>
      </c>
    </row>
    <row r="147" customFormat="false" ht="15" hidden="false" customHeight="false" outlineLevel="0" collapsed="false">
      <c r="A147" s="34" t="s">
        <v>650</v>
      </c>
      <c r="B147" s="35" t="s">
        <v>651</v>
      </c>
      <c r="C147" s="34" t="s">
        <v>29</v>
      </c>
      <c r="D147" s="34" t="s">
        <v>69</v>
      </c>
      <c r="E147" s="34" t="s">
        <v>126</v>
      </c>
      <c r="F147" s="34" t="s">
        <v>79</v>
      </c>
      <c r="G147" s="36" t="n">
        <v>24914</v>
      </c>
      <c r="H147" s="36" t="n">
        <v>38812</v>
      </c>
      <c r="I147" s="37" t="n">
        <v>64000</v>
      </c>
      <c r="J147" s="38" t="n">
        <v>0.289</v>
      </c>
      <c r="K147" s="37" t="n">
        <f aca="false">J147*I147</f>
        <v>18496</v>
      </c>
      <c r="L147" s="37" t="n">
        <f aca="false">I147+K147</f>
        <v>82496</v>
      </c>
      <c r="M147" s="39" t="n">
        <v>18.7</v>
      </c>
      <c r="N147" s="40" t="n">
        <v>3.63</v>
      </c>
      <c r="O147" s="41" t="n">
        <v>0.943</v>
      </c>
      <c r="P147" s="42" t="n">
        <v>22</v>
      </c>
      <c r="Q147" s="42" t="n">
        <v>192</v>
      </c>
      <c r="R147" s="35" t="s">
        <v>652</v>
      </c>
      <c r="S147" s="35" t="s">
        <v>653</v>
      </c>
      <c r="T147" s="34" t="s">
        <v>66</v>
      </c>
    </row>
    <row r="148" customFormat="false" ht="15" hidden="false" customHeight="false" outlineLevel="0" collapsed="false">
      <c r="A148" s="43" t="s">
        <v>654</v>
      </c>
      <c r="B148" s="44" t="s">
        <v>655</v>
      </c>
      <c r="C148" s="43" t="s">
        <v>32</v>
      </c>
      <c r="D148" s="43" t="s">
        <v>142</v>
      </c>
      <c r="E148" s="43" t="s">
        <v>136</v>
      </c>
      <c r="F148" s="43" t="s">
        <v>57</v>
      </c>
      <c r="G148" s="45" t="n">
        <v>28336</v>
      </c>
      <c r="H148" s="45" t="n">
        <v>41528</v>
      </c>
      <c r="I148" s="46" t="n">
        <v>89000</v>
      </c>
      <c r="J148" s="47" t="n">
        <v>0.227</v>
      </c>
      <c r="K148" s="46" t="n">
        <f aca="false">J148*I148</f>
        <v>20203</v>
      </c>
      <c r="L148" s="46" t="n">
        <f aca="false">I148+K148</f>
        <v>109203</v>
      </c>
      <c r="M148" s="48" t="n">
        <v>11.3</v>
      </c>
      <c r="N148" s="49" t="n">
        <v>4.98</v>
      </c>
      <c r="O148" s="50" t="n">
        <v>0.857</v>
      </c>
      <c r="P148" s="51" t="n">
        <v>40</v>
      </c>
      <c r="Q148" s="51" t="n">
        <v>50</v>
      </c>
      <c r="R148" s="44" t="s">
        <v>656</v>
      </c>
      <c r="S148" s="44" t="s">
        <v>657</v>
      </c>
      <c r="T148" s="43" t="s">
        <v>66</v>
      </c>
    </row>
    <row r="149" customFormat="false" ht="15" hidden="false" customHeight="false" outlineLevel="0" collapsed="false">
      <c r="A149" s="34" t="s">
        <v>658</v>
      </c>
      <c r="B149" s="35" t="s">
        <v>659</v>
      </c>
      <c r="C149" s="34" t="s">
        <v>29</v>
      </c>
      <c r="D149" s="34" t="s">
        <v>95</v>
      </c>
      <c r="E149" s="34" t="s">
        <v>74</v>
      </c>
      <c r="F149" s="34" t="s">
        <v>137</v>
      </c>
      <c r="G149" s="36" t="n">
        <v>35187</v>
      </c>
      <c r="H149" s="36" t="n">
        <v>40909</v>
      </c>
      <c r="I149" s="37" t="n">
        <v>228000</v>
      </c>
      <c r="J149" s="38" t="n">
        <v>0.135</v>
      </c>
      <c r="K149" s="37" t="n">
        <f aca="false">J149*I149</f>
        <v>30780</v>
      </c>
      <c r="L149" s="37" t="n">
        <f aca="false">I149+K149</f>
        <v>258780</v>
      </c>
      <c r="M149" s="39" t="n">
        <v>13</v>
      </c>
      <c r="N149" s="40" t="n">
        <v>3.99</v>
      </c>
      <c r="O149" s="41" t="n">
        <v>0.937</v>
      </c>
      <c r="P149" s="42" t="n">
        <v>22</v>
      </c>
      <c r="Q149" s="42" t="n">
        <v>26</v>
      </c>
      <c r="R149" s="35" t="s">
        <v>660</v>
      </c>
      <c r="S149" s="35" t="s">
        <v>661</v>
      </c>
      <c r="T149" s="34" t="s">
        <v>66</v>
      </c>
    </row>
    <row r="150" customFormat="false" ht="15" hidden="false" customHeight="false" outlineLevel="0" collapsed="false">
      <c r="A150" s="43" t="s">
        <v>662</v>
      </c>
      <c r="B150" s="44" t="s">
        <v>663</v>
      </c>
      <c r="C150" s="43" t="s">
        <v>25</v>
      </c>
      <c r="D150" s="43" t="s">
        <v>69</v>
      </c>
      <c r="E150" s="43" t="s">
        <v>74</v>
      </c>
      <c r="F150" s="43" t="s">
        <v>137</v>
      </c>
      <c r="G150" s="45" t="n">
        <v>28222</v>
      </c>
      <c r="H150" s="45" t="n">
        <v>44164</v>
      </c>
      <c r="I150" s="46" t="n">
        <v>91000</v>
      </c>
      <c r="J150" s="47" t="n">
        <v>0.231</v>
      </c>
      <c r="K150" s="46" t="n">
        <f aca="false">J150*I150</f>
        <v>21021</v>
      </c>
      <c r="L150" s="46" t="n">
        <f aca="false">I150+K150</f>
        <v>112021</v>
      </c>
      <c r="M150" s="48" t="n">
        <v>4.1</v>
      </c>
      <c r="N150" s="49" t="n">
        <v>4.14</v>
      </c>
      <c r="O150" s="50" t="n">
        <v>0.972</v>
      </c>
      <c r="P150" s="51" t="n">
        <v>10</v>
      </c>
      <c r="Q150" s="51" t="n">
        <v>95</v>
      </c>
      <c r="R150" s="44" t="s">
        <v>664</v>
      </c>
      <c r="S150" s="44" t="s">
        <v>665</v>
      </c>
      <c r="T150" s="43" t="s">
        <v>66</v>
      </c>
    </row>
    <row r="151" customFormat="false" ht="15" hidden="false" customHeight="false" outlineLevel="0" collapsed="false">
      <c r="A151" s="34" t="s">
        <v>666</v>
      </c>
      <c r="B151" s="35" t="s">
        <v>667</v>
      </c>
      <c r="C151" s="34" t="s">
        <v>33</v>
      </c>
      <c r="D151" s="34" t="s">
        <v>142</v>
      </c>
      <c r="E151" s="34" t="s">
        <v>136</v>
      </c>
      <c r="F151" s="34" t="s">
        <v>137</v>
      </c>
      <c r="G151" s="36" t="n">
        <v>35927</v>
      </c>
      <c r="H151" s="36" t="n">
        <v>44123</v>
      </c>
      <c r="I151" s="37" t="n">
        <v>106000</v>
      </c>
      <c r="J151" s="38" t="n">
        <v>0.292</v>
      </c>
      <c r="K151" s="37" t="n">
        <f aca="false">J151*I151</f>
        <v>30952</v>
      </c>
      <c r="L151" s="37" t="n">
        <f aca="false">I151+K151</f>
        <v>136952</v>
      </c>
      <c r="M151" s="39" t="n">
        <v>4.2</v>
      </c>
      <c r="N151" s="40" t="n">
        <v>4.25</v>
      </c>
      <c r="O151" s="41" t="n">
        <v>0.818</v>
      </c>
      <c r="P151" s="42" t="n">
        <v>39</v>
      </c>
      <c r="Q151" s="42" t="n">
        <v>191</v>
      </c>
      <c r="R151" s="35" t="s">
        <v>668</v>
      </c>
      <c r="S151" s="35" t="s">
        <v>669</v>
      </c>
      <c r="T151" s="34" t="s">
        <v>66</v>
      </c>
    </row>
    <row r="152" customFormat="false" ht="15" hidden="false" customHeight="false" outlineLevel="0" collapsed="false">
      <c r="A152" s="43" t="s">
        <v>670</v>
      </c>
      <c r="B152" s="44" t="s">
        <v>671</v>
      </c>
      <c r="C152" s="43" t="s">
        <v>28</v>
      </c>
      <c r="D152" s="43" t="s">
        <v>69</v>
      </c>
      <c r="E152" s="43" t="s">
        <v>74</v>
      </c>
      <c r="F152" s="43" t="s">
        <v>79</v>
      </c>
      <c r="G152" s="45" t="n">
        <v>25424</v>
      </c>
      <c r="H152" s="45" t="n">
        <v>39404</v>
      </c>
      <c r="I152" s="46" t="n">
        <v>232000</v>
      </c>
      <c r="J152" s="47" t="n">
        <v>0.132</v>
      </c>
      <c r="K152" s="46" t="n">
        <f aca="false">J152*I152</f>
        <v>30624</v>
      </c>
      <c r="L152" s="46" t="n">
        <f aca="false">I152+K152</f>
        <v>262624</v>
      </c>
      <c r="M152" s="48" t="n">
        <v>17.1</v>
      </c>
      <c r="N152" s="49" t="n">
        <v>2.82</v>
      </c>
      <c r="O152" s="50" t="n">
        <v>0.911</v>
      </c>
      <c r="P152" s="51" t="n">
        <v>34</v>
      </c>
      <c r="Q152" s="51" t="n">
        <v>33</v>
      </c>
      <c r="R152" s="44" t="s">
        <v>672</v>
      </c>
      <c r="S152" s="44" t="s">
        <v>673</v>
      </c>
      <c r="T152" s="43" t="s">
        <v>82</v>
      </c>
    </row>
    <row r="153" customFormat="false" ht="15" hidden="false" customHeight="false" outlineLevel="0" collapsed="false">
      <c r="A153" s="34" t="s">
        <v>674</v>
      </c>
      <c r="B153" s="35" t="s">
        <v>675</v>
      </c>
      <c r="C153" s="34" t="s">
        <v>30</v>
      </c>
      <c r="D153" s="34" t="s">
        <v>69</v>
      </c>
      <c r="E153" s="34" t="s">
        <v>151</v>
      </c>
      <c r="F153" s="34" t="s">
        <v>57</v>
      </c>
      <c r="G153" s="36" t="n">
        <v>27637</v>
      </c>
      <c r="H153" s="36" t="n">
        <v>42546</v>
      </c>
      <c r="I153" s="37" t="n">
        <v>120000</v>
      </c>
      <c r="J153" s="38" t="n">
        <v>0.127</v>
      </c>
      <c r="K153" s="37" t="n">
        <f aca="false">J153*I153</f>
        <v>15240</v>
      </c>
      <c r="L153" s="37" t="n">
        <f aca="false">I153+K153</f>
        <v>135240</v>
      </c>
      <c r="M153" s="39" t="n">
        <v>8.5</v>
      </c>
      <c r="N153" s="40" t="n">
        <v>4.88</v>
      </c>
      <c r="O153" s="41" t="n">
        <v>0.803</v>
      </c>
      <c r="P153" s="42" t="n">
        <v>32</v>
      </c>
      <c r="Q153" s="42" t="n">
        <v>59</v>
      </c>
      <c r="R153" s="35" t="s">
        <v>676</v>
      </c>
      <c r="S153" s="35" t="s">
        <v>677</v>
      </c>
      <c r="T153" s="34" t="s">
        <v>66</v>
      </c>
    </row>
    <row r="154" customFormat="false" ht="15" hidden="false" customHeight="false" outlineLevel="0" collapsed="false">
      <c r="A154" s="43" t="s">
        <v>678</v>
      </c>
      <c r="B154" s="44" t="s">
        <v>679</v>
      </c>
      <c r="C154" s="43" t="s">
        <v>26</v>
      </c>
      <c r="D154" s="43" t="s">
        <v>90</v>
      </c>
      <c r="E154" s="43" t="s">
        <v>131</v>
      </c>
      <c r="F154" s="43" t="s">
        <v>137</v>
      </c>
      <c r="G154" s="45" t="n">
        <v>26520</v>
      </c>
      <c r="H154" s="45" t="n">
        <v>43659</v>
      </c>
      <c r="I154" s="46" t="n">
        <v>246000</v>
      </c>
      <c r="J154" s="47" t="n">
        <v>0.247</v>
      </c>
      <c r="K154" s="46" t="n">
        <f aca="false">J154*I154</f>
        <v>60762</v>
      </c>
      <c r="L154" s="46" t="n">
        <f aca="false">I154+K154</f>
        <v>306762</v>
      </c>
      <c r="M154" s="48" t="n">
        <v>5.5</v>
      </c>
      <c r="N154" s="49" t="n">
        <v>3.77</v>
      </c>
      <c r="O154" s="50" t="n">
        <v>0.862</v>
      </c>
      <c r="P154" s="51" t="n">
        <v>34</v>
      </c>
      <c r="Q154" s="51" t="n">
        <v>19</v>
      </c>
      <c r="R154" s="44" t="s">
        <v>680</v>
      </c>
      <c r="S154" s="44" t="s">
        <v>681</v>
      </c>
      <c r="T154" s="43" t="s">
        <v>82</v>
      </c>
    </row>
    <row r="155" customFormat="false" ht="15" hidden="false" customHeight="false" outlineLevel="0" collapsed="false">
      <c r="A155" s="34" t="s">
        <v>682</v>
      </c>
      <c r="B155" s="35" t="s">
        <v>683</v>
      </c>
      <c r="C155" s="34" t="s">
        <v>29</v>
      </c>
      <c r="D155" s="34" t="s">
        <v>85</v>
      </c>
      <c r="E155" s="34" t="s">
        <v>136</v>
      </c>
      <c r="F155" s="34" t="s">
        <v>79</v>
      </c>
      <c r="G155" s="36" t="n">
        <v>36574</v>
      </c>
      <c r="H155" s="36" t="n">
        <v>41863</v>
      </c>
      <c r="I155" s="37" t="n">
        <v>123000</v>
      </c>
      <c r="J155" s="38" t="n">
        <v>0.089</v>
      </c>
      <c r="K155" s="37" t="n">
        <f aca="false">J155*I155</f>
        <v>10947</v>
      </c>
      <c r="L155" s="37" t="n">
        <f aca="false">I155+K155</f>
        <v>133947</v>
      </c>
      <c r="M155" s="39" t="n">
        <v>10.4</v>
      </c>
      <c r="N155" s="40" t="n">
        <v>2.95</v>
      </c>
      <c r="O155" s="41" t="n">
        <v>0.908</v>
      </c>
      <c r="P155" s="42" t="n">
        <v>40</v>
      </c>
      <c r="Q155" s="42" t="n">
        <v>52</v>
      </c>
      <c r="R155" s="35" t="s">
        <v>684</v>
      </c>
      <c r="S155" s="35" t="s">
        <v>685</v>
      </c>
      <c r="T155" s="34" t="s">
        <v>82</v>
      </c>
    </row>
    <row r="156" customFormat="false" ht="15" hidden="false" customHeight="false" outlineLevel="0" collapsed="false">
      <c r="A156" s="43" t="s">
        <v>686</v>
      </c>
      <c r="B156" s="44" t="s">
        <v>687</v>
      </c>
      <c r="C156" s="43" t="s">
        <v>31</v>
      </c>
      <c r="D156" s="43" t="s">
        <v>55</v>
      </c>
      <c r="E156" s="43" t="s">
        <v>74</v>
      </c>
      <c r="F156" s="43" t="s">
        <v>137</v>
      </c>
      <c r="G156" s="45" t="n">
        <v>34512</v>
      </c>
      <c r="H156" s="45" t="n">
        <v>42247</v>
      </c>
      <c r="I156" s="46" t="n">
        <v>202000</v>
      </c>
      <c r="J156" s="47" t="n">
        <v>0.23</v>
      </c>
      <c r="K156" s="46" t="n">
        <f aca="false">J156*I156</f>
        <v>46460</v>
      </c>
      <c r="L156" s="46" t="n">
        <f aca="false">I156+K156</f>
        <v>248460</v>
      </c>
      <c r="M156" s="48" t="n">
        <v>9.3</v>
      </c>
      <c r="N156" s="49" t="n">
        <v>4.92</v>
      </c>
      <c r="O156" s="50" t="n">
        <v>0.883</v>
      </c>
      <c r="P156" s="51" t="n">
        <v>29</v>
      </c>
      <c r="Q156" s="51" t="n">
        <v>69</v>
      </c>
      <c r="R156" s="44" t="s">
        <v>688</v>
      </c>
      <c r="S156" s="44" t="s">
        <v>689</v>
      </c>
      <c r="T156" s="43" t="s">
        <v>60</v>
      </c>
    </row>
    <row r="157" customFormat="false" ht="15" hidden="false" customHeight="false" outlineLevel="0" collapsed="false">
      <c r="A157" s="34" t="s">
        <v>690</v>
      </c>
      <c r="B157" s="35" t="s">
        <v>691</v>
      </c>
      <c r="C157" s="34" t="s">
        <v>27</v>
      </c>
      <c r="D157" s="34" t="s">
        <v>95</v>
      </c>
      <c r="E157" s="34" t="s">
        <v>126</v>
      </c>
      <c r="F157" s="34" t="s">
        <v>57</v>
      </c>
      <c r="G157" s="36" t="n">
        <v>33547</v>
      </c>
      <c r="H157" s="36" t="n">
        <v>40470</v>
      </c>
      <c r="I157" s="37" t="n">
        <v>121000</v>
      </c>
      <c r="J157" s="38" t="n">
        <v>0.22</v>
      </c>
      <c r="K157" s="37" t="n">
        <f aca="false">J157*I157</f>
        <v>26620</v>
      </c>
      <c r="L157" s="37" t="n">
        <f aca="false">I157+K157</f>
        <v>147620</v>
      </c>
      <c r="M157" s="39" t="n">
        <v>14.2</v>
      </c>
      <c r="N157" s="40" t="n">
        <v>3.93</v>
      </c>
      <c r="O157" s="41" t="n">
        <v>0.832</v>
      </c>
      <c r="P157" s="42" t="n">
        <v>19</v>
      </c>
      <c r="Q157" s="42" t="n">
        <v>107</v>
      </c>
      <c r="R157" s="35" t="s">
        <v>692</v>
      </c>
      <c r="S157" s="35" t="s">
        <v>693</v>
      </c>
      <c r="T157" s="34" t="s">
        <v>60</v>
      </c>
    </row>
    <row r="158" customFormat="false" ht="15" hidden="false" customHeight="false" outlineLevel="0" collapsed="false">
      <c r="A158" s="43" t="s">
        <v>694</v>
      </c>
      <c r="B158" s="44" t="s">
        <v>695</v>
      </c>
      <c r="C158" s="43" t="s">
        <v>32</v>
      </c>
      <c r="D158" s="43" t="s">
        <v>113</v>
      </c>
      <c r="E158" s="43" t="s">
        <v>136</v>
      </c>
      <c r="F158" s="43" t="s">
        <v>57</v>
      </c>
      <c r="G158" s="45" t="n">
        <v>30984</v>
      </c>
      <c r="H158" s="45" t="n">
        <v>44724</v>
      </c>
      <c r="I158" s="46" t="n">
        <v>235000</v>
      </c>
      <c r="J158" s="47" t="n">
        <v>0.201</v>
      </c>
      <c r="K158" s="46" t="n">
        <f aca="false">J158*I158</f>
        <v>47235</v>
      </c>
      <c r="L158" s="46" t="n">
        <f aca="false">I158+K158</f>
        <v>282235</v>
      </c>
      <c r="M158" s="48" t="n">
        <v>2.6</v>
      </c>
      <c r="N158" s="49" t="n">
        <v>4.68</v>
      </c>
      <c r="O158" s="50" t="n">
        <v>0.716</v>
      </c>
      <c r="P158" s="51" t="n">
        <v>31</v>
      </c>
      <c r="Q158" s="51" t="n">
        <v>105</v>
      </c>
      <c r="R158" s="44" t="s">
        <v>696</v>
      </c>
      <c r="S158" s="44" t="s">
        <v>697</v>
      </c>
      <c r="T158" s="43" t="s">
        <v>60</v>
      </c>
    </row>
    <row r="159" customFormat="false" ht="15" hidden="false" customHeight="false" outlineLevel="0" collapsed="false">
      <c r="A159" s="34" t="s">
        <v>698</v>
      </c>
      <c r="B159" s="35" t="s">
        <v>699</v>
      </c>
      <c r="C159" s="34" t="s">
        <v>25</v>
      </c>
      <c r="D159" s="34" t="s">
        <v>142</v>
      </c>
      <c r="E159" s="34" t="s">
        <v>131</v>
      </c>
      <c r="F159" s="34" t="s">
        <v>137</v>
      </c>
      <c r="G159" s="36" t="n">
        <v>25778</v>
      </c>
      <c r="H159" s="36" t="n">
        <v>40800</v>
      </c>
      <c r="I159" s="37" t="n">
        <v>46000</v>
      </c>
      <c r="J159" s="38" t="n">
        <v>0.241</v>
      </c>
      <c r="K159" s="37" t="n">
        <f aca="false">J159*I159</f>
        <v>11086</v>
      </c>
      <c r="L159" s="37" t="n">
        <f aca="false">I159+K159</f>
        <v>57086</v>
      </c>
      <c r="M159" s="39" t="n">
        <v>13.3</v>
      </c>
      <c r="N159" s="40" t="n">
        <v>3.18</v>
      </c>
      <c r="O159" s="41" t="n">
        <v>0.972</v>
      </c>
      <c r="P159" s="42" t="n">
        <v>10</v>
      </c>
      <c r="Q159" s="42" t="n">
        <v>121</v>
      </c>
      <c r="R159" s="35" t="s">
        <v>700</v>
      </c>
      <c r="S159" s="35" t="s">
        <v>701</v>
      </c>
      <c r="T159" s="34" t="s">
        <v>66</v>
      </c>
    </row>
    <row r="160" customFormat="false" ht="15" hidden="false" customHeight="false" outlineLevel="0" collapsed="false">
      <c r="A160" s="43" t="s">
        <v>702</v>
      </c>
      <c r="B160" s="44" t="s">
        <v>703</v>
      </c>
      <c r="C160" s="43" t="s">
        <v>27</v>
      </c>
      <c r="D160" s="43" t="s">
        <v>85</v>
      </c>
      <c r="E160" s="43" t="s">
        <v>126</v>
      </c>
      <c r="F160" s="43" t="s">
        <v>137</v>
      </c>
      <c r="G160" s="45" t="n">
        <v>37449</v>
      </c>
      <c r="H160" s="45" t="n">
        <v>41550</v>
      </c>
      <c r="I160" s="46" t="n">
        <v>31000</v>
      </c>
      <c r="J160" s="47" t="n">
        <v>0.154</v>
      </c>
      <c r="K160" s="46" t="n">
        <f aca="false">J160*I160</f>
        <v>4774</v>
      </c>
      <c r="L160" s="46" t="n">
        <f aca="false">I160+K160</f>
        <v>35774</v>
      </c>
      <c r="M160" s="48" t="n">
        <v>11.2</v>
      </c>
      <c r="N160" s="49" t="n">
        <v>3.49</v>
      </c>
      <c r="O160" s="50" t="n">
        <v>0.812</v>
      </c>
      <c r="P160" s="51" t="n">
        <v>25</v>
      </c>
      <c r="Q160" s="51" t="n">
        <v>30</v>
      </c>
      <c r="R160" s="44" t="s">
        <v>704</v>
      </c>
      <c r="S160" s="44" t="s">
        <v>705</v>
      </c>
      <c r="T160" s="43" t="s">
        <v>66</v>
      </c>
    </row>
    <row r="161" customFormat="false" ht="15" hidden="false" customHeight="false" outlineLevel="0" collapsed="false">
      <c r="A161" s="34" t="s">
        <v>706</v>
      </c>
      <c r="B161" s="35" t="s">
        <v>707</v>
      </c>
      <c r="C161" s="34" t="s">
        <v>27</v>
      </c>
      <c r="D161" s="34" t="s">
        <v>55</v>
      </c>
      <c r="E161" s="34" t="s">
        <v>151</v>
      </c>
      <c r="F161" s="34" t="s">
        <v>57</v>
      </c>
      <c r="G161" s="36" t="n">
        <v>35250</v>
      </c>
      <c r="H161" s="36" t="n">
        <v>42789</v>
      </c>
      <c r="I161" s="37" t="n">
        <v>244000</v>
      </c>
      <c r="J161" s="38" t="n">
        <v>0.229</v>
      </c>
      <c r="K161" s="37" t="n">
        <f aca="false">J161*I161</f>
        <v>55876</v>
      </c>
      <c r="L161" s="37" t="n">
        <f aca="false">I161+K161</f>
        <v>299876</v>
      </c>
      <c r="M161" s="39" t="n">
        <v>7.9</v>
      </c>
      <c r="N161" s="40" t="n">
        <v>3.34</v>
      </c>
      <c r="O161" s="41" t="n">
        <v>0.744</v>
      </c>
      <c r="P161" s="42" t="n">
        <v>3</v>
      </c>
      <c r="Q161" s="42" t="n">
        <v>83</v>
      </c>
      <c r="R161" s="35" t="s">
        <v>708</v>
      </c>
      <c r="S161" s="35" t="s">
        <v>709</v>
      </c>
      <c r="T161" s="34" t="s">
        <v>66</v>
      </c>
    </row>
    <row r="162" customFormat="false" ht="15" hidden="false" customHeight="false" outlineLevel="0" collapsed="false">
      <c r="A162" s="43" t="s">
        <v>710</v>
      </c>
      <c r="B162" s="44" t="s">
        <v>711</v>
      </c>
      <c r="C162" s="43" t="s">
        <v>26</v>
      </c>
      <c r="D162" s="43" t="s">
        <v>85</v>
      </c>
      <c r="E162" s="43" t="s">
        <v>126</v>
      </c>
      <c r="F162" s="43" t="s">
        <v>137</v>
      </c>
      <c r="G162" s="45" t="n">
        <v>25126</v>
      </c>
      <c r="H162" s="45" t="n">
        <v>40313</v>
      </c>
      <c r="I162" s="46" t="n">
        <v>186000</v>
      </c>
      <c r="J162" s="47" t="n">
        <v>0.051</v>
      </c>
      <c r="K162" s="46" t="n">
        <f aca="false">J162*I162</f>
        <v>9486</v>
      </c>
      <c r="L162" s="46" t="n">
        <f aca="false">I162+K162</f>
        <v>195486</v>
      </c>
      <c r="M162" s="48" t="n">
        <v>14.6</v>
      </c>
      <c r="N162" s="49" t="n">
        <v>2.7</v>
      </c>
      <c r="O162" s="50" t="n">
        <v>0.777</v>
      </c>
      <c r="P162" s="51" t="n">
        <v>10</v>
      </c>
      <c r="Q162" s="51" t="n">
        <v>150</v>
      </c>
      <c r="R162" s="44" t="s">
        <v>712</v>
      </c>
      <c r="S162" s="44" t="s">
        <v>713</v>
      </c>
      <c r="T162" s="43" t="s">
        <v>82</v>
      </c>
    </row>
    <row r="163" customFormat="false" ht="15" hidden="false" customHeight="false" outlineLevel="0" collapsed="false">
      <c r="A163" s="34" t="s">
        <v>714</v>
      </c>
      <c r="B163" s="35" t="s">
        <v>715</v>
      </c>
      <c r="C163" s="34" t="s">
        <v>33</v>
      </c>
      <c r="D163" s="34" t="s">
        <v>69</v>
      </c>
      <c r="E163" s="34" t="s">
        <v>74</v>
      </c>
      <c r="F163" s="34" t="s">
        <v>57</v>
      </c>
      <c r="G163" s="36" t="n">
        <v>36219</v>
      </c>
      <c r="H163" s="36" t="n">
        <v>43229</v>
      </c>
      <c r="I163" s="37" t="n">
        <v>228000</v>
      </c>
      <c r="J163" s="38" t="n">
        <v>0.122</v>
      </c>
      <c r="K163" s="37" t="n">
        <f aca="false">J163*I163</f>
        <v>27816</v>
      </c>
      <c r="L163" s="37" t="n">
        <f aca="false">I163+K163</f>
        <v>255816</v>
      </c>
      <c r="M163" s="39" t="n">
        <v>6.6</v>
      </c>
      <c r="N163" s="40" t="n">
        <v>3.25</v>
      </c>
      <c r="O163" s="41" t="n">
        <v>0.714</v>
      </c>
      <c r="P163" s="42" t="n">
        <v>27</v>
      </c>
      <c r="Q163" s="42" t="n">
        <v>173</v>
      </c>
      <c r="R163" s="35" t="s">
        <v>716</v>
      </c>
      <c r="S163" s="35" t="s">
        <v>717</v>
      </c>
      <c r="T163" s="34" t="s">
        <v>60</v>
      </c>
    </row>
    <row r="164" customFormat="false" ht="15" hidden="false" customHeight="false" outlineLevel="0" collapsed="false">
      <c r="A164" s="43" t="s">
        <v>718</v>
      </c>
      <c r="B164" s="44" t="s">
        <v>719</v>
      </c>
      <c r="C164" s="43" t="s">
        <v>31</v>
      </c>
      <c r="D164" s="43" t="s">
        <v>55</v>
      </c>
      <c r="E164" s="43" t="s">
        <v>131</v>
      </c>
      <c r="F164" s="43" t="s">
        <v>137</v>
      </c>
      <c r="G164" s="45" t="n">
        <v>28824</v>
      </c>
      <c r="H164" s="45" t="n">
        <v>41961</v>
      </c>
      <c r="I164" s="46" t="n">
        <v>181000</v>
      </c>
      <c r="J164" s="47" t="n">
        <v>0.184</v>
      </c>
      <c r="K164" s="46" t="n">
        <f aca="false">J164*I164</f>
        <v>33304</v>
      </c>
      <c r="L164" s="46" t="n">
        <f aca="false">I164+K164</f>
        <v>214304</v>
      </c>
      <c r="M164" s="48" t="n">
        <v>10.1</v>
      </c>
      <c r="N164" s="49" t="n">
        <v>4.08</v>
      </c>
      <c r="O164" s="50" t="n">
        <v>0.873</v>
      </c>
      <c r="P164" s="51" t="n">
        <v>10</v>
      </c>
      <c r="Q164" s="51" t="n">
        <v>84</v>
      </c>
      <c r="R164" s="44" t="s">
        <v>720</v>
      </c>
      <c r="S164" s="44" t="s">
        <v>721</v>
      </c>
      <c r="T164" s="43" t="s">
        <v>66</v>
      </c>
    </row>
    <row r="165" customFormat="false" ht="15" hidden="false" customHeight="false" outlineLevel="0" collapsed="false">
      <c r="A165" s="34" t="s">
        <v>722</v>
      </c>
      <c r="B165" s="35" t="s">
        <v>723</v>
      </c>
      <c r="C165" s="34" t="s">
        <v>24</v>
      </c>
      <c r="D165" s="34" t="s">
        <v>69</v>
      </c>
      <c r="E165" s="34" t="s">
        <v>151</v>
      </c>
      <c r="F165" s="34" t="s">
        <v>57</v>
      </c>
      <c r="G165" s="36" t="n">
        <v>33207</v>
      </c>
      <c r="H165" s="36" t="n">
        <v>39234</v>
      </c>
      <c r="I165" s="37" t="n">
        <v>174000</v>
      </c>
      <c r="J165" s="38" t="n">
        <v>0.154</v>
      </c>
      <c r="K165" s="37" t="n">
        <f aca="false">J165*I165</f>
        <v>26796</v>
      </c>
      <c r="L165" s="37" t="n">
        <f aca="false">I165+K165</f>
        <v>200796</v>
      </c>
      <c r="M165" s="39" t="n">
        <v>17.6</v>
      </c>
      <c r="N165" s="40" t="n">
        <v>4.16</v>
      </c>
      <c r="O165" s="41" t="n">
        <v>0.726</v>
      </c>
      <c r="P165" s="42" t="n">
        <v>24</v>
      </c>
      <c r="Q165" s="42" t="n">
        <v>27</v>
      </c>
      <c r="R165" s="35" t="s">
        <v>724</v>
      </c>
      <c r="S165" s="35" t="s">
        <v>725</v>
      </c>
      <c r="T165" s="34" t="s">
        <v>60</v>
      </c>
    </row>
    <row r="166" customFormat="false" ht="15" hidden="false" customHeight="false" outlineLevel="0" collapsed="false">
      <c r="A166" s="43" t="s">
        <v>726</v>
      </c>
      <c r="B166" s="44" t="s">
        <v>727</v>
      </c>
      <c r="C166" s="43" t="s">
        <v>32</v>
      </c>
      <c r="D166" s="43" t="s">
        <v>69</v>
      </c>
      <c r="E166" s="43" t="s">
        <v>63</v>
      </c>
      <c r="F166" s="43" t="s">
        <v>137</v>
      </c>
      <c r="G166" s="45" t="n">
        <v>33779</v>
      </c>
      <c r="H166" s="45" t="n">
        <v>40268</v>
      </c>
      <c r="I166" s="46" t="n">
        <v>148000</v>
      </c>
      <c r="J166" s="47" t="n">
        <v>0.061</v>
      </c>
      <c r="K166" s="46" t="n">
        <f aca="false">J166*I166</f>
        <v>9028</v>
      </c>
      <c r="L166" s="46" t="n">
        <f aca="false">I166+K166</f>
        <v>157028</v>
      </c>
      <c r="M166" s="48" t="n">
        <v>14.8</v>
      </c>
      <c r="N166" s="49" t="n">
        <v>3.47</v>
      </c>
      <c r="O166" s="50" t="n">
        <v>0.812</v>
      </c>
      <c r="P166" s="51" t="n">
        <v>2</v>
      </c>
      <c r="Q166" s="51" t="n">
        <v>101</v>
      </c>
      <c r="R166" s="44" t="s">
        <v>728</v>
      </c>
      <c r="S166" s="44" t="s">
        <v>729</v>
      </c>
      <c r="T166" s="43" t="s">
        <v>66</v>
      </c>
    </row>
    <row r="167" customFormat="false" ht="15" hidden="false" customHeight="false" outlineLevel="0" collapsed="false">
      <c r="A167" s="34" t="s">
        <v>730</v>
      </c>
      <c r="B167" s="35" t="s">
        <v>731</v>
      </c>
      <c r="C167" s="34" t="s">
        <v>29</v>
      </c>
      <c r="D167" s="34" t="s">
        <v>90</v>
      </c>
      <c r="E167" s="34" t="s">
        <v>131</v>
      </c>
      <c r="F167" s="34" t="s">
        <v>79</v>
      </c>
      <c r="G167" s="36" t="n">
        <v>28703</v>
      </c>
      <c r="H167" s="36" t="n">
        <v>42059</v>
      </c>
      <c r="I167" s="37" t="n">
        <v>217000</v>
      </c>
      <c r="J167" s="38" t="n">
        <v>0.239</v>
      </c>
      <c r="K167" s="37" t="n">
        <f aca="false">J167*I167</f>
        <v>51863</v>
      </c>
      <c r="L167" s="37" t="n">
        <f aca="false">I167+K167</f>
        <v>268863</v>
      </c>
      <c r="M167" s="39" t="n">
        <v>9.9</v>
      </c>
      <c r="N167" s="40" t="n">
        <v>2.83</v>
      </c>
      <c r="O167" s="41" t="n">
        <v>0.806</v>
      </c>
      <c r="P167" s="42" t="n">
        <v>22</v>
      </c>
      <c r="Q167" s="42" t="n">
        <v>174</v>
      </c>
      <c r="R167" s="35" t="s">
        <v>732</v>
      </c>
      <c r="S167" s="35" t="s">
        <v>733</v>
      </c>
      <c r="T167" s="34" t="s">
        <v>66</v>
      </c>
    </row>
    <row r="168" customFormat="false" ht="15" hidden="false" customHeight="false" outlineLevel="0" collapsed="false">
      <c r="A168" s="43" t="s">
        <v>734</v>
      </c>
      <c r="B168" s="44" t="s">
        <v>735</v>
      </c>
      <c r="C168" s="43" t="s">
        <v>31</v>
      </c>
      <c r="D168" s="43" t="s">
        <v>142</v>
      </c>
      <c r="E168" s="43" t="s">
        <v>126</v>
      </c>
      <c r="F168" s="43" t="s">
        <v>79</v>
      </c>
      <c r="G168" s="45" t="n">
        <v>35505</v>
      </c>
      <c r="H168" s="45" t="n">
        <v>44065</v>
      </c>
      <c r="I168" s="46" t="n">
        <v>72000</v>
      </c>
      <c r="J168" s="47" t="n">
        <v>0.253</v>
      </c>
      <c r="K168" s="46" t="n">
        <f aca="false">J168*I168</f>
        <v>18216</v>
      </c>
      <c r="L168" s="46" t="n">
        <f aca="false">I168+K168</f>
        <v>90216</v>
      </c>
      <c r="M168" s="48" t="n">
        <v>4.4</v>
      </c>
      <c r="N168" s="49" t="n">
        <v>2.66</v>
      </c>
      <c r="O168" s="50" t="n">
        <v>0.933</v>
      </c>
      <c r="P168" s="51" t="n">
        <v>30</v>
      </c>
      <c r="Q168" s="51" t="n">
        <v>19</v>
      </c>
      <c r="R168" s="44" t="s">
        <v>736</v>
      </c>
      <c r="S168" s="44" t="s">
        <v>737</v>
      </c>
      <c r="T168" s="43" t="s">
        <v>66</v>
      </c>
    </row>
    <row r="169" customFormat="false" ht="15" hidden="false" customHeight="false" outlineLevel="0" collapsed="false">
      <c r="A169" s="34" t="s">
        <v>738</v>
      </c>
      <c r="B169" s="35" t="s">
        <v>739</v>
      </c>
      <c r="C169" s="34" t="s">
        <v>27</v>
      </c>
      <c r="D169" s="34" t="s">
        <v>55</v>
      </c>
      <c r="E169" s="34" t="s">
        <v>96</v>
      </c>
      <c r="F169" s="34" t="s">
        <v>57</v>
      </c>
      <c r="G169" s="36" t="n">
        <v>28590</v>
      </c>
      <c r="H169" s="36" t="n">
        <v>41704</v>
      </c>
      <c r="I169" s="37" t="n">
        <v>107000</v>
      </c>
      <c r="J169" s="38" t="n">
        <v>0.283</v>
      </c>
      <c r="K169" s="37" t="n">
        <f aca="false">J169*I169</f>
        <v>30281</v>
      </c>
      <c r="L169" s="37" t="n">
        <f aca="false">I169+K169</f>
        <v>137281</v>
      </c>
      <c r="M169" s="39" t="n">
        <v>10.8</v>
      </c>
      <c r="N169" s="40" t="n">
        <v>3.79</v>
      </c>
      <c r="O169" s="41" t="n">
        <v>0.997</v>
      </c>
      <c r="P169" s="42" t="n">
        <v>35</v>
      </c>
      <c r="Q169" s="42" t="n">
        <v>131</v>
      </c>
      <c r="R169" s="35" t="s">
        <v>740</v>
      </c>
      <c r="S169" s="35" t="s">
        <v>741</v>
      </c>
      <c r="T169" s="34" t="s">
        <v>66</v>
      </c>
    </row>
    <row r="170" customFormat="false" ht="15" hidden="false" customHeight="false" outlineLevel="0" collapsed="false">
      <c r="A170" s="43" t="s">
        <v>742</v>
      </c>
      <c r="B170" s="44" t="s">
        <v>743</v>
      </c>
      <c r="C170" s="43" t="s">
        <v>24</v>
      </c>
      <c r="D170" s="43" t="s">
        <v>85</v>
      </c>
      <c r="E170" s="43" t="s">
        <v>96</v>
      </c>
      <c r="F170" s="43" t="s">
        <v>137</v>
      </c>
      <c r="G170" s="45" t="n">
        <v>36124</v>
      </c>
      <c r="H170" s="45" t="n">
        <v>41703</v>
      </c>
      <c r="I170" s="46" t="n">
        <v>118000</v>
      </c>
      <c r="J170" s="47" t="n">
        <v>0.266</v>
      </c>
      <c r="K170" s="46" t="n">
        <f aca="false">J170*I170</f>
        <v>31388</v>
      </c>
      <c r="L170" s="46" t="n">
        <f aca="false">I170+K170</f>
        <v>149388</v>
      </c>
      <c r="M170" s="48" t="n">
        <v>10.8</v>
      </c>
      <c r="N170" s="49" t="n">
        <v>2.62</v>
      </c>
      <c r="O170" s="50" t="n">
        <v>0.897</v>
      </c>
      <c r="P170" s="51" t="n">
        <v>18</v>
      </c>
      <c r="Q170" s="51" t="n">
        <v>41</v>
      </c>
      <c r="R170" s="44" t="s">
        <v>744</v>
      </c>
      <c r="S170" s="44" t="s">
        <v>745</v>
      </c>
      <c r="T170" s="43" t="s">
        <v>66</v>
      </c>
    </row>
    <row r="171" customFormat="false" ht="15" hidden="false" customHeight="false" outlineLevel="0" collapsed="false">
      <c r="A171" s="34" t="s">
        <v>746</v>
      </c>
      <c r="B171" s="35" t="s">
        <v>747</v>
      </c>
      <c r="C171" s="34" t="s">
        <v>30</v>
      </c>
      <c r="D171" s="34" t="s">
        <v>113</v>
      </c>
      <c r="E171" s="34" t="s">
        <v>126</v>
      </c>
      <c r="F171" s="34" t="s">
        <v>137</v>
      </c>
      <c r="G171" s="36" t="n">
        <v>35147</v>
      </c>
      <c r="H171" s="36" t="n">
        <v>41824</v>
      </c>
      <c r="I171" s="37" t="n">
        <v>113000</v>
      </c>
      <c r="J171" s="38" t="n">
        <v>0.293</v>
      </c>
      <c r="K171" s="37" t="n">
        <f aca="false">J171*I171</f>
        <v>33109</v>
      </c>
      <c r="L171" s="37" t="n">
        <f aca="false">I171+K171</f>
        <v>146109</v>
      </c>
      <c r="M171" s="39" t="n">
        <v>10.5</v>
      </c>
      <c r="N171" s="40" t="n">
        <v>3.74</v>
      </c>
      <c r="O171" s="41" t="n">
        <v>0.849</v>
      </c>
      <c r="P171" s="42" t="n">
        <v>34</v>
      </c>
      <c r="Q171" s="42" t="n">
        <v>78</v>
      </c>
      <c r="R171" s="35" t="s">
        <v>748</v>
      </c>
      <c r="S171" s="35" t="s">
        <v>749</v>
      </c>
      <c r="T171" s="34" t="s">
        <v>66</v>
      </c>
    </row>
    <row r="172" customFormat="false" ht="15" hidden="false" customHeight="false" outlineLevel="0" collapsed="false">
      <c r="A172" s="43" t="s">
        <v>750</v>
      </c>
      <c r="B172" s="44" t="s">
        <v>751</v>
      </c>
      <c r="C172" s="43" t="s">
        <v>30</v>
      </c>
      <c r="D172" s="43" t="s">
        <v>55</v>
      </c>
      <c r="E172" s="43" t="s">
        <v>74</v>
      </c>
      <c r="F172" s="43" t="s">
        <v>79</v>
      </c>
      <c r="G172" s="45" t="n">
        <v>29800</v>
      </c>
      <c r="H172" s="45" t="n">
        <v>38621</v>
      </c>
      <c r="I172" s="46" t="n">
        <v>240000</v>
      </c>
      <c r="J172" s="47" t="n">
        <v>0.095</v>
      </c>
      <c r="K172" s="46" t="n">
        <f aca="false">J172*I172</f>
        <v>22800</v>
      </c>
      <c r="L172" s="46" t="n">
        <f aca="false">I172+K172</f>
        <v>262800</v>
      </c>
      <c r="M172" s="48" t="n">
        <v>19.3</v>
      </c>
      <c r="N172" s="49" t="n">
        <v>3.23</v>
      </c>
      <c r="O172" s="50" t="n">
        <v>0.731</v>
      </c>
      <c r="P172" s="51" t="n">
        <v>21</v>
      </c>
      <c r="Q172" s="51" t="n">
        <v>179</v>
      </c>
      <c r="R172" s="44" t="s">
        <v>752</v>
      </c>
      <c r="S172" s="44" t="s">
        <v>753</v>
      </c>
      <c r="T172" s="43" t="s">
        <v>66</v>
      </c>
    </row>
    <row r="173" customFormat="false" ht="15" hidden="false" customHeight="false" outlineLevel="0" collapsed="false">
      <c r="A173" s="34" t="s">
        <v>754</v>
      </c>
      <c r="B173" s="35" t="s">
        <v>755</v>
      </c>
      <c r="C173" s="34" t="s">
        <v>28</v>
      </c>
      <c r="D173" s="34" t="s">
        <v>113</v>
      </c>
      <c r="E173" s="34" t="s">
        <v>74</v>
      </c>
      <c r="F173" s="34" t="s">
        <v>57</v>
      </c>
      <c r="G173" s="36" t="n">
        <v>37438</v>
      </c>
      <c r="H173" s="36" t="n">
        <v>41599</v>
      </c>
      <c r="I173" s="37" t="n">
        <v>205000</v>
      </c>
      <c r="J173" s="38" t="n">
        <v>0.161</v>
      </c>
      <c r="K173" s="37" t="n">
        <f aca="false">J173*I173</f>
        <v>33005</v>
      </c>
      <c r="L173" s="37" t="n">
        <f aca="false">I173+K173</f>
        <v>238005</v>
      </c>
      <c r="M173" s="39" t="n">
        <v>11.1</v>
      </c>
      <c r="N173" s="40" t="n">
        <v>3.62</v>
      </c>
      <c r="O173" s="41" t="n">
        <v>0.918</v>
      </c>
      <c r="P173" s="42" t="n">
        <v>23</v>
      </c>
      <c r="Q173" s="42" t="n">
        <v>167</v>
      </c>
      <c r="R173" s="35" t="s">
        <v>756</v>
      </c>
      <c r="S173" s="35" t="s">
        <v>757</v>
      </c>
      <c r="T173" s="34" t="s">
        <v>66</v>
      </c>
    </row>
    <row r="174" customFormat="false" ht="15" hidden="false" customHeight="false" outlineLevel="0" collapsed="false">
      <c r="A174" s="43" t="s">
        <v>758</v>
      </c>
      <c r="B174" s="44" t="s">
        <v>759</v>
      </c>
      <c r="C174" s="43" t="s">
        <v>28</v>
      </c>
      <c r="D174" s="43" t="s">
        <v>142</v>
      </c>
      <c r="E174" s="43" t="s">
        <v>63</v>
      </c>
      <c r="F174" s="43" t="s">
        <v>57</v>
      </c>
      <c r="G174" s="45" t="n">
        <v>29690</v>
      </c>
      <c r="H174" s="45" t="n">
        <v>42912</v>
      </c>
      <c r="I174" s="46" t="n">
        <v>200000</v>
      </c>
      <c r="J174" s="47" t="n">
        <v>0.209</v>
      </c>
      <c r="K174" s="46" t="n">
        <f aca="false">J174*I174</f>
        <v>41800</v>
      </c>
      <c r="L174" s="46" t="n">
        <f aca="false">I174+K174</f>
        <v>241800</v>
      </c>
      <c r="M174" s="48" t="n">
        <v>7.5</v>
      </c>
      <c r="N174" s="49" t="n">
        <v>3.41</v>
      </c>
      <c r="O174" s="50" t="n">
        <v>0.94</v>
      </c>
      <c r="P174" s="51" t="n">
        <v>11</v>
      </c>
      <c r="Q174" s="51" t="n">
        <v>17</v>
      </c>
      <c r="R174" s="44" t="s">
        <v>760</v>
      </c>
      <c r="S174" s="44" t="s">
        <v>761</v>
      </c>
      <c r="T174" s="43" t="s">
        <v>66</v>
      </c>
    </row>
    <row r="175" customFormat="false" ht="15" hidden="false" customHeight="false" outlineLevel="0" collapsed="false">
      <c r="A175" s="34" t="s">
        <v>762</v>
      </c>
      <c r="B175" s="35" t="s">
        <v>763</v>
      </c>
      <c r="C175" s="34" t="s">
        <v>33</v>
      </c>
      <c r="D175" s="34" t="s">
        <v>142</v>
      </c>
      <c r="E175" s="34" t="s">
        <v>126</v>
      </c>
      <c r="F175" s="34" t="s">
        <v>57</v>
      </c>
      <c r="G175" s="36" t="n">
        <v>34015</v>
      </c>
      <c r="H175" s="36" t="n">
        <v>42840</v>
      </c>
      <c r="I175" s="37" t="n">
        <v>58000</v>
      </c>
      <c r="J175" s="38" t="n">
        <v>0.067</v>
      </c>
      <c r="K175" s="37" t="n">
        <f aca="false">J175*I175</f>
        <v>3886</v>
      </c>
      <c r="L175" s="37" t="n">
        <f aca="false">I175+K175</f>
        <v>61886</v>
      </c>
      <c r="M175" s="39" t="n">
        <v>7.7</v>
      </c>
      <c r="N175" s="40" t="n">
        <v>4.45</v>
      </c>
      <c r="O175" s="41" t="n">
        <v>0.81</v>
      </c>
      <c r="P175" s="42" t="n">
        <v>25</v>
      </c>
      <c r="Q175" s="42" t="n">
        <v>155</v>
      </c>
      <c r="R175" s="35" t="s">
        <v>764</v>
      </c>
      <c r="S175" s="35" t="s">
        <v>765</v>
      </c>
      <c r="T175" s="34" t="s">
        <v>66</v>
      </c>
    </row>
    <row r="176" customFormat="false" ht="15" hidden="false" customHeight="false" outlineLevel="0" collapsed="false">
      <c r="A176" s="43" t="s">
        <v>766</v>
      </c>
      <c r="B176" s="44" t="s">
        <v>767</v>
      </c>
      <c r="C176" s="43" t="s">
        <v>33</v>
      </c>
      <c r="D176" s="43" t="s">
        <v>90</v>
      </c>
      <c r="E176" s="43" t="s">
        <v>126</v>
      </c>
      <c r="F176" s="43" t="s">
        <v>137</v>
      </c>
      <c r="G176" s="45" t="n">
        <v>26787</v>
      </c>
      <c r="H176" s="45" t="n">
        <v>42255</v>
      </c>
      <c r="I176" s="46" t="n">
        <v>122000</v>
      </c>
      <c r="J176" s="47" t="n">
        <v>0.161</v>
      </c>
      <c r="K176" s="46" t="n">
        <f aca="false">J176*I176</f>
        <v>19642</v>
      </c>
      <c r="L176" s="46" t="n">
        <f aca="false">I176+K176</f>
        <v>141642</v>
      </c>
      <c r="M176" s="48" t="n">
        <v>9.3</v>
      </c>
      <c r="N176" s="49" t="n">
        <v>2.69</v>
      </c>
      <c r="O176" s="50" t="n">
        <v>0.741</v>
      </c>
      <c r="P176" s="51" t="n">
        <v>24</v>
      </c>
      <c r="Q176" s="51" t="n">
        <v>111</v>
      </c>
      <c r="R176" s="44" t="s">
        <v>768</v>
      </c>
      <c r="S176" s="44" t="s">
        <v>769</v>
      </c>
      <c r="T176" s="43" t="s">
        <v>66</v>
      </c>
    </row>
    <row r="177" customFormat="false" ht="15" hidden="false" customHeight="false" outlineLevel="0" collapsed="false">
      <c r="A177" s="34" t="s">
        <v>770</v>
      </c>
      <c r="B177" s="35" t="s">
        <v>771</v>
      </c>
      <c r="C177" s="34" t="s">
        <v>28</v>
      </c>
      <c r="D177" s="34" t="s">
        <v>90</v>
      </c>
      <c r="E177" s="34" t="s">
        <v>131</v>
      </c>
      <c r="F177" s="34" t="s">
        <v>57</v>
      </c>
      <c r="G177" s="36" t="n">
        <v>28189</v>
      </c>
      <c r="H177" s="36" t="n">
        <v>38709</v>
      </c>
      <c r="I177" s="37" t="n">
        <v>217000</v>
      </c>
      <c r="J177" s="38" t="n">
        <v>0.097</v>
      </c>
      <c r="K177" s="37" t="n">
        <f aca="false">J177*I177</f>
        <v>21049</v>
      </c>
      <c r="L177" s="37" t="n">
        <f aca="false">I177+K177</f>
        <v>238049</v>
      </c>
      <c r="M177" s="39" t="n">
        <v>19</v>
      </c>
      <c r="N177" s="40" t="n">
        <v>3.79</v>
      </c>
      <c r="O177" s="41" t="n">
        <v>0.974</v>
      </c>
      <c r="P177" s="42" t="n">
        <v>8</v>
      </c>
      <c r="Q177" s="42" t="n">
        <v>77</v>
      </c>
      <c r="R177" s="35" t="s">
        <v>772</v>
      </c>
      <c r="S177" s="35" t="s">
        <v>773</v>
      </c>
      <c r="T177" s="34" t="s">
        <v>66</v>
      </c>
    </row>
    <row r="178" customFormat="false" ht="15" hidden="false" customHeight="false" outlineLevel="0" collapsed="false">
      <c r="A178" s="43" t="s">
        <v>774</v>
      </c>
      <c r="B178" s="44" t="s">
        <v>775</v>
      </c>
      <c r="C178" s="43" t="s">
        <v>31</v>
      </c>
      <c r="D178" s="43" t="s">
        <v>90</v>
      </c>
      <c r="E178" s="43" t="s">
        <v>56</v>
      </c>
      <c r="F178" s="43" t="s">
        <v>79</v>
      </c>
      <c r="G178" s="45" t="n">
        <v>29655</v>
      </c>
      <c r="H178" s="45" t="n">
        <v>40793</v>
      </c>
      <c r="I178" s="46" t="n">
        <v>153000</v>
      </c>
      <c r="J178" s="47" t="n">
        <v>0.1</v>
      </c>
      <c r="K178" s="46" t="n">
        <f aca="false">J178*I178</f>
        <v>15300</v>
      </c>
      <c r="L178" s="46" t="n">
        <f aca="false">I178+K178</f>
        <v>168300</v>
      </c>
      <c r="M178" s="48" t="n">
        <v>13.3</v>
      </c>
      <c r="N178" s="49" t="n">
        <v>2.84</v>
      </c>
      <c r="O178" s="50" t="n">
        <v>0.722</v>
      </c>
      <c r="P178" s="51" t="n">
        <v>12</v>
      </c>
      <c r="Q178" s="51" t="n">
        <v>192</v>
      </c>
      <c r="R178" s="44" t="s">
        <v>776</v>
      </c>
      <c r="S178" s="44" t="s">
        <v>777</v>
      </c>
      <c r="T178" s="43" t="s">
        <v>66</v>
      </c>
    </row>
    <row r="179" customFormat="false" ht="15" hidden="false" customHeight="false" outlineLevel="0" collapsed="false">
      <c r="A179" s="34" t="s">
        <v>778</v>
      </c>
      <c r="B179" s="35" t="s">
        <v>779</v>
      </c>
      <c r="C179" s="34" t="s">
        <v>25</v>
      </c>
      <c r="D179" s="34" t="s">
        <v>85</v>
      </c>
      <c r="E179" s="34" t="s">
        <v>151</v>
      </c>
      <c r="F179" s="34" t="s">
        <v>79</v>
      </c>
      <c r="G179" s="36" t="n">
        <v>32882</v>
      </c>
      <c r="H179" s="36" t="n">
        <v>44494</v>
      </c>
      <c r="I179" s="37" t="n">
        <v>116000</v>
      </c>
      <c r="J179" s="38" t="n">
        <v>0.227</v>
      </c>
      <c r="K179" s="37" t="n">
        <f aca="false">J179*I179</f>
        <v>26332</v>
      </c>
      <c r="L179" s="37" t="n">
        <f aca="false">I179+K179</f>
        <v>142332</v>
      </c>
      <c r="M179" s="39" t="n">
        <v>3.2</v>
      </c>
      <c r="N179" s="40" t="n">
        <v>3.87</v>
      </c>
      <c r="O179" s="41" t="n">
        <v>0.787</v>
      </c>
      <c r="P179" s="42" t="n">
        <v>20</v>
      </c>
      <c r="Q179" s="42" t="n">
        <v>50</v>
      </c>
      <c r="R179" s="35" t="s">
        <v>780</v>
      </c>
      <c r="S179" s="35" t="s">
        <v>781</v>
      </c>
      <c r="T179" s="34" t="s">
        <v>82</v>
      </c>
    </row>
    <row r="180" customFormat="false" ht="15" hidden="false" customHeight="false" outlineLevel="0" collapsed="false">
      <c r="A180" s="43" t="s">
        <v>782</v>
      </c>
      <c r="B180" s="44" t="s">
        <v>783</v>
      </c>
      <c r="C180" s="43" t="s">
        <v>26</v>
      </c>
      <c r="D180" s="43" t="s">
        <v>85</v>
      </c>
      <c r="E180" s="43" t="s">
        <v>151</v>
      </c>
      <c r="F180" s="43" t="s">
        <v>79</v>
      </c>
      <c r="G180" s="45" t="n">
        <v>33563</v>
      </c>
      <c r="H180" s="45" t="n">
        <v>40122</v>
      </c>
      <c r="I180" s="46" t="n">
        <v>83000</v>
      </c>
      <c r="J180" s="47" t="n">
        <v>0.08</v>
      </c>
      <c r="K180" s="46" t="n">
        <f aca="false">J180*I180</f>
        <v>6640</v>
      </c>
      <c r="L180" s="46" t="n">
        <f aca="false">I180+K180</f>
        <v>89640</v>
      </c>
      <c r="M180" s="48" t="n">
        <v>15.2</v>
      </c>
      <c r="N180" s="49" t="n">
        <v>3</v>
      </c>
      <c r="O180" s="50" t="n">
        <v>0.742</v>
      </c>
      <c r="P180" s="51" t="n">
        <v>32</v>
      </c>
      <c r="Q180" s="51" t="n">
        <v>16</v>
      </c>
      <c r="R180" s="44" t="s">
        <v>784</v>
      </c>
      <c r="S180" s="44" t="s">
        <v>785</v>
      </c>
      <c r="T180" s="43" t="s">
        <v>66</v>
      </c>
    </row>
    <row r="181" customFormat="false" ht="15" hidden="false" customHeight="false" outlineLevel="0" collapsed="false">
      <c r="A181" s="34" t="s">
        <v>786</v>
      </c>
      <c r="B181" s="35" t="s">
        <v>787</v>
      </c>
      <c r="C181" s="34" t="s">
        <v>32</v>
      </c>
      <c r="D181" s="34" t="s">
        <v>69</v>
      </c>
      <c r="E181" s="34" t="s">
        <v>151</v>
      </c>
      <c r="F181" s="34" t="s">
        <v>137</v>
      </c>
      <c r="G181" s="36" t="n">
        <v>35663</v>
      </c>
      <c r="H181" s="36" t="n">
        <v>38914</v>
      </c>
      <c r="I181" s="37" t="n">
        <v>235000</v>
      </c>
      <c r="J181" s="38" t="n">
        <v>0.296</v>
      </c>
      <c r="K181" s="37" t="n">
        <f aca="false">J181*I181</f>
        <v>69560</v>
      </c>
      <c r="L181" s="37" t="n">
        <f aca="false">I181+K181</f>
        <v>304560</v>
      </c>
      <c r="M181" s="39" t="n">
        <v>18.5</v>
      </c>
      <c r="N181" s="40" t="n">
        <v>2.82</v>
      </c>
      <c r="O181" s="41" t="n">
        <v>0.965</v>
      </c>
      <c r="P181" s="42" t="n">
        <v>5</v>
      </c>
      <c r="Q181" s="42" t="n">
        <v>89</v>
      </c>
      <c r="R181" s="35" t="s">
        <v>788</v>
      </c>
      <c r="S181" s="35" t="s">
        <v>789</v>
      </c>
      <c r="T181" s="34" t="s">
        <v>66</v>
      </c>
    </row>
    <row r="182" customFormat="false" ht="15" hidden="false" customHeight="false" outlineLevel="0" collapsed="false">
      <c r="A182" s="43" t="s">
        <v>790</v>
      </c>
      <c r="B182" s="44" t="s">
        <v>791</v>
      </c>
      <c r="C182" s="43" t="s">
        <v>31</v>
      </c>
      <c r="D182" s="43" t="s">
        <v>69</v>
      </c>
      <c r="E182" s="43" t="s">
        <v>74</v>
      </c>
      <c r="F182" s="43" t="s">
        <v>137</v>
      </c>
      <c r="G182" s="45" t="n">
        <v>37464</v>
      </c>
      <c r="H182" s="45" t="n">
        <v>40939</v>
      </c>
      <c r="I182" s="46" t="n">
        <v>240000</v>
      </c>
      <c r="J182" s="47" t="n">
        <v>0.194</v>
      </c>
      <c r="K182" s="46" t="n">
        <f aca="false">J182*I182</f>
        <v>46560</v>
      </c>
      <c r="L182" s="46" t="n">
        <f aca="false">I182+K182</f>
        <v>286560</v>
      </c>
      <c r="M182" s="48" t="n">
        <v>12.9</v>
      </c>
      <c r="N182" s="49" t="n">
        <v>2.81</v>
      </c>
      <c r="O182" s="50" t="n">
        <v>0.795</v>
      </c>
      <c r="P182" s="51" t="n">
        <v>5</v>
      </c>
      <c r="Q182" s="51" t="n">
        <v>125</v>
      </c>
      <c r="R182" s="44" t="s">
        <v>792</v>
      </c>
      <c r="S182" s="44" t="s">
        <v>793</v>
      </c>
      <c r="T182" s="43" t="s">
        <v>66</v>
      </c>
    </row>
    <row r="183" customFormat="false" ht="15" hidden="false" customHeight="false" outlineLevel="0" collapsed="false">
      <c r="A183" s="34" t="s">
        <v>794</v>
      </c>
      <c r="B183" s="35" t="s">
        <v>795</v>
      </c>
      <c r="C183" s="34" t="s">
        <v>32</v>
      </c>
      <c r="D183" s="34" t="s">
        <v>95</v>
      </c>
      <c r="E183" s="34" t="s">
        <v>136</v>
      </c>
      <c r="F183" s="34" t="s">
        <v>79</v>
      </c>
      <c r="G183" s="36" t="n">
        <v>31275</v>
      </c>
      <c r="H183" s="36" t="n">
        <v>44204</v>
      </c>
      <c r="I183" s="37" t="n">
        <v>192000</v>
      </c>
      <c r="J183" s="38" t="n">
        <v>0.197</v>
      </c>
      <c r="K183" s="37" t="n">
        <f aca="false">J183*I183</f>
        <v>37824</v>
      </c>
      <c r="L183" s="37" t="n">
        <f aca="false">I183+K183</f>
        <v>229824</v>
      </c>
      <c r="M183" s="39" t="n">
        <v>4</v>
      </c>
      <c r="N183" s="40" t="n">
        <v>4.42</v>
      </c>
      <c r="O183" s="41" t="n">
        <v>0.739</v>
      </c>
      <c r="P183" s="42" t="n">
        <v>33</v>
      </c>
      <c r="Q183" s="42" t="n">
        <v>24</v>
      </c>
      <c r="R183" s="35" t="s">
        <v>796</v>
      </c>
      <c r="S183" s="35" t="s">
        <v>797</v>
      </c>
      <c r="T183" s="34" t="s">
        <v>66</v>
      </c>
    </row>
    <row r="184" customFormat="false" ht="15" hidden="false" customHeight="false" outlineLevel="0" collapsed="false">
      <c r="A184" s="43" t="s">
        <v>798</v>
      </c>
      <c r="B184" s="44" t="s">
        <v>799</v>
      </c>
      <c r="C184" s="43" t="s">
        <v>32</v>
      </c>
      <c r="D184" s="43" t="s">
        <v>90</v>
      </c>
      <c r="E184" s="43" t="s">
        <v>56</v>
      </c>
      <c r="F184" s="43" t="s">
        <v>57</v>
      </c>
      <c r="G184" s="45" t="n">
        <v>33519</v>
      </c>
      <c r="H184" s="45" t="n">
        <v>45161</v>
      </c>
      <c r="I184" s="46" t="n">
        <v>67000</v>
      </c>
      <c r="J184" s="47" t="n">
        <v>0.131</v>
      </c>
      <c r="K184" s="46" t="n">
        <f aca="false">J184*I184</f>
        <v>8777</v>
      </c>
      <c r="L184" s="46" t="n">
        <f aca="false">I184+K184</f>
        <v>75777</v>
      </c>
      <c r="M184" s="48" t="n">
        <v>1.4</v>
      </c>
      <c r="N184" s="49" t="n">
        <v>4.27</v>
      </c>
      <c r="O184" s="50" t="n">
        <v>0.804</v>
      </c>
      <c r="P184" s="51" t="n">
        <v>34</v>
      </c>
      <c r="Q184" s="51" t="n">
        <v>82</v>
      </c>
      <c r="R184" s="44" t="s">
        <v>800</v>
      </c>
      <c r="S184" s="44" t="s">
        <v>801</v>
      </c>
      <c r="T184" s="43" t="s">
        <v>66</v>
      </c>
    </row>
    <row r="185" customFormat="false" ht="15" hidden="false" customHeight="false" outlineLevel="0" collapsed="false">
      <c r="A185" s="34" t="s">
        <v>802</v>
      </c>
      <c r="B185" s="35" t="s">
        <v>803</v>
      </c>
      <c r="C185" s="34" t="s">
        <v>28</v>
      </c>
      <c r="D185" s="34" t="s">
        <v>90</v>
      </c>
      <c r="E185" s="34" t="s">
        <v>56</v>
      </c>
      <c r="F185" s="34" t="s">
        <v>57</v>
      </c>
      <c r="G185" s="36" t="n">
        <v>28317</v>
      </c>
      <c r="H185" s="36" t="n">
        <v>45213</v>
      </c>
      <c r="I185" s="37" t="n">
        <v>188000</v>
      </c>
      <c r="J185" s="38" t="n">
        <v>0.126</v>
      </c>
      <c r="K185" s="37" t="n">
        <f aca="false">J185*I185</f>
        <v>23688</v>
      </c>
      <c r="L185" s="37" t="n">
        <f aca="false">I185+K185</f>
        <v>211688</v>
      </c>
      <c r="M185" s="39" t="n">
        <v>1.2</v>
      </c>
      <c r="N185" s="40" t="n">
        <v>3.83</v>
      </c>
      <c r="O185" s="41" t="n">
        <v>0.851</v>
      </c>
      <c r="P185" s="42" t="n">
        <v>11</v>
      </c>
      <c r="Q185" s="42" t="n">
        <v>161</v>
      </c>
      <c r="R185" s="35" t="s">
        <v>804</v>
      </c>
      <c r="S185" s="35" t="s">
        <v>805</v>
      </c>
      <c r="T185" s="34" t="s">
        <v>60</v>
      </c>
    </row>
    <row r="186" customFormat="false" ht="15" hidden="false" customHeight="false" outlineLevel="0" collapsed="false">
      <c r="A186" s="43" t="s">
        <v>806</v>
      </c>
      <c r="B186" s="44" t="s">
        <v>807</v>
      </c>
      <c r="C186" s="43" t="s">
        <v>26</v>
      </c>
      <c r="D186" s="43" t="s">
        <v>90</v>
      </c>
      <c r="E186" s="43" t="s">
        <v>151</v>
      </c>
      <c r="F186" s="43" t="s">
        <v>79</v>
      </c>
      <c r="G186" s="45" t="n">
        <v>34901</v>
      </c>
      <c r="H186" s="45" t="n">
        <v>42356</v>
      </c>
      <c r="I186" s="46" t="n">
        <v>35000</v>
      </c>
      <c r="J186" s="47" t="n">
        <v>0.256</v>
      </c>
      <c r="K186" s="46" t="n">
        <f aca="false">J186*I186</f>
        <v>8960</v>
      </c>
      <c r="L186" s="46" t="n">
        <f aca="false">I186+K186</f>
        <v>43960</v>
      </c>
      <c r="M186" s="48" t="n">
        <v>9</v>
      </c>
      <c r="N186" s="49" t="n">
        <v>2.57</v>
      </c>
      <c r="O186" s="50" t="n">
        <v>0.714</v>
      </c>
      <c r="P186" s="51" t="n">
        <v>37</v>
      </c>
      <c r="Q186" s="51" t="n">
        <v>77</v>
      </c>
      <c r="R186" s="44" t="s">
        <v>808</v>
      </c>
      <c r="S186" s="44" t="s">
        <v>809</v>
      </c>
      <c r="T186" s="43" t="s">
        <v>82</v>
      </c>
    </row>
    <row r="187" customFormat="false" ht="15" hidden="false" customHeight="false" outlineLevel="0" collapsed="false">
      <c r="A187" s="34" t="s">
        <v>810</v>
      </c>
      <c r="B187" s="35" t="s">
        <v>811</v>
      </c>
      <c r="C187" s="34" t="s">
        <v>27</v>
      </c>
      <c r="D187" s="34" t="s">
        <v>85</v>
      </c>
      <c r="E187" s="34" t="s">
        <v>74</v>
      </c>
      <c r="F187" s="34" t="s">
        <v>79</v>
      </c>
      <c r="G187" s="36" t="n">
        <v>26598</v>
      </c>
      <c r="H187" s="36" t="n">
        <v>38794</v>
      </c>
      <c r="I187" s="37" t="n">
        <v>192000</v>
      </c>
      <c r="J187" s="38" t="n">
        <v>0.058</v>
      </c>
      <c r="K187" s="37" t="n">
        <f aca="false">J187*I187</f>
        <v>11136</v>
      </c>
      <c r="L187" s="37" t="n">
        <f aca="false">I187+K187</f>
        <v>203136</v>
      </c>
      <c r="M187" s="39" t="n">
        <v>18.8</v>
      </c>
      <c r="N187" s="40" t="n">
        <v>4.72</v>
      </c>
      <c r="O187" s="41" t="n">
        <v>0.864</v>
      </c>
      <c r="P187" s="42" t="n">
        <v>20</v>
      </c>
      <c r="Q187" s="42" t="n">
        <v>133</v>
      </c>
      <c r="R187" s="35" t="s">
        <v>812</v>
      </c>
      <c r="S187" s="35" t="s">
        <v>813</v>
      </c>
      <c r="T187" s="34" t="s">
        <v>66</v>
      </c>
    </row>
    <row r="188" customFormat="false" ht="15" hidden="false" customHeight="false" outlineLevel="0" collapsed="false">
      <c r="A188" s="43" t="s">
        <v>814</v>
      </c>
      <c r="B188" s="44" t="s">
        <v>815</v>
      </c>
      <c r="C188" s="43" t="s">
        <v>30</v>
      </c>
      <c r="D188" s="43" t="s">
        <v>95</v>
      </c>
      <c r="E188" s="43" t="s">
        <v>126</v>
      </c>
      <c r="F188" s="43" t="s">
        <v>57</v>
      </c>
      <c r="G188" s="45" t="n">
        <v>34670</v>
      </c>
      <c r="H188" s="45" t="n">
        <v>39798</v>
      </c>
      <c r="I188" s="46" t="n">
        <v>205000</v>
      </c>
      <c r="J188" s="47" t="n">
        <v>0.065</v>
      </c>
      <c r="K188" s="46" t="n">
        <f aca="false">J188*I188</f>
        <v>13325</v>
      </c>
      <c r="L188" s="46" t="n">
        <f aca="false">I188+K188</f>
        <v>218325</v>
      </c>
      <c r="M188" s="48" t="n">
        <v>16</v>
      </c>
      <c r="N188" s="49" t="n">
        <v>3.6</v>
      </c>
      <c r="O188" s="50" t="n">
        <v>0.845</v>
      </c>
      <c r="P188" s="51" t="n">
        <v>14</v>
      </c>
      <c r="Q188" s="51" t="n">
        <v>97</v>
      </c>
      <c r="R188" s="44" t="s">
        <v>816</v>
      </c>
      <c r="S188" s="44" t="s">
        <v>817</v>
      </c>
      <c r="T188" s="43" t="s">
        <v>60</v>
      </c>
    </row>
    <row r="189" customFormat="false" ht="15" hidden="false" customHeight="false" outlineLevel="0" collapsed="false">
      <c r="A189" s="34" t="s">
        <v>818</v>
      </c>
      <c r="B189" s="35" t="s">
        <v>819</v>
      </c>
      <c r="C189" s="34" t="s">
        <v>26</v>
      </c>
      <c r="D189" s="34" t="s">
        <v>95</v>
      </c>
      <c r="E189" s="34" t="s">
        <v>151</v>
      </c>
      <c r="F189" s="34" t="s">
        <v>79</v>
      </c>
      <c r="G189" s="36" t="n">
        <v>25169</v>
      </c>
      <c r="H189" s="36" t="n">
        <v>40340</v>
      </c>
      <c r="I189" s="37" t="n">
        <v>115000</v>
      </c>
      <c r="J189" s="38" t="n">
        <v>0.294</v>
      </c>
      <c r="K189" s="37" t="n">
        <f aca="false">J189*I189</f>
        <v>33810</v>
      </c>
      <c r="L189" s="37" t="n">
        <f aca="false">I189+K189</f>
        <v>148810</v>
      </c>
      <c r="M189" s="39" t="n">
        <v>14.6</v>
      </c>
      <c r="N189" s="40" t="n">
        <v>2.83</v>
      </c>
      <c r="O189" s="41" t="n">
        <v>0.811</v>
      </c>
      <c r="P189" s="42" t="n">
        <v>36</v>
      </c>
      <c r="Q189" s="42" t="n">
        <v>37</v>
      </c>
      <c r="R189" s="35" t="s">
        <v>820</v>
      </c>
      <c r="S189" s="35" t="s">
        <v>821</v>
      </c>
      <c r="T189" s="34" t="s">
        <v>66</v>
      </c>
    </row>
    <row r="190" customFormat="false" ht="15" hidden="false" customHeight="false" outlineLevel="0" collapsed="false">
      <c r="A190" s="43" t="s">
        <v>822</v>
      </c>
      <c r="B190" s="44" t="s">
        <v>823</v>
      </c>
      <c r="C190" s="43" t="s">
        <v>27</v>
      </c>
      <c r="D190" s="43" t="s">
        <v>113</v>
      </c>
      <c r="E190" s="43" t="s">
        <v>131</v>
      </c>
      <c r="F190" s="43" t="s">
        <v>137</v>
      </c>
      <c r="G190" s="45" t="n">
        <v>35216</v>
      </c>
      <c r="H190" s="45" t="n">
        <v>40616</v>
      </c>
      <c r="I190" s="46" t="n">
        <v>142000</v>
      </c>
      <c r="J190" s="47" t="n">
        <v>0.112</v>
      </c>
      <c r="K190" s="46" t="n">
        <f aca="false">J190*I190</f>
        <v>15904</v>
      </c>
      <c r="L190" s="46" t="n">
        <f aca="false">I190+K190</f>
        <v>157904</v>
      </c>
      <c r="M190" s="48" t="n">
        <v>13.8</v>
      </c>
      <c r="N190" s="49" t="n">
        <v>2.74</v>
      </c>
      <c r="O190" s="50" t="n">
        <v>0.787</v>
      </c>
      <c r="P190" s="51" t="n">
        <v>25</v>
      </c>
      <c r="Q190" s="51" t="n">
        <v>167</v>
      </c>
      <c r="R190" s="44" t="s">
        <v>824</v>
      </c>
      <c r="S190" s="44" t="s">
        <v>825</v>
      </c>
      <c r="T190" s="43" t="s">
        <v>66</v>
      </c>
    </row>
    <row r="191" customFormat="false" ht="15" hidden="false" customHeight="false" outlineLevel="0" collapsed="false">
      <c r="A191" s="34" t="s">
        <v>826</v>
      </c>
      <c r="B191" s="35" t="s">
        <v>827</v>
      </c>
      <c r="C191" s="34" t="s">
        <v>27</v>
      </c>
      <c r="D191" s="34" t="s">
        <v>85</v>
      </c>
      <c r="E191" s="34" t="s">
        <v>136</v>
      </c>
      <c r="F191" s="34" t="s">
        <v>137</v>
      </c>
      <c r="G191" s="36" t="n">
        <v>33660</v>
      </c>
      <c r="H191" s="36" t="n">
        <v>41526</v>
      </c>
      <c r="I191" s="37" t="n">
        <v>176000</v>
      </c>
      <c r="J191" s="38" t="n">
        <v>0.23</v>
      </c>
      <c r="K191" s="37" t="n">
        <f aca="false">J191*I191</f>
        <v>40480</v>
      </c>
      <c r="L191" s="37" t="n">
        <f aca="false">I191+K191</f>
        <v>216480</v>
      </c>
      <c r="M191" s="39" t="n">
        <v>11.3</v>
      </c>
      <c r="N191" s="40" t="n">
        <v>2.97</v>
      </c>
      <c r="O191" s="41" t="n">
        <v>0.748</v>
      </c>
      <c r="P191" s="42" t="n">
        <v>33</v>
      </c>
      <c r="Q191" s="42" t="n">
        <v>129</v>
      </c>
      <c r="R191" s="35" t="s">
        <v>828</v>
      </c>
      <c r="S191" s="35" t="s">
        <v>829</v>
      </c>
      <c r="T191" s="34" t="s">
        <v>66</v>
      </c>
    </row>
    <row r="192" customFormat="false" ht="15" hidden="false" customHeight="false" outlineLevel="0" collapsed="false">
      <c r="A192" s="43" t="s">
        <v>830</v>
      </c>
      <c r="B192" s="44" t="s">
        <v>831</v>
      </c>
      <c r="C192" s="43" t="s">
        <v>28</v>
      </c>
      <c r="D192" s="43" t="s">
        <v>113</v>
      </c>
      <c r="E192" s="43" t="s">
        <v>63</v>
      </c>
      <c r="F192" s="43" t="s">
        <v>57</v>
      </c>
      <c r="G192" s="45" t="n">
        <v>31565</v>
      </c>
      <c r="H192" s="45" t="n">
        <v>45104</v>
      </c>
      <c r="I192" s="46" t="n">
        <v>128000</v>
      </c>
      <c r="J192" s="47" t="n">
        <v>0.176</v>
      </c>
      <c r="K192" s="46" t="n">
        <f aca="false">J192*I192</f>
        <v>22528</v>
      </c>
      <c r="L192" s="46" t="n">
        <f aca="false">I192+K192</f>
        <v>150528</v>
      </c>
      <c r="M192" s="48" t="n">
        <v>1.5</v>
      </c>
      <c r="N192" s="49" t="n">
        <v>4.92</v>
      </c>
      <c r="O192" s="50" t="n">
        <v>0.765</v>
      </c>
      <c r="P192" s="51" t="n">
        <v>23</v>
      </c>
      <c r="Q192" s="51" t="n">
        <v>22</v>
      </c>
      <c r="R192" s="44" t="s">
        <v>832</v>
      </c>
      <c r="S192" s="44" t="s">
        <v>833</v>
      </c>
      <c r="T192" s="43" t="s">
        <v>66</v>
      </c>
    </row>
    <row r="193" customFormat="false" ht="15" hidden="false" customHeight="false" outlineLevel="0" collapsed="false">
      <c r="A193" s="34" t="s">
        <v>834</v>
      </c>
      <c r="B193" s="35" t="s">
        <v>835</v>
      </c>
      <c r="C193" s="34" t="s">
        <v>28</v>
      </c>
      <c r="D193" s="34" t="s">
        <v>113</v>
      </c>
      <c r="E193" s="34" t="s">
        <v>126</v>
      </c>
      <c r="F193" s="34" t="s">
        <v>137</v>
      </c>
      <c r="G193" s="36" t="n">
        <v>27025</v>
      </c>
      <c r="H193" s="36" t="n">
        <v>40146</v>
      </c>
      <c r="I193" s="37" t="n">
        <v>165000</v>
      </c>
      <c r="J193" s="38" t="n">
        <v>0.052</v>
      </c>
      <c r="K193" s="37" t="n">
        <f aca="false">J193*I193</f>
        <v>8580</v>
      </c>
      <c r="L193" s="37" t="n">
        <f aca="false">I193+K193</f>
        <v>173580</v>
      </c>
      <c r="M193" s="39" t="n">
        <v>15.1</v>
      </c>
      <c r="N193" s="40" t="n">
        <v>2.77</v>
      </c>
      <c r="O193" s="41" t="n">
        <v>0.74</v>
      </c>
      <c r="P193" s="42" t="n">
        <v>17</v>
      </c>
      <c r="Q193" s="42" t="n">
        <v>196</v>
      </c>
      <c r="R193" s="35" t="s">
        <v>836</v>
      </c>
      <c r="S193" s="35" t="s">
        <v>837</v>
      </c>
      <c r="T193" s="34" t="s">
        <v>66</v>
      </c>
    </row>
    <row r="194" customFormat="false" ht="15" hidden="false" customHeight="false" outlineLevel="0" collapsed="false">
      <c r="A194" s="43" t="s">
        <v>838</v>
      </c>
      <c r="B194" s="44" t="s">
        <v>839</v>
      </c>
      <c r="C194" s="43" t="s">
        <v>30</v>
      </c>
      <c r="D194" s="43" t="s">
        <v>95</v>
      </c>
      <c r="E194" s="43" t="s">
        <v>63</v>
      </c>
      <c r="F194" s="43" t="s">
        <v>137</v>
      </c>
      <c r="G194" s="45" t="n">
        <v>35254</v>
      </c>
      <c r="H194" s="45" t="n">
        <v>40498</v>
      </c>
      <c r="I194" s="46" t="n">
        <v>38000</v>
      </c>
      <c r="J194" s="47" t="n">
        <v>0.193</v>
      </c>
      <c r="K194" s="46" t="n">
        <f aca="false">J194*I194</f>
        <v>7334</v>
      </c>
      <c r="L194" s="46" t="n">
        <f aca="false">I194+K194</f>
        <v>45334</v>
      </c>
      <c r="M194" s="48" t="n">
        <v>14.1</v>
      </c>
      <c r="N194" s="49" t="n">
        <v>2.99</v>
      </c>
      <c r="O194" s="50" t="n">
        <v>0.866</v>
      </c>
      <c r="P194" s="51" t="n">
        <v>5</v>
      </c>
      <c r="Q194" s="51" t="n">
        <v>108</v>
      </c>
      <c r="R194" s="44" t="s">
        <v>840</v>
      </c>
      <c r="S194" s="44" t="s">
        <v>841</v>
      </c>
      <c r="T194" s="43" t="s">
        <v>60</v>
      </c>
    </row>
    <row r="195" customFormat="false" ht="15" hidden="false" customHeight="false" outlineLevel="0" collapsed="false">
      <c r="A195" s="34" t="s">
        <v>842</v>
      </c>
      <c r="B195" s="35" t="s">
        <v>843</v>
      </c>
      <c r="C195" s="34" t="s">
        <v>31</v>
      </c>
      <c r="D195" s="34" t="s">
        <v>85</v>
      </c>
      <c r="E195" s="34" t="s">
        <v>56</v>
      </c>
      <c r="F195" s="34" t="s">
        <v>79</v>
      </c>
      <c r="G195" s="36" t="n">
        <v>32100</v>
      </c>
      <c r="H195" s="36" t="n">
        <v>42305</v>
      </c>
      <c r="I195" s="37" t="n">
        <v>203000</v>
      </c>
      <c r="J195" s="38" t="n">
        <v>0.203</v>
      </c>
      <c r="K195" s="37" t="n">
        <f aca="false">J195*I195</f>
        <v>41209</v>
      </c>
      <c r="L195" s="37" t="n">
        <f aca="false">I195+K195</f>
        <v>244209</v>
      </c>
      <c r="M195" s="39" t="n">
        <v>9.2</v>
      </c>
      <c r="N195" s="40" t="n">
        <v>2.82</v>
      </c>
      <c r="O195" s="41" t="n">
        <v>0.729</v>
      </c>
      <c r="P195" s="42" t="n">
        <v>24</v>
      </c>
      <c r="Q195" s="42" t="n">
        <v>96</v>
      </c>
      <c r="R195" s="35" t="s">
        <v>844</v>
      </c>
      <c r="S195" s="35" t="s">
        <v>845</v>
      </c>
      <c r="T195" s="34" t="s">
        <v>60</v>
      </c>
    </row>
    <row r="196" customFormat="false" ht="15" hidden="false" customHeight="false" outlineLevel="0" collapsed="false">
      <c r="A196" s="43" t="s">
        <v>846</v>
      </c>
      <c r="B196" s="44" t="s">
        <v>847</v>
      </c>
      <c r="C196" s="43" t="s">
        <v>29</v>
      </c>
      <c r="D196" s="43" t="s">
        <v>85</v>
      </c>
      <c r="E196" s="43" t="s">
        <v>136</v>
      </c>
      <c r="F196" s="43" t="s">
        <v>57</v>
      </c>
      <c r="G196" s="45" t="n">
        <v>36126</v>
      </c>
      <c r="H196" s="45" t="n">
        <v>44991</v>
      </c>
      <c r="I196" s="46" t="n">
        <v>182000</v>
      </c>
      <c r="J196" s="47" t="n">
        <v>0.177</v>
      </c>
      <c r="K196" s="46" t="n">
        <f aca="false">J196*I196</f>
        <v>32214</v>
      </c>
      <c r="L196" s="46" t="n">
        <f aca="false">I196+K196</f>
        <v>214214</v>
      </c>
      <c r="M196" s="48" t="n">
        <v>1.8</v>
      </c>
      <c r="N196" s="49" t="n">
        <v>3.75</v>
      </c>
      <c r="O196" s="50" t="n">
        <v>0.714</v>
      </c>
      <c r="P196" s="51" t="n">
        <v>9</v>
      </c>
      <c r="Q196" s="51" t="n">
        <v>192</v>
      </c>
      <c r="R196" s="44" t="s">
        <v>848</v>
      </c>
      <c r="S196" s="44" t="s">
        <v>849</v>
      </c>
      <c r="T196" s="43" t="s">
        <v>66</v>
      </c>
    </row>
    <row r="197" customFormat="false" ht="15" hidden="false" customHeight="false" outlineLevel="0" collapsed="false">
      <c r="A197" s="34" t="s">
        <v>850</v>
      </c>
      <c r="B197" s="35" t="s">
        <v>851</v>
      </c>
      <c r="C197" s="34" t="s">
        <v>31</v>
      </c>
      <c r="D197" s="34" t="s">
        <v>69</v>
      </c>
      <c r="E197" s="34" t="s">
        <v>126</v>
      </c>
      <c r="F197" s="34" t="s">
        <v>57</v>
      </c>
      <c r="G197" s="36" t="n">
        <v>33992</v>
      </c>
      <c r="H197" s="36" t="n">
        <v>39438</v>
      </c>
      <c r="I197" s="37" t="n">
        <v>183000</v>
      </c>
      <c r="J197" s="38" t="n">
        <v>0.273</v>
      </c>
      <c r="K197" s="37" t="n">
        <f aca="false">J197*I197</f>
        <v>49959</v>
      </c>
      <c r="L197" s="37" t="n">
        <f aca="false">I197+K197</f>
        <v>232959</v>
      </c>
      <c r="M197" s="39" t="n">
        <v>17</v>
      </c>
      <c r="N197" s="40" t="n">
        <v>2.85</v>
      </c>
      <c r="O197" s="41" t="n">
        <v>0.979</v>
      </c>
      <c r="P197" s="42" t="n">
        <v>21</v>
      </c>
      <c r="Q197" s="42" t="n">
        <v>51</v>
      </c>
      <c r="R197" s="35" t="s">
        <v>852</v>
      </c>
      <c r="S197" s="35" t="s">
        <v>853</v>
      </c>
      <c r="T197" s="34" t="s">
        <v>66</v>
      </c>
    </row>
    <row r="198" customFormat="false" ht="15" hidden="false" customHeight="false" outlineLevel="0" collapsed="false">
      <c r="A198" s="43" t="s">
        <v>854</v>
      </c>
      <c r="B198" s="44" t="s">
        <v>855</v>
      </c>
      <c r="C198" s="43" t="s">
        <v>33</v>
      </c>
      <c r="D198" s="43" t="s">
        <v>142</v>
      </c>
      <c r="E198" s="43" t="s">
        <v>56</v>
      </c>
      <c r="F198" s="43" t="s">
        <v>79</v>
      </c>
      <c r="G198" s="45" t="n">
        <v>33344</v>
      </c>
      <c r="H198" s="45" t="n">
        <v>38936</v>
      </c>
      <c r="I198" s="46" t="n">
        <v>113000</v>
      </c>
      <c r="J198" s="47" t="n">
        <v>0.177</v>
      </c>
      <c r="K198" s="46" t="n">
        <f aca="false">J198*I198</f>
        <v>20001</v>
      </c>
      <c r="L198" s="46" t="n">
        <f aca="false">I198+K198</f>
        <v>133001</v>
      </c>
      <c r="M198" s="48" t="n">
        <v>18.4</v>
      </c>
      <c r="N198" s="49" t="n">
        <v>3.77</v>
      </c>
      <c r="O198" s="50" t="n">
        <v>0.847</v>
      </c>
      <c r="P198" s="51" t="n">
        <v>37</v>
      </c>
      <c r="Q198" s="51" t="n">
        <v>86</v>
      </c>
      <c r="R198" s="44" t="s">
        <v>856</v>
      </c>
      <c r="S198" s="44" t="s">
        <v>857</v>
      </c>
      <c r="T198" s="43" t="s">
        <v>66</v>
      </c>
    </row>
    <row r="199" customFormat="false" ht="15" hidden="false" customHeight="false" outlineLevel="0" collapsed="false">
      <c r="A199" s="34" t="s">
        <v>858</v>
      </c>
      <c r="B199" s="35" t="s">
        <v>859</v>
      </c>
      <c r="C199" s="34" t="s">
        <v>24</v>
      </c>
      <c r="D199" s="34" t="s">
        <v>95</v>
      </c>
      <c r="E199" s="34" t="s">
        <v>151</v>
      </c>
      <c r="F199" s="34" t="s">
        <v>79</v>
      </c>
      <c r="G199" s="36" t="n">
        <v>29564</v>
      </c>
      <c r="H199" s="36" t="n">
        <v>39942</v>
      </c>
      <c r="I199" s="37" t="n">
        <v>53000</v>
      </c>
      <c r="J199" s="38" t="n">
        <v>0.295</v>
      </c>
      <c r="K199" s="37" t="n">
        <f aca="false">J199*I199</f>
        <v>15635</v>
      </c>
      <c r="L199" s="37" t="n">
        <f aca="false">I199+K199</f>
        <v>68635</v>
      </c>
      <c r="M199" s="39" t="n">
        <v>15.6</v>
      </c>
      <c r="N199" s="40" t="n">
        <v>3.96</v>
      </c>
      <c r="O199" s="41" t="n">
        <v>0.939</v>
      </c>
      <c r="P199" s="42" t="n">
        <v>2</v>
      </c>
      <c r="Q199" s="42" t="n">
        <v>162</v>
      </c>
      <c r="R199" s="35" t="s">
        <v>860</v>
      </c>
      <c r="S199" s="35" t="s">
        <v>861</v>
      </c>
      <c r="T199" s="34" t="s">
        <v>66</v>
      </c>
    </row>
    <row r="200" customFormat="false" ht="15" hidden="false" customHeight="false" outlineLevel="0" collapsed="false">
      <c r="A200" s="43" t="s">
        <v>862</v>
      </c>
      <c r="B200" s="44" t="s">
        <v>863</v>
      </c>
      <c r="C200" s="43" t="s">
        <v>28</v>
      </c>
      <c r="D200" s="43" t="s">
        <v>142</v>
      </c>
      <c r="E200" s="43" t="s">
        <v>96</v>
      </c>
      <c r="F200" s="43" t="s">
        <v>79</v>
      </c>
      <c r="G200" s="45" t="n">
        <v>37312</v>
      </c>
      <c r="H200" s="45" t="n">
        <v>38640</v>
      </c>
      <c r="I200" s="46" t="n">
        <v>38000</v>
      </c>
      <c r="J200" s="47" t="n">
        <v>0.196</v>
      </c>
      <c r="K200" s="46" t="n">
        <f aca="false">J200*I200</f>
        <v>7448</v>
      </c>
      <c r="L200" s="46" t="n">
        <f aca="false">I200+K200</f>
        <v>45448</v>
      </c>
      <c r="M200" s="48" t="n">
        <v>19.2</v>
      </c>
      <c r="N200" s="49" t="n">
        <v>2.93</v>
      </c>
      <c r="O200" s="50" t="n">
        <v>0.889</v>
      </c>
      <c r="P200" s="51" t="n">
        <v>40</v>
      </c>
      <c r="Q200" s="51" t="n">
        <v>107</v>
      </c>
      <c r="R200" s="44" t="s">
        <v>864</v>
      </c>
      <c r="S200" s="44" t="s">
        <v>865</v>
      </c>
      <c r="T200" s="43" t="s">
        <v>66</v>
      </c>
    </row>
    <row r="201" customFormat="false" ht="15" hidden="false" customHeight="false" outlineLevel="0" collapsed="false">
      <c r="A201" s="34" t="s">
        <v>866</v>
      </c>
      <c r="B201" s="35" t="s">
        <v>867</v>
      </c>
      <c r="C201" s="34" t="s">
        <v>27</v>
      </c>
      <c r="D201" s="34" t="s">
        <v>55</v>
      </c>
      <c r="E201" s="34" t="s">
        <v>131</v>
      </c>
      <c r="F201" s="34" t="s">
        <v>57</v>
      </c>
      <c r="G201" s="36" t="n">
        <v>33454</v>
      </c>
      <c r="H201" s="36" t="n">
        <v>40953</v>
      </c>
      <c r="I201" s="37" t="n">
        <v>29000</v>
      </c>
      <c r="J201" s="38" t="n">
        <v>0.16</v>
      </c>
      <c r="K201" s="37" t="n">
        <f aca="false">J201*I201</f>
        <v>4640</v>
      </c>
      <c r="L201" s="37" t="n">
        <f aca="false">I201+K201</f>
        <v>33640</v>
      </c>
      <c r="M201" s="39" t="n">
        <v>12.9</v>
      </c>
      <c r="N201" s="40" t="n">
        <v>3.55</v>
      </c>
      <c r="O201" s="41" t="n">
        <v>0.824</v>
      </c>
      <c r="P201" s="42" t="n">
        <v>14</v>
      </c>
      <c r="Q201" s="42" t="n">
        <v>115</v>
      </c>
      <c r="R201" s="35" t="s">
        <v>868</v>
      </c>
      <c r="S201" s="35" t="s">
        <v>869</v>
      </c>
      <c r="T201" s="34" t="s">
        <v>60</v>
      </c>
    </row>
    <row r="202" customFormat="false" ht="15" hidden="false" customHeight="false" outlineLevel="0" collapsed="false">
      <c r="A202" s="43" t="s">
        <v>870</v>
      </c>
      <c r="B202" s="44" t="s">
        <v>871</v>
      </c>
      <c r="C202" s="43" t="s">
        <v>33</v>
      </c>
      <c r="D202" s="43" t="s">
        <v>113</v>
      </c>
      <c r="E202" s="43" t="s">
        <v>63</v>
      </c>
      <c r="F202" s="43" t="s">
        <v>79</v>
      </c>
      <c r="G202" s="45" t="n">
        <v>26650</v>
      </c>
      <c r="H202" s="45" t="n">
        <v>39473</v>
      </c>
      <c r="I202" s="46" t="n">
        <v>61000</v>
      </c>
      <c r="J202" s="47" t="n">
        <v>0.18</v>
      </c>
      <c r="K202" s="46" t="n">
        <f aca="false">J202*I202</f>
        <v>10980</v>
      </c>
      <c r="L202" s="46" t="n">
        <f aca="false">I202+K202</f>
        <v>71980</v>
      </c>
      <c r="M202" s="48" t="n">
        <v>16.9</v>
      </c>
      <c r="N202" s="49" t="n">
        <v>3.9</v>
      </c>
      <c r="O202" s="50" t="n">
        <v>0.999</v>
      </c>
      <c r="P202" s="51" t="n">
        <v>31</v>
      </c>
      <c r="Q202" s="51" t="n">
        <v>144</v>
      </c>
      <c r="R202" s="44" t="s">
        <v>872</v>
      </c>
      <c r="S202" s="44" t="s">
        <v>873</v>
      </c>
      <c r="T202" s="43" t="s">
        <v>66</v>
      </c>
    </row>
    <row r="203" customFormat="false" ht="15" hidden="false" customHeight="false" outlineLevel="0" collapsed="false">
      <c r="A203" s="34" t="s">
        <v>874</v>
      </c>
      <c r="B203" s="35" t="s">
        <v>875</v>
      </c>
      <c r="C203" s="34" t="s">
        <v>29</v>
      </c>
      <c r="D203" s="34" t="s">
        <v>90</v>
      </c>
      <c r="E203" s="34" t="s">
        <v>126</v>
      </c>
      <c r="F203" s="34" t="s">
        <v>79</v>
      </c>
      <c r="G203" s="36" t="n">
        <v>33128</v>
      </c>
      <c r="H203" s="36" t="n">
        <v>38632</v>
      </c>
      <c r="I203" s="37" t="n">
        <v>114000</v>
      </c>
      <c r="J203" s="38" t="n">
        <v>0.187</v>
      </c>
      <c r="K203" s="37" t="n">
        <f aca="false">J203*I203</f>
        <v>21318</v>
      </c>
      <c r="L203" s="37" t="n">
        <f aca="false">I203+K203</f>
        <v>135318</v>
      </c>
      <c r="M203" s="39" t="n">
        <v>19.2</v>
      </c>
      <c r="N203" s="40" t="n">
        <v>4.19</v>
      </c>
      <c r="O203" s="41" t="n">
        <v>0.96</v>
      </c>
      <c r="P203" s="42" t="n">
        <v>17</v>
      </c>
      <c r="Q203" s="42" t="n">
        <v>166</v>
      </c>
      <c r="R203" s="35" t="s">
        <v>876</v>
      </c>
      <c r="S203" s="35" t="s">
        <v>877</v>
      </c>
      <c r="T203" s="34" t="s">
        <v>66</v>
      </c>
    </row>
    <row r="204" customFormat="false" ht="15" hidden="false" customHeight="false" outlineLevel="0" collapsed="false">
      <c r="A204" s="43" t="s">
        <v>878</v>
      </c>
      <c r="B204" s="44" t="s">
        <v>879</v>
      </c>
      <c r="C204" s="43" t="s">
        <v>27</v>
      </c>
      <c r="D204" s="43" t="s">
        <v>90</v>
      </c>
      <c r="E204" s="43" t="s">
        <v>56</v>
      </c>
      <c r="F204" s="43" t="s">
        <v>79</v>
      </c>
      <c r="G204" s="45" t="n">
        <v>33042</v>
      </c>
      <c r="H204" s="45" t="n">
        <v>41989</v>
      </c>
      <c r="I204" s="46" t="n">
        <v>103000</v>
      </c>
      <c r="J204" s="47" t="n">
        <v>0.106</v>
      </c>
      <c r="K204" s="46" t="n">
        <f aca="false">J204*I204</f>
        <v>10918</v>
      </c>
      <c r="L204" s="46" t="n">
        <f aca="false">I204+K204</f>
        <v>113918</v>
      </c>
      <c r="M204" s="48" t="n">
        <v>10</v>
      </c>
      <c r="N204" s="49" t="n">
        <v>4.93</v>
      </c>
      <c r="O204" s="50" t="n">
        <v>0.789</v>
      </c>
      <c r="P204" s="51" t="n">
        <v>19</v>
      </c>
      <c r="Q204" s="51" t="n">
        <v>190</v>
      </c>
      <c r="R204" s="44" t="s">
        <v>880</v>
      </c>
      <c r="S204" s="44" t="s">
        <v>881</v>
      </c>
      <c r="T204" s="43" t="s">
        <v>66</v>
      </c>
    </row>
    <row r="205" customFormat="false" ht="15" hidden="false" customHeight="false" outlineLevel="0" collapsed="false">
      <c r="A205" s="34" t="s">
        <v>882</v>
      </c>
      <c r="B205" s="35" t="s">
        <v>883</v>
      </c>
      <c r="C205" s="34" t="s">
        <v>31</v>
      </c>
      <c r="D205" s="34" t="s">
        <v>95</v>
      </c>
      <c r="E205" s="34" t="s">
        <v>126</v>
      </c>
      <c r="F205" s="34" t="s">
        <v>137</v>
      </c>
      <c r="G205" s="36" t="n">
        <v>36482</v>
      </c>
      <c r="H205" s="36" t="n">
        <v>42136</v>
      </c>
      <c r="I205" s="37" t="n">
        <v>171000</v>
      </c>
      <c r="J205" s="38" t="n">
        <v>0.283</v>
      </c>
      <c r="K205" s="37" t="n">
        <f aca="false">J205*I205</f>
        <v>48393</v>
      </c>
      <c r="L205" s="37" t="n">
        <f aca="false">I205+K205</f>
        <v>219393</v>
      </c>
      <c r="M205" s="39" t="n">
        <v>9.6</v>
      </c>
      <c r="N205" s="40" t="n">
        <v>4.49</v>
      </c>
      <c r="O205" s="41" t="n">
        <v>0.782</v>
      </c>
      <c r="P205" s="42" t="n">
        <v>8</v>
      </c>
      <c r="Q205" s="42" t="n">
        <v>156</v>
      </c>
      <c r="R205" s="35" t="s">
        <v>884</v>
      </c>
      <c r="S205" s="35" t="s">
        <v>885</v>
      </c>
      <c r="T205" s="34" t="s">
        <v>82</v>
      </c>
    </row>
    <row r="206" customFormat="false" ht="15" hidden="false" customHeight="false" outlineLevel="0" collapsed="false">
      <c r="A206" s="43" t="s">
        <v>886</v>
      </c>
      <c r="B206" s="44" t="s">
        <v>887</v>
      </c>
      <c r="C206" s="43" t="s">
        <v>32</v>
      </c>
      <c r="D206" s="43" t="s">
        <v>113</v>
      </c>
      <c r="E206" s="43" t="s">
        <v>74</v>
      </c>
      <c r="F206" s="43" t="s">
        <v>137</v>
      </c>
      <c r="G206" s="45" t="n">
        <v>28059</v>
      </c>
      <c r="H206" s="45" t="n">
        <v>43805</v>
      </c>
      <c r="I206" s="46" t="n">
        <v>227000</v>
      </c>
      <c r="J206" s="47" t="n">
        <v>0.251</v>
      </c>
      <c r="K206" s="46" t="n">
        <f aca="false">J206*I206</f>
        <v>56977</v>
      </c>
      <c r="L206" s="46" t="n">
        <f aca="false">I206+K206</f>
        <v>283977</v>
      </c>
      <c r="M206" s="48" t="n">
        <v>5.1</v>
      </c>
      <c r="N206" s="49" t="n">
        <v>3.23</v>
      </c>
      <c r="O206" s="50" t="n">
        <v>0.786</v>
      </c>
      <c r="P206" s="51" t="n">
        <v>6</v>
      </c>
      <c r="Q206" s="51" t="n">
        <v>98</v>
      </c>
      <c r="R206" s="44" t="s">
        <v>460</v>
      </c>
      <c r="S206" s="44" t="s">
        <v>888</v>
      </c>
      <c r="T206" s="43" t="s">
        <v>66</v>
      </c>
    </row>
    <row r="207" customFormat="false" ht="15" hidden="false" customHeight="false" outlineLevel="0" collapsed="false">
      <c r="A207" s="34" t="s">
        <v>889</v>
      </c>
      <c r="B207" s="35" t="s">
        <v>890</v>
      </c>
      <c r="C207" s="34" t="s">
        <v>28</v>
      </c>
      <c r="D207" s="34" t="s">
        <v>142</v>
      </c>
      <c r="E207" s="34" t="s">
        <v>126</v>
      </c>
      <c r="F207" s="34" t="s">
        <v>57</v>
      </c>
      <c r="G207" s="36" t="n">
        <v>33426</v>
      </c>
      <c r="H207" s="36" t="n">
        <v>40158</v>
      </c>
      <c r="I207" s="37" t="n">
        <v>77000</v>
      </c>
      <c r="J207" s="38" t="n">
        <v>0.257</v>
      </c>
      <c r="K207" s="37" t="n">
        <f aca="false">J207*I207</f>
        <v>19789</v>
      </c>
      <c r="L207" s="37" t="n">
        <f aca="false">I207+K207</f>
        <v>96789</v>
      </c>
      <c r="M207" s="39" t="n">
        <v>15.1</v>
      </c>
      <c r="N207" s="40" t="n">
        <v>3.18</v>
      </c>
      <c r="O207" s="41" t="n">
        <v>0.869</v>
      </c>
      <c r="P207" s="42" t="n">
        <v>18</v>
      </c>
      <c r="Q207" s="42" t="n">
        <v>45</v>
      </c>
      <c r="R207" s="35" t="s">
        <v>891</v>
      </c>
      <c r="S207" s="35" t="s">
        <v>892</v>
      </c>
      <c r="T207" s="34" t="s">
        <v>66</v>
      </c>
    </row>
    <row r="208" customFormat="false" ht="15" hidden="false" customHeight="false" outlineLevel="0" collapsed="false">
      <c r="A208" s="43" t="s">
        <v>893</v>
      </c>
      <c r="B208" s="44" t="s">
        <v>894</v>
      </c>
      <c r="C208" s="43" t="s">
        <v>33</v>
      </c>
      <c r="D208" s="43" t="s">
        <v>142</v>
      </c>
      <c r="E208" s="43" t="s">
        <v>96</v>
      </c>
      <c r="F208" s="43" t="s">
        <v>57</v>
      </c>
      <c r="G208" s="45" t="n">
        <v>35083</v>
      </c>
      <c r="H208" s="45" t="n">
        <v>41187</v>
      </c>
      <c r="I208" s="46" t="n">
        <v>38000</v>
      </c>
      <c r="J208" s="47" t="n">
        <v>0.217</v>
      </c>
      <c r="K208" s="46" t="n">
        <f aca="false">J208*I208</f>
        <v>8246</v>
      </c>
      <c r="L208" s="46" t="n">
        <f aca="false">I208+K208</f>
        <v>46246</v>
      </c>
      <c r="M208" s="48" t="n">
        <v>12.2</v>
      </c>
      <c r="N208" s="49" t="n">
        <v>3.83</v>
      </c>
      <c r="O208" s="50" t="n">
        <v>0.891</v>
      </c>
      <c r="P208" s="51" t="n">
        <v>4</v>
      </c>
      <c r="Q208" s="51" t="n">
        <v>35</v>
      </c>
      <c r="R208" s="44" t="s">
        <v>895</v>
      </c>
      <c r="S208" s="44" t="s">
        <v>896</v>
      </c>
      <c r="T208" s="43" t="s">
        <v>66</v>
      </c>
    </row>
    <row r="209" customFormat="false" ht="15" hidden="false" customHeight="false" outlineLevel="0" collapsed="false">
      <c r="A209" s="34" t="s">
        <v>897</v>
      </c>
      <c r="B209" s="35" t="s">
        <v>898</v>
      </c>
      <c r="C209" s="34" t="s">
        <v>29</v>
      </c>
      <c r="D209" s="34" t="s">
        <v>142</v>
      </c>
      <c r="E209" s="34" t="s">
        <v>126</v>
      </c>
      <c r="F209" s="34" t="s">
        <v>57</v>
      </c>
      <c r="G209" s="36" t="n">
        <v>35491</v>
      </c>
      <c r="H209" s="36" t="n">
        <v>44214</v>
      </c>
      <c r="I209" s="37" t="n">
        <v>203000</v>
      </c>
      <c r="J209" s="38" t="n">
        <v>0.243</v>
      </c>
      <c r="K209" s="37" t="n">
        <f aca="false">J209*I209</f>
        <v>49329</v>
      </c>
      <c r="L209" s="37" t="n">
        <f aca="false">I209+K209</f>
        <v>252329</v>
      </c>
      <c r="M209" s="39" t="n">
        <v>4</v>
      </c>
      <c r="N209" s="40" t="n">
        <v>2.51</v>
      </c>
      <c r="O209" s="41" t="n">
        <v>0.865</v>
      </c>
      <c r="P209" s="42" t="n">
        <v>11</v>
      </c>
      <c r="Q209" s="42" t="n">
        <v>114</v>
      </c>
      <c r="R209" s="35" t="s">
        <v>899</v>
      </c>
      <c r="S209" s="35" t="s">
        <v>900</v>
      </c>
      <c r="T209" s="34" t="s">
        <v>82</v>
      </c>
    </row>
    <row r="210" customFormat="false" ht="15" hidden="false" customHeight="false" outlineLevel="0" collapsed="false">
      <c r="A210" s="43" t="s">
        <v>901</v>
      </c>
      <c r="B210" s="44" t="s">
        <v>902</v>
      </c>
      <c r="C210" s="43" t="s">
        <v>31</v>
      </c>
      <c r="D210" s="43" t="s">
        <v>113</v>
      </c>
      <c r="E210" s="43" t="s">
        <v>96</v>
      </c>
      <c r="F210" s="43" t="s">
        <v>137</v>
      </c>
      <c r="G210" s="45" t="n">
        <v>25074</v>
      </c>
      <c r="H210" s="45" t="n">
        <v>42621</v>
      </c>
      <c r="I210" s="46" t="n">
        <v>109000</v>
      </c>
      <c r="J210" s="47" t="n">
        <v>0.121</v>
      </c>
      <c r="K210" s="46" t="n">
        <f aca="false">J210*I210</f>
        <v>13189</v>
      </c>
      <c r="L210" s="46" t="n">
        <f aca="false">I210+K210</f>
        <v>122189</v>
      </c>
      <c r="M210" s="48" t="n">
        <v>8.3</v>
      </c>
      <c r="N210" s="49" t="n">
        <v>2.65</v>
      </c>
      <c r="O210" s="50" t="n">
        <v>0.931</v>
      </c>
      <c r="P210" s="51" t="n">
        <v>37</v>
      </c>
      <c r="Q210" s="51" t="n">
        <v>69</v>
      </c>
      <c r="R210" s="44" t="s">
        <v>903</v>
      </c>
      <c r="S210" s="44" t="s">
        <v>904</v>
      </c>
      <c r="T210" s="43" t="s">
        <v>60</v>
      </c>
    </row>
    <row r="211" customFormat="false" ht="15" hidden="false" customHeight="false" outlineLevel="0" collapsed="false">
      <c r="A211" s="34" t="s">
        <v>905</v>
      </c>
      <c r="B211" s="35" t="s">
        <v>906</v>
      </c>
      <c r="C211" s="34" t="s">
        <v>24</v>
      </c>
      <c r="D211" s="34" t="s">
        <v>90</v>
      </c>
      <c r="E211" s="34" t="s">
        <v>74</v>
      </c>
      <c r="F211" s="34" t="s">
        <v>57</v>
      </c>
      <c r="G211" s="36" t="n">
        <v>37042</v>
      </c>
      <c r="H211" s="36" t="n">
        <v>42266</v>
      </c>
      <c r="I211" s="37" t="n">
        <v>34000</v>
      </c>
      <c r="J211" s="38" t="n">
        <v>0.299</v>
      </c>
      <c r="K211" s="37" t="n">
        <f aca="false">J211*I211</f>
        <v>10166</v>
      </c>
      <c r="L211" s="37" t="n">
        <f aca="false">I211+K211</f>
        <v>44166</v>
      </c>
      <c r="M211" s="39" t="n">
        <v>9.3</v>
      </c>
      <c r="N211" s="40" t="n">
        <v>3.49</v>
      </c>
      <c r="O211" s="41" t="n">
        <v>0.849</v>
      </c>
      <c r="P211" s="42" t="n">
        <v>19</v>
      </c>
      <c r="Q211" s="42" t="n">
        <v>19</v>
      </c>
      <c r="R211" s="35" t="s">
        <v>907</v>
      </c>
      <c r="S211" s="35" t="s">
        <v>908</v>
      </c>
      <c r="T211" s="34" t="s">
        <v>66</v>
      </c>
    </row>
    <row r="212" customFormat="false" ht="15" hidden="false" customHeight="false" outlineLevel="0" collapsed="false">
      <c r="A212" s="43" t="s">
        <v>909</v>
      </c>
      <c r="B212" s="44" t="s">
        <v>910</v>
      </c>
      <c r="C212" s="43" t="s">
        <v>28</v>
      </c>
      <c r="D212" s="43" t="s">
        <v>69</v>
      </c>
      <c r="E212" s="43" t="s">
        <v>131</v>
      </c>
      <c r="F212" s="43" t="s">
        <v>137</v>
      </c>
      <c r="G212" s="45" t="n">
        <v>31420</v>
      </c>
      <c r="H212" s="45" t="n">
        <v>40773</v>
      </c>
      <c r="I212" s="46" t="n">
        <v>99000</v>
      </c>
      <c r="J212" s="47" t="n">
        <v>0.164</v>
      </c>
      <c r="K212" s="46" t="n">
        <f aca="false">J212*I212</f>
        <v>16236</v>
      </c>
      <c r="L212" s="46" t="n">
        <f aca="false">I212+K212</f>
        <v>115236</v>
      </c>
      <c r="M212" s="48" t="n">
        <v>13.4</v>
      </c>
      <c r="N212" s="49" t="n">
        <v>4.1</v>
      </c>
      <c r="O212" s="50" t="n">
        <v>0.857</v>
      </c>
      <c r="P212" s="51" t="n">
        <v>9</v>
      </c>
      <c r="Q212" s="51" t="n">
        <v>139</v>
      </c>
      <c r="R212" s="44" t="s">
        <v>911</v>
      </c>
      <c r="S212" s="44" t="s">
        <v>912</v>
      </c>
      <c r="T212" s="43" t="s">
        <v>66</v>
      </c>
    </row>
    <row r="213" customFormat="false" ht="15" hidden="false" customHeight="false" outlineLevel="0" collapsed="false">
      <c r="A213" s="34" t="s">
        <v>913</v>
      </c>
      <c r="B213" s="35" t="s">
        <v>914</v>
      </c>
      <c r="C213" s="34" t="s">
        <v>28</v>
      </c>
      <c r="D213" s="34" t="s">
        <v>90</v>
      </c>
      <c r="E213" s="34" t="s">
        <v>131</v>
      </c>
      <c r="F213" s="34" t="s">
        <v>137</v>
      </c>
      <c r="G213" s="36" t="n">
        <v>37532</v>
      </c>
      <c r="H213" s="36" t="n">
        <v>42030</v>
      </c>
      <c r="I213" s="37" t="n">
        <v>67000</v>
      </c>
      <c r="J213" s="38" t="n">
        <v>0.233</v>
      </c>
      <c r="K213" s="37" t="n">
        <f aca="false">J213*I213</f>
        <v>15611</v>
      </c>
      <c r="L213" s="37" t="n">
        <f aca="false">I213+K213</f>
        <v>82611</v>
      </c>
      <c r="M213" s="39" t="n">
        <v>9.9</v>
      </c>
      <c r="N213" s="40" t="n">
        <v>4.12</v>
      </c>
      <c r="O213" s="41" t="n">
        <v>0.916</v>
      </c>
      <c r="P213" s="42" t="n">
        <v>1</v>
      </c>
      <c r="Q213" s="42" t="n">
        <v>198</v>
      </c>
      <c r="R213" s="35" t="s">
        <v>915</v>
      </c>
      <c r="S213" s="35" t="s">
        <v>916</v>
      </c>
      <c r="T213" s="34" t="s">
        <v>66</v>
      </c>
    </row>
    <row r="214" customFormat="false" ht="15" hidden="false" customHeight="false" outlineLevel="0" collapsed="false">
      <c r="A214" s="43" t="s">
        <v>917</v>
      </c>
      <c r="B214" s="44" t="s">
        <v>918</v>
      </c>
      <c r="C214" s="43" t="s">
        <v>28</v>
      </c>
      <c r="D214" s="43" t="s">
        <v>69</v>
      </c>
      <c r="E214" s="43" t="s">
        <v>96</v>
      </c>
      <c r="F214" s="43" t="s">
        <v>57</v>
      </c>
      <c r="G214" s="45" t="n">
        <v>31363</v>
      </c>
      <c r="H214" s="45" t="n">
        <v>39774</v>
      </c>
      <c r="I214" s="46" t="n">
        <v>185000</v>
      </c>
      <c r="J214" s="47" t="n">
        <v>0.264</v>
      </c>
      <c r="K214" s="46" t="n">
        <f aca="false">J214*I214</f>
        <v>48840</v>
      </c>
      <c r="L214" s="46" t="n">
        <f aca="false">I214+K214</f>
        <v>233840</v>
      </c>
      <c r="M214" s="48" t="n">
        <v>16.1</v>
      </c>
      <c r="N214" s="49" t="n">
        <v>4.74</v>
      </c>
      <c r="O214" s="50" t="n">
        <v>0.948</v>
      </c>
      <c r="P214" s="51" t="n">
        <v>33</v>
      </c>
      <c r="Q214" s="51" t="n">
        <v>93</v>
      </c>
      <c r="R214" s="44" t="s">
        <v>919</v>
      </c>
      <c r="S214" s="44" t="s">
        <v>920</v>
      </c>
      <c r="T214" s="43" t="s">
        <v>66</v>
      </c>
    </row>
    <row r="215" customFormat="false" ht="15" hidden="false" customHeight="false" outlineLevel="0" collapsed="false">
      <c r="A215" s="34" t="s">
        <v>921</v>
      </c>
      <c r="B215" s="35" t="s">
        <v>922</v>
      </c>
      <c r="C215" s="34" t="s">
        <v>30</v>
      </c>
      <c r="D215" s="34" t="s">
        <v>142</v>
      </c>
      <c r="E215" s="34" t="s">
        <v>131</v>
      </c>
      <c r="F215" s="34" t="s">
        <v>57</v>
      </c>
      <c r="G215" s="36" t="n">
        <v>33008</v>
      </c>
      <c r="H215" s="36" t="n">
        <v>41858</v>
      </c>
      <c r="I215" s="37" t="n">
        <v>61000</v>
      </c>
      <c r="J215" s="38" t="n">
        <v>0.169</v>
      </c>
      <c r="K215" s="37" t="n">
        <f aca="false">J215*I215</f>
        <v>10309</v>
      </c>
      <c r="L215" s="37" t="n">
        <f aca="false">I215+K215</f>
        <v>71309</v>
      </c>
      <c r="M215" s="39" t="n">
        <v>10.4</v>
      </c>
      <c r="N215" s="40" t="n">
        <v>4.84</v>
      </c>
      <c r="O215" s="41" t="n">
        <v>0.702</v>
      </c>
      <c r="P215" s="42" t="n">
        <v>25</v>
      </c>
      <c r="Q215" s="42" t="n">
        <v>70</v>
      </c>
      <c r="R215" s="35" t="s">
        <v>923</v>
      </c>
      <c r="S215" s="35" t="s">
        <v>924</v>
      </c>
      <c r="T215" s="34" t="s">
        <v>66</v>
      </c>
    </row>
    <row r="216" customFormat="false" ht="15" hidden="false" customHeight="false" outlineLevel="0" collapsed="false">
      <c r="A216" s="43" t="s">
        <v>925</v>
      </c>
      <c r="B216" s="44" t="s">
        <v>926</v>
      </c>
      <c r="C216" s="43" t="s">
        <v>28</v>
      </c>
      <c r="D216" s="43" t="s">
        <v>95</v>
      </c>
      <c r="E216" s="43" t="s">
        <v>56</v>
      </c>
      <c r="F216" s="43" t="s">
        <v>79</v>
      </c>
      <c r="G216" s="45" t="n">
        <v>33730</v>
      </c>
      <c r="H216" s="45" t="n">
        <v>41054</v>
      </c>
      <c r="I216" s="46" t="n">
        <v>214000</v>
      </c>
      <c r="J216" s="47" t="n">
        <v>0.193</v>
      </c>
      <c r="K216" s="46" t="n">
        <f aca="false">J216*I216</f>
        <v>41302</v>
      </c>
      <c r="L216" s="46" t="n">
        <f aca="false">I216+K216</f>
        <v>255302</v>
      </c>
      <c r="M216" s="48" t="n">
        <v>12.6</v>
      </c>
      <c r="N216" s="49" t="n">
        <v>3.15</v>
      </c>
      <c r="O216" s="50" t="n">
        <v>0.808</v>
      </c>
      <c r="P216" s="51" t="n">
        <v>16</v>
      </c>
      <c r="Q216" s="51" t="n">
        <v>25</v>
      </c>
      <c r="R216" s="44" t="s">
        <v>927</v>
      </c>
      <c r="S216" s="44" t="s">
        <v>928</v>
      </c>
      <c r="T216" s="43" t="s">
        <v>82</v>
      </c>
    </row>
    <row r="217" customFormat="false" ht="15" hidden="false" customHeight="false" outlineLevel="0" collapsed="false">
      <c r="A217" s="34" t="s">
        <v>929</v>
      </c>
      <c r="B217" s="35" t="s">
        <v>930</v>
      </c>
      <c r="C217" s="34" t="s">
        <v>25</v>
      </c>
      <c r="D217" s="34" t="s">
        <v>113</v>
      </c>
      <c r="E217" s="34" t="s">
        <v>56</v>
      </c>
      <c r="F217" s="34" t="s">
        <v>57</v>
      </c>
      <c r="G217" s="36" t="n">
        <v>32342</v>
      </c>
      <c r="H217" s="36" t="n">
        <v>45325</v>
      </c>
      <c r="I217" s="37" t="n">
        <v>131000</v>
      </c>
      <c r="J217" s="38" t="n">
        <v>0.222</v>
      </c>
      <c r="K217" s="37" t="n">
        <f aca="false">J217*I217</f>
        <v>29082</v>
      </c>
      <c r="L217" s="37" t="n">
        <f aca="false">I217+K217</f>
        <v>160082</v>
      </c>
      <c r="M217" s="39" t="n">
        <v>0.9</v>
      </c>
      <c r="N217" s="40" t="n">
        <v>4.81</v>
      </c>
      <c r="O217" s="41" t="n">
        <v>0.966</v>
      </c>
      <c r="P217" s="42" t="n">
        <v>20</v>
      </c>
      <c r="Q217" s="42" t="n">
        <v>186</v>
      </c>
      <c r="R217" s="35" t="s">
        <v>931</v>
      </c>
      <c r="S217" s="35" t="s">
        <v>932</v>
      </c>
      <c r="T217" s="34" t="s">
        <v>66</v>
      </c>
    </row>
    <row r="218" customFormat="false" ht="15" hidden="false" customHeight="false" outlineLevel="0" collapsed="false">
      <c r="A218" s="43" t="s">
        <v>933</v>
      </c>
      <c r="B218" s="44" t="s">
        <v>934</v>
      </c>
      <c r="C218" s="43" t="s">
        <v>28</v>
      </c>
      <c r="D218" s="43" t="s">
        <v>95</v>
      </c>
      <c r="E218" s="43" t="s">
        <v>96</v>
      </c>
      <c r="F218" s="43" t="s">
        <v>57</v>
      </c>
      <c r="G218" s="45" t="n">
        <v>28674</v>
      </c>
      <c r="H218" s="45" t="n">
        <v>42355</v>
      </c>
      <c r="I218" s="46" t="n">
        <v>60000</v>
      </c>
      <c r="J218" s="47" t="n">
        <v>0.17</v>
      </c>
      <c r="K218" s="46" t="n">
        <f aca="false">J218*I218</f>
        <v>10200</v>
      </c>
      <c r="L218" s="46" t="n">
        <f aca="false">I218+K218</f>
        <v>70200</v>
      </c>
      <c r="M218" s="48" t="n">
        <v>9</v>
      </c>
      <c r="N218" s="49" t="n">
        <v>3.64</v>
      </c>
      <c r="O218" s="50" t="n">
        <v>0.997</v>
      </c>
      <c r="P218" s="51" t="n">
        <v>24</v>
      </c>
      <c r="Q218" s="51" t="n">
        <v>116</v>
      </c>
      <c r="R218" s="44" t="s">
        <v>935</v>
      </c>
      <c r="S218" s="44" t="s">
        <v>936</v>
      </c>
      <c r="T218" s="43" t="s">
        <v>82</v>
      </c>
    </row>
    <row r="219" customFormat="false" ht="15" hidden="false" customHeight="false" outlineLevel="0" collapsed="false">
      <c r="A219" s="34" t="s">
        <v>937</v>
      </c>
      <c r="B219" s="35" t="s">
        <v>938</v>
      </c>
      <c r="C219" s="34" t="s">
        <v>32</v>
      </c>
      <c r="D219" s="34" t="s">
        <v>113</v>
      </c>
      <c r="E219" s="34" t="s">
        <v>96</v>
      </c>
      <c r="F219" s="34" t="s">
        <v>57</v>
      </c>
      <c r="G219" s="36" t="n">
        <v>30184</v>
      </c>
      <c r="H219" s="36" t="n">
        <v>40852</v>
      </c>
      <c r="I219" s="37" t="n">
        <v>203000</v>
      </c>
      <c r="J219" s="38" t="n">
        <v>0.239</v>
      </c>
      <c r="K219" s="37" t="n">
        <f aca="false">J219*I219</f>
        <v>48517</v>
      </c>
      <c r="L219" s="37" t="n">
        <f aca="false">I219+K219</f>
        <v>251517</v>
      </c>
      <c r="M219" s="39" t="n">
        <v>13.2</v>
      </c>
      <c r="N219" s="40" t="n">
        <v>4.68</v>
      </c>
      <c r="O219" s="41" t="n">
        <v>0.725</v>
      </c>
      <c r="P219" s="42" t="n">
        <v>29</v>
      </c>
      <c r="Q219" s="42" t="n">
        <v>145</v>
      </c>
      <c r="R219" s="35" t="s">
        <v>939</v>
      </c>
      <c r="S219" s="35" t="s">
        <v>940</v>
      </c>
      <c r="T219" s="34" t="s">
        <v>82</v>
      </c>
    </row>
    <row r="220" customFormat="false" ht="15" hidden="false" customHeight="false" outlineLevel="0" collapsed="false">
      <c r="A220" s="43" t="s">
        <v>941</v>
      </c>
      <c r="B220" s="44" t="s">
        <v>942</v>
      </c>
      <c r="C220" s="43" t="s">
        <v>29</v>
      </c>
      <c r="D220" s="43" t="s">
        <v>55</v>
      </c>
      <c r="E220" s="43" t="s">
        <v>131</v>
      </c>
      <c r="F220" s="43" t="s">
        <v>57</v>
      </c>
      <c r="G220" s="45" t="n">
        <v>25689</v>
      </c>
      <c r="H220" s="45" t="n">
        <v>40799</v>
      </c>
      <c r="I220" s="46" t="n">
        <v>242000</v>
      </c>
      <c r="J220" s="47" t="n">
        <v>0.187</v>
      </c>
      <c r="K220" s="46" t="n">
        <f aca="false">J220*I220</f>
        <v>45254</v>
      </c>
      <c r="L220" s="46" t="n">
        <f aca="false">I220+K220</f>
        <v>287254</v>
      </c>
      <c r="M220" s="48" t="n">
        <v>13.3</v>
      </c>
      <c r="N220" s="49" t="n">
        <v>3.76</v>
      </c>
      <c r="O220" s="50" t="n">
        <v>0.872</v>
      </c>
      <c r="P220" s="51" t="n">
        <v>10</v>
      </c>
      <c r="Q220" s="51" t="n">
        <v>52</v>
      </c>
      <c r="R220" s="44" t="s">
        <v>943</v>
      </c>
      <c r="S220" s="44" t="s">
        <v>944</v>
      </c>
      <c r="T220" s="43" t="s">
        <v>66</v>
      </c>
    </row>
    <row r="221" customFormat="false" ht="15" hidden="false" customHeight="false" outlineLevel="0" collapsed="false">
      <c r="A221" s="34" t="s">
        <v>945</v>
      </c>
      <c r="B221" s="35" t="s">
        <v>946</v>
      </c>
      <c r="C221" s="34" t="s">
        <v>32</v>
      </c>
      <c r="D221" s="34" t="s">
        <v>113</v>
      </c>
      <c r="E221" s="34" t="s">
        <v>131</v>
      </c>
      <c r="F221" s="34" t="s">
        <v>79</v>
      </c>
      <c r="G221" s="36" t="n">
        <v>26012</v>
      </c>
      <c r="H221" s="36" t="n">
        <v>38807</v>
      </c>
      <c r="I221" s="37" t="n">
        <v>78000</v>
      </c>
      <c r="J221" s="38" t="n">
        <v>0.229</v>
      </c>
      <c r="K221" s="37" t="n">
        <f aca="false">J221*I221</f>
        <v>17862</v>
      </c>
      <c r="L221" s="37" t="n">
        <f aca="false">I221+K221</f>
        <v>95862</v>
      </c>
      <c r="M221" s="39" t="n">
        <v>18.8</v>
      </c>
      <c r="N221" s="40" t="n">
        <v>3.72</v>
      </c>
      <c r="O221" s="41" t="n">
        <v>0.97</v>
      </c>
      <c r="P221" s="42" t="n">
        <v>29</v>
      </c>
      <c r="Q221" s="42" t="n">
        <v>24</v>
      </c>
      <c r="R221" s="35" t="s">
        <v>947</v>
      </c>
      <c r="S221" s="35" t="s">
        <v>948</v>
      </c>
      <c r="T221" s="34" t="s">
        <v>66</v>
      </c>
    </row>
    <row r="222" customFormat="false" ht="15" hidden="false" customHeight="false" outlineLevel="0" collapsed="false">
      <c r="A222" s="43" t="s">
        <v>949</v>
      </c>
      <c r="B222" s="44" t="s">
        <v>950</v>
      </c>
      <c r="C222" s="43" t="s">
        <v>26</v>
      </c>
      <c r="D222" s="43" t="s">
        <v>69</v>
      </c>
      <c r="E222" s="43" t="s">
        <v>74</v>
      </c>
      <c r="F222" s="43" t="s">
        <v>137</v>
      </c>
      <c r="G222" s="45" t="n">
        <v>25095</v>
      </c>
      <c r="H222" s="45" t="n">
        <v>40893</v>
      </c>
      <c r="I222" s="46" t="n">
        <v>172000</v>
      </c>
      <c r="J222" s="47" t="n">
        <v>0.064</v>
      </c>
      <c r="K222" s="46" t="n">
        <f aca="false">J222*I222</f>
        <v>11008</v>
      </c>
      <c r="L222" s="46" t="n">
        <f aca="false">I222+K222</f>
        <v>183008</v>
      </c>
      <c r="M222" s="48" t="n">
        <v>13</v>
      </c>
      <c r="N222" s="49" t="n">
        <v>3.66</v>
      </c>
      <c r="O222" s="50" t="n">
        <v>0.942</v>
      </c>
      <c r="P222" s="51" t="n">
        <v>2</v>
      </c>
      <c r="Q222" s="51" t="n">
        <v>111</v>
      </c>
      <c r="R222" s="44" t="s">
        <v>951</v>
      </c>
      <c r="S222" s="44" t="s">
        <v>952</v>
      </c>
      <c r="T222" s="43" t="s">
        <v>66</v>
      </c>
    </row>
    <row r="223" customFormat="false" ht="15" hidden="false" customHeight="false" outlineLevel="0" collapsed="false">
      <c r="A223" s="34" t="s">
        <v>953</v>
      </c>
      <c r="B223" s="35" t="s">
        <v>954</v>
      </c>
      <c r="C223" s="34" t="s">
        <v>24</v>
      </c>
      <c r="D223" s="34" t="s">
        <v>142</v>
      </c>
      <c r="E223" s="34" t="s">
        <v>96</v>
      </c>
      <c r="F223" s="34" t="s">
        <v>79</v>
      </c>
      <c r="G223" s="36" t="n">
        <v>35495</v>
      </c>
      <c r="H223" s="36" t="n">
        <v>41499</v>
      </c>
      <c r="I223" s="37" t="n">
        <v>44000</v>
      </c>
      <c r="J223" s="38" t="n">
        <v>0.061</v>
      </c>
      <c r="K223" s="37" t="n">
        <f aca="false">J223*I223</f>
        <v>2684</v>
      </c>
      <c r="L223" s="37" t="n">
        <f aca="false">I223+K223</f>
        <v>46684</v>
      </c>
      <c r="M223" s="39" t="n">
        <v>11.4</v>
      </c>
      <c r="N223" s="40" t="n">
        <v>3.36</v>
      </c>
      <c r="O223" s="41" t="n">
        <v>0.719</v>
      </c>
      <c r="P223" s="42" t="n">
        <v>4</v>
      </c>
      <c r="Q223" s="42" t="n">
        <v>27</v>
      </c>
      <c r="R223" s="35" t="s">
        <v>955</v>
      </c>
      <c r="S223" s="35" t="s">
        <v>956</v>
      </c>
      <c r="T223" s="34" t="s">
        <v>66</v>
      </c>
    </row>
    <row r="224" customFormat="false" ht="15" hidden="false" customHeight="false" outlineLevel="0" collapsed="false">
      <c r="A224" s="43" t="s">
        <v>957</v>
      </c>
      <c r="B224" s="44" t="s">
        <v>958</v>
      </c>
      <c r="C224" s="43" t="s">
        <v>24</v>
      </c>
      <c r="D224" s="43" t="s">
        <v>95</v>
      </c>
      <c r="E224" s="43" t="s">
        <v>74</v>
      </c>
      <c r="F224" s="43" t="s">
        <v>57</v>
      </c>
      <c r="G224" s="45" t="n">
        <v>32029</v>
      </c>
      <c r="H224" s="45" t="n">
        <v>39695</v>
      </c>
      <c r="I224" s="46" t="n">
        <v>226000</v>
      </c>
      <c r="J224" s="47" t="n">
        <v>0.084</v>
      </c>
      <c r="K224" s="46" t="n">
        <f aca="false">J224*I224</f>
        <v>18984</v>
      </c>
      <c r="L224" s="46" t="n">
        <f aca="false">I224+K224</f>
        <v>244984</v>
      </c>
      <c r="M224" s="48" t="n">
        <v>16.3</v>
      </c>
      <c r="N224" s="49" t="n">
        <v>4.1</v>
      </c>
      <c r="O224" s="50" t="n">
        <v>0.919</v>
      </c>
      <c r="P224" s="51" t="n">
        <v>27</v>
      </c>
      <c r="Q224" s="51" t="n">
        <v>105</v>
      </c>
      <c r="R224" s="44" t="s">
        <v>959</v>
      </c>
      <c r="S224" s="44" t="s">
        <v>960</v>
      </c>
      <c r="T224" s="43" t="s">
        <v>66</v>
      </c>
    </row>
    <row r="225" customFormat="false" ht="15" hidden="false" customHeight="false" outlineLevel="0" collapsed="false">
      <c r="A225" s="34" t="s">
        <v>961</v>
      </c>
      <c r="B225" s="35" t="s">
        <v>962</v>
      </c>
      <c r="C225" s="34" t="s">
        <v>31</v>
      </c>
      <c r="D225" s="34" t="s">
        <v>85</v>
      </c>
      <c r="E225" s="34" t="s">
        <v>74</v>
      </c>
      <c r="F225" s="34" t="s">
        <v>137</v>
      </c>
      <c r="G225" s="36" t="n">
        <v>36154</v>
      </c>
      <c r="H225" s="36" t="n">
        <v>39651</v>
      </c>
      <c r="I225" s="37" t="n">
        <v>46000</v>
      </c>
      <c r="J225" s="38" t="n">
        <v>0.221</v>
      </c>
      <c r="K225" s="37" t="n">
        <f aca="false">J225*I225</f>
        <v>10166</v>
      </c>
      <c r="L225" s="37" t="n">
        <f aca="false">I225+K225</f>
        <v>56166</v>
      </c>
      <c r="M225" s="39" t="n">
        <v>16.4</v>
      </c>
      <c r="N225" s="40" t="n">
        <v>4.15</v>
      </c>
      <c r="O225" s="41" t="n">
        <v>0.862</v>
      </c>
      <c r="P225" s="42" t="n">
        <v>23</v>
      </c>
      <c r="Q225" s="42" t="n">
        <v>40</v>
      </c>
      <c r="R225" s="35" t="s">
        <v>963</v>
      </c>
      <c r="S225" s="35" t="s">
        <v>964</v>
      </c>
      <c r="T225" s="34" t="s">
        <v>66</v>
      </c>
    </row>
    <row r="226" customFormat="false" ht="15" hidden="false" customHeight="false" outlineLevel="0" collapsed="false">
      <c r="A226" s="43" t="s">
        <v>965</v>
      </c>
      <c r="B226" s="44" t="s">
        <v>966</v>
      </c>
      <c r="C226" s="43" t="s">
        <v>32</v>
      </c>
      <c r="D226" s="43" t="s">
        <v>113</v>
      </c>
      <c r="E226" s="43" t="s">
        <v>136</v>
      </c>
      <c r="F226" s="43" t="s">
        <v>79</v>
      </c>
      <c r="G226" s="45" t="n">
        <v>34446</v>
      </c>
      <c r="H226" s="45" t="n">
        <v>40010</v>
      </c>
      <c r="I226" s="46" t="n">
        <v>83000</v>
      </c>
      <c r="J226" s="47" t="n">
        <v>0.259</v>
      </c>
      <c r="K226" s="46" t="n">
        <f aca="false">J226*I226</f>
        <v>21497</v>
      </c>
      <c r="L226" s="46" t="n">
        <f aca="false">I226+K226</f>
        <v>104497</v>
      </c>
      <c r="M226" s="48" t="n">
        <v>15.5</v>
      </c>
      <c r="N226" s="49" t="n">
        <v>4.39</v>
      </c>
      <c r="O226" s="50" t="n">
        <v>0.994</v>
      </c>
      <c r="P226" s="51" t="n">
        <v>30</v>
      </c>
      <c r="Q226" s="51" t="n">
        <v>182</v>
      </c>
      <c r="R226" s="44" t="s">
        <v>967</v>
      </c>
      <c r="S226" s="44" t="s">
        <v>968</v>
      </c>
      <c r="T226" s="43" t="s">
        <v>82</v>
      </c>
    </row>
    <row r="227" customFormat="false" ht="15" hidden="false" customHeight="false" outlineLevel="0" collapsed="false">
      <c r="A227" s="34" t="s">
        <v>969</v>
      </c>
      <c r="B227" s="35" t="s">
        <v>970</v>
      </c>
      <c r="C227" s="34" t="s">
        <v>32</v>
      </c>
      <c r="D227" s="34" t="s">
        <v>113</v>
      </c>
      <c r="E227" s="34" t="s">
        <v>74</v>
      </c>
      <c r="F227" s="34" t="s">
        <v>57</v>
      </c>
      <c r="G227" s="36" t="n">
        <v>35665</v>
      </c>
      <c r="H227" s="36" t="n">
        <v>44250</v>
      </c>
      <c r="I227" s="37" t="n">
        <v>89000</v>
      </c>
      <c r="J227" s="38" t="n">
        <v>0.165</v>
      </c>
      <c r="K227" s="37" t="n">
        <f aca="false">J227*I227</f>
        <v>14685</v>
      </c>
      <c r="L227" s="37" t="n">
        <f aca="false">I227+K227</f>
        <v>103685</v>
      </c>
      <c r="M227" s="39" t="n">
        <v>3.9</v>
      </c>
      <c r="N227" s="40" t="n">
        <v>2.89</v>
      </c>
      <c r="O227" s="41" t="n">
        <v>0.757</v>
      </c>
      <c r="P227" s="42" t="n">
        <v>8</v>
      </c>
      <c r="Q227" s="42" t="n">
        <v>18</v>
      </c>
      <c r="R227" s="35" t="s">
        <v>971</v>
      </c>
      <c r="S227" s="35" t="s">
        <v>972</v>
      </c>
      <c r="T227" s="34" t="s">
        <v>82</v>
      </c>
    </row>
    <row r="228" customFormat="false" ht="15" hidden="false" customHeight="false" outlineLevel="0" collapsed="false">
      <c r="A228" s="43" t="s">
        <v>973</v>
      </c>
      <c r="B228" s="44" t="s">
        <v>974</v>
      </c>
      <c r="C228" s="43" t="s">
        <v>30</v>
      </c>
      <c r="D228" s="43" t="s">
        <v>69</v>
      </c>
      <c r="E228" s="43" t="s">
        <v>63</v>
      </c>
      <c r="F228" s="43" t="s">
        <v>57</v>
      </c>
      <c r="G228" s="45" t="n">
        <v>31123</v>
      </c>
      <c r="H228" s="45" t="n">
        <v>40480</v>
      </c>
      <c r="I228" s="46" t="n">
        <v>79000</v>
      </c>
      <c r="J228" s="47" t="n">
        <v>0.067</v>
      </c>
      <c r="K228" s="46" t="n">
        <f aca="false">J228*I228</f>
        <v>5293</v>
      </c>
      <c r="L228" s="46" t="n">
        <f aca="false">I228+K228</f>
        <v>84293</v>
      </c>
      <c r="M228" s="48" t="n">
        <v>14.2</v>
      </c>
      <c r="N228" s="49" t="n">
        <v>3.98</v>
      </c>
      <c r="O228" s="50" t="n">
        <v>0.834</v>
      </c>
      <c r="P228" s="51" t="n">
        <v>4</v>
      </c>
      <c r="Q228" s="51" t="n">
        <v>72</v>
      </c>
      <c r="R228" s="44" t="s">
        <v>975</v>
      </c>
      <c r="S228" s="44" t="s">
        <v>976</v>
      </c>
      <c r="T228" s="43" t="s">
        <v>82</v>
      </c>
    </row>
    <row r="229" customFormat="false" ht="15" hidden="false" customHeight="false" outlineLevel="0" collapsed="false">
      <c r="A229" s="34" t="s">
        <v>977</v>
      </c>
      <c r="B229" s="35" t="s">
        <v>978</v>
      </c>
      <c r="C229" s="34" t="s">
        <v>24</v>
      </c>
      <c r="D229" s="34" t="s">
        <v>113</v>
      </c>
      <c r="E229" s="34" t="s">
        <v>126</v>
      </c>
      <c r="F229" s="34" t="s">
        <v>57</v>
      </c>
      <c r="G229" s="36" t="n">
        <v>29639</v>
      </c>
      <c r="H229" s="36" t="n">
        <v>38990</v>
      </c>
      <c r="I229" s="37" t="n">
        <v>166000</v>
      </c>
      <c r="J229" s="38" t="n">
        <v>0.104</v>
      </c>
      <c r="K229" s="37" t="n">
        <f aca="false">J229*I229</f>
        <v>17264</v>
      </c>
      <c r="L229" s="37" t="n">
        <f aca="false">I229+K229</f>
        <v>183264</v>
      </c>
      <c r="M229" s="39" t="n">
        <v>18.3</v>
      </c>
      <c r="N229" s="40" t="n">
        <v>4.66</v>
      </c>
      <c r="O229" s="41" t="n">
        <v>0.717</v>
      </c>
      <c r="P229" s="42" t="n">
        <v>33</v>
      </c>
      <c r="Q229" s="42" t="n">
        <v>84</v>
      </c>
      <c r="R229" s="35" t="s">
        <v>979</v>
      </c>
      <c r="S229" s="35" t="s">
        <v>980</v>
      </c>
      <c r="T229" s="34" t="s">
        <v>66</v>
      </c>
    </row>
    <row r="230" customFormat="false" ht="15" hidden="false" customHeight="false" outlineLevel="0" collapsed="false">
      <c r="A230" s="43" t="s">
        <v>981</v>
      </c>
      <c r="B230" s="44" t="s">
        <v>982</v>
      </c>
      <c r="C230" s="43" t="s">
        <v>33</v>
      </c>
      <c r="D230" s="43" t="s">
        <v>95</v>
      </c>
      <c r="E230" s="43" t="s">
        <v>151</v>
      </c>
      <c r="F230" s="43" t="s">
        <v>57</v>
      </c>
      <c r="G230" s="45" t="n">
        <v>33935</v>
      </c>
      <c r="H230" s="45" t="n">
        <v>40903</v>
      </c>
      <c r="I230" s="46" t="n">
        <v>104000</v>
      </c>
      <c r="J230" s="47" t="n">
        <v>0.269</v>
      </c>
      <c r="K230" s="46" t="n">
        <f aca="false">J230*I230</f>
        <v>27976</v>
      </c>
      <c r="L230" s="46" t="n">
        <f aca="false">I230+K230</f>
        <v>131976</v>
      </c>
      <c r="M230" s="48" t="n">
        <v>13</v>
      </c>
      <c r="N230" s="49" t="n">
        <v>4.96</v>
      </c>
      <c r="O230" s="50" t="n">
        <v>0.856</v>
      </c>
      <c r="P230" s="51" t="n">
        <v>27</v>
      </c>
      <c r="Q230" s="51" t="n">
        <v>86</v>
      </c>
      <c r="R230" s="44" t="s">
        <v>983</v>
      </c>
      <c r="S230" s="44" t="s">
        <v>984</v>
      </c>
      <c r="T230" s="43" t="s">
        <v>66</v>
      </c>
    </row>
    <row r="231" customFormat="false" ht="15" hidden="false" customHeight="false" outlineLevel="0" collapsed="false">
      <c r="A231" s="34" t="s">
        <v>985</v>
      </c>
      <c r="B231" s="35" t="s">
        <v>986</v>
      </c>
      <c r="C231" s="34" t="s">
        <v>24</v>
      </c>
      <c r="D231" s="34" t="s">
        <v>69</v>
      </c>
      <c r="E231" s="34" t="s">
        <v>136</v>
      </c>
      <c r="F231" s="34" t="s">
        <v>79</v>
      </c>
      <c r="G231" s="36" t="n">
        <v>28616</v>
      </c>
      <c r="H231" s="36" t="n">
        <v>40228</v>
      </c>
      <c r="I231" s="37" t="n">
        <v>202000</v>
      </c>
      <c r="J231" s="38" t="n">
        <v>0.157</v>
      </c>
      <c r="K231" s="37" t="n">
        <f aca="false">J231*I231</f>
        <v>31714</v>
      </c>
      <c r="L231" s="37" t="n">
        <f aca="false">I231+K231</f>
        <v>233714</v>
      </c>
      <c r="M231" s="39" t="n">
        <v>14.9</v>
      </c>
      <c r="N231" s="40" t="n">
        <v>3.74</v>
      </c>
      <c r="O231" s="41" t="n">
        <v>0.992</v>
      </c>
      <c r="P231" s="42" t="n">
        <v>25</v>
      </c>
      <c r="Q231" s="42" t="n">
        <v>144</v>
      </c>
      <c r="R231" s="35" t="s">
        <v>987</v>
      </c>
      <c r="S231" s="35" t="s">
        <v>988</v>
      </c>
      <c r="T231" s="34" t="s">
        <v>66</v>
      </c>
    </row>
    <row r="232" customFormat="false" ht="15" hidden="false" customHeight="false" outlineLevel="0" collapsed="false">
      <c r="A232" s="43" t="s">
        <v>989</v>
      </c>
      <c r="B232" s="44" t="s">
        <v>990</v>
      </c>
      <c r="C232" s="43" t="s">
        <v>30</v>
      </c>
      <c r="D232" s="43" t="s">
        <v>113</v>
      </c>
      <c r="E232" s="43" t="s">
        <v>136</v>
      </c>
      <c r="F232" s="43" t="s">
        <v>137</v>
      </c>
      <c r="G232" s="45" t="n">
        <v>30158</v>
      </c>
      <c r="H232" s="45" t="n">
        <v>40645</v>
      </c>
      <c r="I232" s="46" t="n">
        <v>123000</v>
      </c>
      <c r="J232" s="47" t="n">
        <v>0.096</v>
      </c>
      <c r="K232" s="46" t="n">
        <f aca="false">J232*I232</f>
        <v>11808</v>
      </c>
      <c r="L232" s="46" t="n">
        <f aca="false">I232+K232</f>
        <v>134808</v>
      </c>
      <c r="M232" s="48" t="n">
        <v>13.7</v>
      </c>
      <c r="N232" s="49" t="n">
        <v>3.84</v>
      </c>
      <c r="O232" s="50" t="n">
        <v>0.772</v>
      </c>
      <c r="P232" s="51" t="n">
        <v>15</v>
      </c>
      <c r="Q232" s="51" t="n">
        <v>86</v>
      </c>
      <c r="R232" s="44" t="s">
        <v>991</v>
      </c>
      <c r="S232" s="44" t="s">
        <v>992</v>
      </c>
      <c r="T232" s="43" t="s">
        <v>82</v>
      </c>
    </row>
    <row r="233" customFormat="false" ht="15" hidden="false" customHeight="false" outlineLevel="0" collapsed="false">
      <c r="A233" s="34" t="s">
        <v>993</v>
      </c>
      <c r="B233" s="35" t="s">
        <v>994</v>
      </c>
      <c r="C233" s="34" t="s">
        <v>26</v>
      </c>
      <c r="D233" s="34" t="s">
        <v>85</v>
      </c>
      <c r="E233" s="34" t="s">
        <v>126</v>
      </c>
      <c r="F233" s="34" t="s">
        <v>57</v>
      </c>
      <c r="G233" s="36" t="n">
        <v>24796</v>
      </c>
      <c r="H233" s="36" t="n">
        <v>44910</v>
      </c>
      <c r="I233" s="37" t="n">
        <v>172000</v>
      </c>
      <c r="J233" s="38" t="n">
        <v>0.153</v>
      </c>
      <c r="K233" s="37" t="n">
        <f aca="false">J233*I233</f>
        <v>26316</v>
      </c>
      <c r="L233" s="37" t="n">
        <f aca="false">I233+K233</f>
        <v>198316</v>
      </c>
      <c r="M233" s="39" t="n">
        <v>2</v>
      </c>
      <c r="N233" s="40" t="n">
        <v>3.54</v>
      </c>
      <c r="O233" s="41" t="n">
        <v>0.859</v>
      </c>
      <c r="P233" s="42" t="n">
        <v>25</v>
      </c>
      <c r="Q233" s="42" t="n">
        <v>72</v>
      </c>
      <c r="R233" s="35" t="s">
        <v>995</v>
      </c>
      <c r="S233" s="35" t="s">
        <v>996</v>
      </c>
      <c r="T233" s="34" t="s">
        <v>66</v>
      </c>
    </row>
    <row r="234" customFormat="false" ht="15" hidden="false" customHeight="false" outlineLevel="0" collapsed="false">
      <c r="A234" s="43" t="s">
        <v>997</v>
      </c>
      <c r="B234" s="44" t="s">
        <v>998</v>
      </c>
      <c r="C234" s="43" t="s">
        <v>27</v>
      </c>
      <c r="D234" s="43" t="s">
        <v>95</v>
      </c>
      <c r="E234" s="43" t="s">
        <v>131</v>
      </c>
      <c r="F234" s="43" t="s">
        <v>137</v>
      </c>
      <c r="G234" s="45" t="n">
        <v>37386</v>
      </c>
      <c r="H234" s="45" t="n">
        <v>45192</v>
      </c>
      <c r="I234" s="46" t="n">
        <v>247000</v>
      </c>
      <c r="J234" s="47" t="n">
        <v>0.143</v>
      </c>
      <c r="K234" s="46" t="n">
        <f aca="false">J234*I234</f>
        <v>35321</v>
      </c>
      <c r="L234" s="46" t="n">
        <f aca="false">I234+K234</f>
        <v>282321</v>
      </c>
      <c r="M234" s="48" t="n">
        <v>1.3</v>
      </c>
      <c r="N234" s="49" t="n">
        <v>3.84</v>
      </c>
      <c r="O234" s="50" t="n">
        <v>0.949</v>
      </c>
      <c r="P234" s="51" t="n">
        <v>4</v>
      </c>
      <c r="Q234" s="51" t="n">
        <v>78</v>
      </c>
      <c r="R234" s="44" t="s">
        <v>999</v>
      </c>
      <c r="S234" s="44" t="s">
        <v>1000</v>
      </c>
      <c r="T234" s="43" t="s">
        <v>66</v>
      </c>
    </row>
    <row r="235" customFormat="false" ht="15" hidden="false" customHeight="false" outlineLevel="0" collapsed="false">
      <c r="A235" s="34" t="s">
        <v>1001</v>
      </c>
      <c r="B235" s="35" t="s">
        <v>1002</v>
      </c>
      <c r="C235" s="34" t="s">
        <v>33</v>
      </c>
      <c r="D235" s="34" t="s">
        <v>69</v>
      </c>
      <c r="E235" s="34" t="s">
        <v>63</v>
      </c>
      <c r="F235" s="34" t="s">
        <v>57</v>
      </c>
      <c r="G235" s="36" t="n">
        <v>33506</v>
      </c>
      <c r="H235" s="36" t="n">
        <v>42154</v>
      </c>
      <c r="I235" s="37" t="n">
        <v>74000</v>
      </c>
      <c r="J235" s="38" t="n">
        <v>0.251</v>
      </c>
      <c r="K235" s="37" t="n">
        <f aca="false">J235*I235</f>
        <v>18574</v>
      </c>
      <c r="L235" s="37" t="n">
        <f aca="false">I235+K235</f>
        <v>92574</v>
      </c>
      <c r="M235" s="39" t="n">
        <v>9.6</v>
      </c>
      <c r="N235" s="40" t="n">
        <v>3.97</v>
      </c>
      <c r="O235" s="41" t="n">
        <v>0.901</v>
      </c>
      <c r="P235" s="42" t="n">
        <v>14</v>
      </c>
      <c r="Q235" s="42" t="n">
        <v>132</v>
      </c>
      <c r="R235" s="35" t="s">
        <v>1003</v>
      </c>
      <c r="S235" s="35" t="s">
        <v>1004</v>
      </c>
      <c r="T235" s="34" t="s">
        <v>66</v>
      </c>
    </row>
    <row r="236" customFormat="false" ht="15" hidden="false" customHeight="false" outlineLevel="0" collapsed="false">
      <c r="A236" s="43" t="s">
        <v>1005</v>
      </c>
      <c r="B236" s="44" t="s">
        <v>1006</v>
      </c>
      <c r="C236" s="43" t="s">
        <v>29</v>
      </c>
      <c r="D236" s="43" t="s">
        <v>95</v>
      </c>
      <c r="E236" s="43" t="s">
        <v>63</v>
      </c>
      <c r="F236" s="43" t="s">
        <v>57</v>
      </c>
      <c r="G236" s="45" t="n">
        <v>32671</v>
      </c>
      <c r="H236" s="45" t="n">
        <v>42038</v>
      </c>
      <c r="I236" s="46" t="n">
        <v>74000</v>
      </c>
      <c r="J236" s="47" t="n">
        <v>0.291</v>
      </c>
      <c r="K236" s="46" t="n">
        <f aca="false">J236*I236</f>
        <v>21534</v>
      </c>
      <c r="L236" s="46" t="n">
        <f aca="false">I236+K236</f>
        <v>95534</v>
      </c>
      <c r="M236" s="48" t="n">
        <v>9.9</v>
      </c>
      <c r="N236" s="49" t="n">
        <v>2.79</v>
      </c>
      <c r="O236" s="50" t="n">
        <v>1</v>
      </c>
      <c r="P236" s="51" t="n">
        <v>31</v>
      </c>
      <c r="Q236" s="51" t="n">
        <v>72</v>
      </c>
      <c r="R236" s="44" t="s">
        <v>1007</v>
      </c>
      <c r="S236" s="44" t="s">
        <v>1008</v>
      </c>
      <c r="T236" s="43" t="s">
        <v>82</v>
      </c>
    </row>
    <row r="237" customFormat="false" ht="15" hidden="false" customHeight="false" outlineLevel="0" collapsed="false">
      <c r="A237" s="34" t="s">
        <v>1009</v>
      </c>
      <c r="B237" s="35" t="s">
        <v>1010</v>
      </c>
      <c r="C237" s="34" t="s">
        <v>33</v>
      </c>
      <c r="D237" s="34" t="s">
        <v>142</v>
      </c>
      <c r="E237" s="34" t="s">
        <v>96</v>
      </c>
      <c r="F237" s="34" t="s">
        <v>137</v>
      </c>
      <c r="G237" s="36" t="n">
        <v>29581</v>
      </c>
      <c r="H237" s="36" t="n">
        <v>42497</v>
      </c>
      <c r="I237" s="37" t="n">
        <v>87000</v>
      </c>
      <c r="J237" s="38" t="n">
        <v>0.188</v>
      </c>
      <c r="K237" s="37" t="n">
        <f aca="false">J237*I237</f>
        <v>16356</v>
      </c>
      <c r="L237" s="37" t="n">
        <f aca="false">I237+K237</f>
        <v>103356</v>
      </c>
      <c r="M237" s="39" t="n">
        <v>8.7</v>
      </c>
      <c r="N237" s="40" t="n">
        <v>4.44</v>
      </c>
      <c r="O237" s="41" t="n">
        <v>0.814</v>
      </c>
      <c r="P237" s="42" t="n">
        <v>35</v>
      </c>
      <c r="Q237" s="42" t="n">
        <v>176</v>
      </c>
      <c r="R237" s="35" t="s">
        <v>1011</v>
      </c>
      <c r="S237" s="35" t="s">
        <v>1012</v>
      </c>
      <c r="T237" s="34" t="s">
        <v>66</v>
      </c>
    </row>
    <row r="238" customFormat="false" ht="15" hidden="false" customHeight="false" outlineLevel="0" collapsed="false">
      <c r="A238" s="43" t="s">
        <v>1013</v>
      </c>
      <c r="B238" s="44" t="s">
        <v>1014</v>
      </c>
      <c r="C238" s="43" t="s">
        <v>28</v>
      </c>
      <c r="D238" s="43" t="s">
        <v>95</v>
      </c>
      <c r="E238" s="43" t="s">
        <v>151</v>
      </c>
      <c r="F238" s="43" t="s">
        <v>79</v>
      </c>
      <c r="G238" s="45" t="n">
        <v>25680</v>
      </c>
      <c r="H238" s="45" t="n">
        <v>38751</v>
      </c>
      <c r="I238" s="46" t="n">
        <v>155000</v>
      </c>
      <c r="J238" s="47" t="n">
        <v>0.167</v>
      </c>
      <c r="K238" s="46" t="n">
        <f aca="false">J238*I238</f>
        <v>25885</v>
      </c>
      <c r="L238" s="46" t="n">
        <f aca="false">I238+K238</f>
        <v>180885</v>
      </c>
      <c r="M238" s="48" t="n">
        <v>18.9</v>
      </c>
      <c r="N238" s="49" t="n">
        <v>4.51</v>
      </c>
      <c r="O238" s="50" t="n">
        <v>0.917</v>
      </c>
      <c r="P238" s="51" t="n">
        <v>21</v>
      </c>
      <c r="Q238" s="51" t="n">
        <v>62</v>
      </c>
      <c r="R238" s="44" t="s">
        <v>1015</v>
      </c>
      <c r="S238" s="44" t="s">
        <v>1016</v>
      </c>
      <c r="T238" s="43" t="s">
        <v>66</v>
      </c>
    </row>
    <row r="239" customFormat="false" ht="15" hidden="false" customHeight="false" outlineLevel="0" collapsed="false">
      <c r="A239" s="34" t="s">
        <v>1017</v>
      </c>
      <c r="B239" s="35" t="s">
        <v>1018</v>
      </c>
      <c r="C239" s="34" t="s">
        <v>29</v>
      </c>
      <c r="D239" s="34" t="s">
        <v>113</v>
      </c>
      <c r="E239" s="34" t="s">
        <v>63</v>
      </c>
      <c r="F239" s="34" t="s">
        <v>79</v>
      </c>
      <c r="G239" s="36" t="n">
        <v>25302</v>
      </c>
      <c r="H239" s="36" t="n">
        <v>43561</v>
      </c>
      <c r="I239" s="37" t="n">
        <v>83000</v>
      </c>
      <c r="J239" s="38" t="n">
        <v>0.235</v>
      </c>
      <c r="K239" s="37" t="n">
        <f aca="false">J239*I239</f>
        <v>19505</v>
      </c>
      <c r="L239" s="37" t="n">
        <f aca="false">I239+K239</f>
        <v>102505</v>
      </c>
      <c r="M239" s="39" t="n">
        <v>5.7</v>
      </c>
      <c r="N239" s="40" t="n">
        <v>2.54</v>
      </c>
      <c r="O239" s="41" t="n">
        <v>0.866</v>
      </c>
      <c r="P239" s="42" t="n">
        <v>38</v>
      </c>
      <c r="Q239" s="42" t="n">
        <v>158</v>
      </c>
      <c r="R239" s="35" t="s">
        <v>1019</v>
      </c>
      <c r="S239" s="35" t="s">
        <v>1020</v>
      </c>
      <c r="T239" s="34" t="s">
        <v>82</v>
      </c>
    </row>
    <row r="240" customFormat="false" ht="15" hidden="false" customHeight="false" outlineLevel="0" collapsed="false">
      <c r="A240" s="43" t="s">
        <v>1021</v>
      </c>
      <c r="B240" s="44" t="s">
        <v>1022</v>
      </c>
      <c r="C240" s="43" t="s">
        <v>30</v>
      </c>
      <c r="D240" s="43" t="s">
        <v>95</v>
      </c>
      <c r="E240" s="43" t="s">
        <v>136</v>
      </c>
      <c r="F240" s="43" t="s">
        <v>57</v>
      </c>
      <c r="G240" s="45" t="n">
        <v>30006</v>
      </c>
      <c r="H240" s="45" t="n">
        <v>41446</v>
      </c>
      <c r="I240" s="46" t="n">
        <v>111000</v>
      </c>
      <c r="J240" s="47" t="n">
        <v>0.108</v>
      </c>
      <c r="K240" s="46" t="n">
        <f aca="false">J240*I240</f>
        <v>11988</v>
      </c>
      <c r="L240" s="46" t="n">
        <f aca="false">I240+K240</f>
        <v>122988</v>
      </c>
      <c r="M240" s="48" t="n">
        <v>11.5</v>
      </c>
      <c r="N240" s="49" t="n">
        <v>3.92</v>
      </c>
      <c r="O240" s="50" t="n">
        <v>0.774</v>
      </c>
      <c r="P240" s="51" t="n">
        <v>36</v>
      </c>
      <c r="Q240" s="51" t="n">
        <v>177</v>
      </c>
      <c r="R240" s="44" t="s">
        <v>1023</v>
      </c>
      <c r="S240" s="44" t="s">
        <v>1024</v>
      </c>
      <c r="T240" s="43" t="s">
        <v>82</v>
      </c>
    </row>
    <row r="241" customFormat="false" ht="15" hidden="false" customHeight="false" outlineLevel="0" collapsed="false">
      <c r="A241" s="34" t="s">
        <v>1025</v>
      </c>
      <c r="B241" s="35" t="s">
        <v>1026</v>
      </c>
      <c r="C241" s="34" t="s">
        <v>29</v>
      </c>
      <c r="D241" s="34" t="s">
        <v>95</v>
      </c>
      <c r="E241" s="34" t="s">
        <v>126</v>
      </c>
      <c r="F241" s="34" t="s">
        <v>79</v>
      </c>
      <c r="G241" s="36" t="n">
        <v>33698</v>
      </c>
      <c r="H241" s="36" t="n">
        <v>41368</v>
      </c>
      <c r="I241" s="37" t="n">
        <v>193000</v>
      </c>
      <c r="J241" s="38" t="n">
        <v>0.235</v>
      </c>
      <c r="K241" s="37" t="n">
        <f aca="false">J241*I241</f>
        <v>45355</v>
      </c>
      <c r="L241" s="37" t="n">
        <f aca="false">I241+K241</f>
        <v>238355</v>
      </c>
      <c r="M241" s="39" t="n">
        <v>11.7</v>
      </c>
      <c r="N241" s="40" t="n">
        <v>3.65</v>
      </c>
      <c r="O241" s="41" t="n">
        <v>0.92</v>
      </c>
      <c r="P241" s="42" t="n">
        <v>23</v>
      </c>
      <c r="Q241" s="42" t="n">
        <v>53</v>
      </c>
      <c r="R241" s="35" t="s">
        <v>1027</v>
      </c>
      <c r="S241" s="35" t="s">
        <v>1028</v>
      </c>
      <c r="T241" s="34" t="s">
        <v>66</v>
      </c>
    </row>
    <row r="242" customFormat="false" ht="15" hidden="false" customHeight="false" outlineLevel="0" collapsed="false">
      <c r="A242" s="43" t="s">
        <v>1029</v>
      </c>
      <c r="B242" s="44" t="s">
        <v>1030</v>
      </c>
      <c r="C242" s="43" t="s">
        <v>32</v>
      </c>
      <c r="D242" s="43" t="s">
        <v>113</v>
      </c>
      <c r="E242" s="43" t="s">
        <v>136</v>
      </c>
      <c r="F242" s="43" t="s">
        <v>79</v>
      </c>
      <c r="G242" s="45" t="n">
        <v>37444</v>
      </c>
      <c r="H242" s="45" t="n">
        <v>44951</v>
      </c>
      <c r="I242" s="46" t="n">
        <v>193000</v>
      </c>
      <c r="J242" s="47" t="n">
        <v>0.289</v>
      </c>
      <c r="K242" s="46" t="n">
        <f aca="false">J242*I242</f>
        <v>55777</v>
      </c>
      <c r="L242" s="46" t="n">
        <f aca="false">I242+K242</f>
        <v>248777</v>
      </c>
      <c r="M242" s="48" t="n">
        <v>1.9</v>
      </c>
      <c r="N242" s="49" t="n">
        <v>3.81</v>
      </c>
      <c r="O242" s="50" t="n">
        <v>0.952</v>
      </c>
      <c r="P242" s="51" t="n">
        <v>5</v>
      </c>
      <c r="Q242" s="51" t="n">
        <v>181</v>
      </c>
      <c r="R242" s="44" t="s">
        <v>1031</v>
      </c>
      <c r="S242" s="44" t="s">
        <v>1032</v>
      </c>
      <c r="T242" s="43" t="s">
        <v>66</v>
      </c>
    </row>
    <row r="243" customFormat="false" ht="15" hidden="false" customHeight="false" outlineLevel="0" collapsed="false">
      <c r="A243" s="34" t="s">
        <v>1033</v>
      </c>
      <c r="B243" s="35" t="s">
        <v>1034</v>
      </c>
      <c r="C243" s="34" t="s">
        <v>24</v>
      </c>
      <c r="D243" s="34" t="s">
        <v>113</v>
      </c>
      <c r="E243" s="34" t="s">
        <v>136</v>
      </c>
      <c r="F243" s="34" t="s">
        <v>79</v>
      </c>
      <c r="G243" s="36" t="n">
        <v>29709</v>
      </c>
      <c r="H243" s="36" t="n">
        <v>44804</v>
      </c>
      <c r="I243" s="37" t="n">
        <v>85000</v>
      </c>
      <c r="J243" s="38" t="n">
        <v>0.067</v>
      </c>
      <c r="K243" s="37" t="n">
        <f aca="false">J243*I243</f>
        <v>5695</v>
      </c>
      <c r="L243" s="37" t="n">
        <f aca="false">I243+K243</f>
        <v>90695</v>
      </c>
      <c r="M243" s="39" t="n">
        <v>2.3</v>
      </c>
      <c r="N243" s="40" t="n">
        <v>2.88</v>
      </c>
      <c r="O243" s="41" t="n">
        <v>0.766</v>
      </c>
      <c r="P243" s="42" t="n">
        <v>30</v>
      </c>
      <c r="Q243" s="42" t="n">
        <v>105</v>
      </c>
      <c r="R243" s="35" t="s">
        <v>1035</v>
      </c>
      <c r="S243" s="35" t="s">
        <v>1036</v>
      </c>
      <c r="T243" s="34" t="s">
        <v>66</v>
      </c>
    </row>
    <row r="244" customFormat="false" ht="15" hidden="false" customHeight="false" outlineLevel="0" collapsed="false">
      <c r="A244" s="43" t="s">
        <v>1037</v>
      </c>
      <c r="B244" s="44" t="s">
        <v>1038</v>
      </c>
      <c r="C244" s="43" t="s">
        <v>33</v>
      </c>
      <c r="D244" s="43" t="s">
        <v>142</v>
      </c>
      <c r="E244" s="43" t="s">
        <v>126</v>
      </c>
      <c r="F244" s="43" t="s">
        <v>79</v>
      </c>
      <c r="G244" s="45" t="n">
        <v>31170</v>
      </c>
      <c r="H244" s="45" t="n">
        <v>42604</v>
      </c>
      <c r="I244" s="46" t="n">
        <v>152000</v>
      </c>
      <c r="J244" s="47" t="n">
        <v>0.054</v>
      </c>
      <c r="K244" s="46" t="n">
        <f aca="false">J244*I244</f>
        <v>8208</v>
      </c>
      <c r="L244" s="46" t="n">
        <f aca="false">I244+K244</f>
        <v>160208</v>
      </c>
      <c r="M244" s="48" t="n">
        <v>8.4</v>
      </c>
      <c r="N244" s="49" t="n">
        <v>3.83</v>
      </c>
      <c r="O244" s="50" t="n">
        <v>0.823</v>
      </c>
      <c r="P244" s="51" t="n">
        <v>2</v>
      </c>
      <c r="Q244" s="51" t="n">
        <v>145</v>
      </c>
      <c r="R244" s="44" t="s">
        <v>1039</v>
      </c>
      <c r="S244" s="44" t="s">
        <v>1040</v>
      </c>
      <c r="T244" s="43" t="s">
        <v>82</v>
      </c>
    </row>
    <row r="245" customFormat="false" ht="15" hidden="false" customHeight="false" outlineLevel="0" collapsed="false">
      <c r="A245" s="34" t="s">
        <v>1041</v>
      </c>
      <c r="B245" s="35" t="s">
        <v>1042</v>
      </c>
      <c r="C245" s="34" t="s">
        <v>28</v>
      </c>
      <c r="D245" s="34" t="s">
        <v>69</v>
      </c>
      <c r="E245" s="34" t="s">
        <v>56</v>
      </c>
      <c r="F245" s="34" t="s">
        <v>57</v>
      </c>
      <c r="G245" s="36" t="n">
        <v>37380</v>
      </c>
      <c r="H245" s="36" t="n">
        <v>45110</v>
      </c>
      <c r="I245" s="37" t="n">
        <v>156000</v>
      </c>
      <c r="J245" s="38" t="n">
        <v>0.253</v>
      </c>
      <c r="K245" s="37" t="n">
        <f aca="false">J245*I245</f>
        <v>39468</v>
      </c>
      <c r="L245" s="37" t="n">
        <f aca="false">I245+K245</f>
        <v>195468</v>
      </c>
      <c r="M245" s="39" t="n">
        <v>1.5</v>
      </c>
      <c r="N245" s="40" t="n">
        <v>4.19</v>
      </c>
      <c r="O245" s="41" t="n">
        <v>0.942</v>
      </c>
      <c r="P245" s="42" t="n">
        <v>12</v>
      </c>
      <c r="Q245" s="42" t="n">
        <v>37</v>
      </c>
      <c r="R245" s="35" t="s">
        <v>1043</v>
      </c>
      <c r="S245" s="35" t="s">
        <v>1044</v>
      </c>
      <c r="T245" s="34" t="s">
        <v>66</v>
      </c>
    </row>
    <row r="246" customFormat="false" ht="15" hidden="false" customHeight="false" outlineLevel="0" collapsed="false">
      <c r="A246" s="43" t="s">
        <v>1045</v>
      </c>
      <c r="B246" s="44" t="s">
        <v>1046</v>
      </c>
      <c r="C246" s="43" t="s">
        <v>32</v>
      </c>
      <c r="D246" s="43" t="s">
        <v>90</v>
      </c>
      <c r="E246" s="43" t="s">
        <v>96</v>
      </c>
      <c r="F246" s="43" t="s">
        <v>57</v>
      </c>
      <c r="G246" s="45" t="n">
        <v>33438</v>
      </c>
      <c r="H246" s="45" t="n">
        <v>42489</v>
      </c>
      <c r="I246" s="46" t="n">
        <v>187000</v>
      </c>
      <c r="J246" s="47" t="n">
        <v>0.182</v>
      </c>
      <c r="K246" s="46" t="n">
        <f aca="false">J246*I246</f>
        <v>34034</v>
      </c>
      <c r="L246" s="46" t="n">
        <f aca="false">I246+K246</f>
        <v>221034</v>
      </c>
      <c r="M246" s="48" t="n">
        <v>8.7</v>
      </c>
      <c r="N246" s="49" t="n">
        <v>4.54</v>
      </c>
      <c r="O246" s="50" t="n">
        <v>0.78</v>
      </c>
      <c r="P246" s="51" t="n">
        <v>26</v>
      </c>
      <c r="Q246" s="51" t="n">
        <v>30</v>
      </c>
      <c r="R246" s="44" t="s">
        <v>1047</v>
      </c>
      <c r="S246" s="44" t="s">
        <v>1048</v>
      </c>
      <c r="T246" s="43" t="s">
        <v>66</v>
      </c>
    </row>
    <row r="247" customFormat="false" ht="15" hidden="false" customHeight="false" outlineLevel="0" collapsed="false">
      <c r="A247" s="34" t="s">
        <v>1049</v>
      </c>
      <c r="B247" s="35" t="s">
        <v>1050</v>
      </c>
      <c r="C247" s="34" t="s">
        <v>30</v>
      </c>
      <c r="D247" s="34" t="s">
        <v>113</v>
      </c>
      <c r="E247" s="34" t="s">
        <v>96</v>
      </c>
      <c r="F247" s="34" t="s">
        <v>79</v>
      </c>
      <c r="G247" s="36" t="n">
        <v>28719</v>
      </c>
      <c r="H247" s="36" t="n">
        <v>43661</v>
      </c>
      <c r="I247" s="37" t="n">
        <v>84000</v>
      </c>
      <c r="J247" s="38" t="n">
        <v>0.125</v>
      </c>
      <c r="K247" s="37" t="n">
        <f aca="false">J247*I247</f>
        <v>10500</v>
      </c>
      <c r="L247" s="37" t="n">
        <f aca="false">I247+K247</f>
        <v>94500</v>
      </c>
      <c r="M247" s="39" t="n">
        <v>5.5</v>
      </c>
      <c r="N247" s="40" t="n">
        <v>4.57</v>
      </c>
      <c r="O247" s="41" t="n">
        <v>0.724</v>
      </c>
      <c r="P247" s="42" t="n">
        <v>3</v>
      </c>
      <c r="Q247" s="42" t="n">
        <v>33</v>
      </c>
      <c r="R247" s="35" t="s">
        <v>1051</v>
      </c>
      <c r="S247" s="35" t="s">
        <v>1052</v>
      </c>
      <c r="T247" s="34" t="s">
        <v>66</v>
      </c>
    </row>
    <row r="248" customFormat="false" ht="15" hidden="false" customHeight="false" outlineLevel="0" collapsed="false">
      <c r="A248" s="43" t="s">
        <v>1053</v>
      </c>
      <c r="B248" s="44" t="s">
        <v>1054</v>
      </c>
      <c r="C248" s="43" t="s">
        <v>30</v>
      </c>
      <c r="D248" s="43" t="s">
        <v>113</v>
      </c>
      <c r="E248" s="43" t="s">
        <v>126</v>
      </c>
      <c r="F248" s="43" t="s">
        <v>57</v>
      </c>
      <c r="G248" s="45" t="n">
        <v>33909</v>
      </c>
      <c r="H248" s="45" t="n">
        <v>40910</v>
      </c>
      <c r="I248" s="46" t="n">
        <v>191000</v>
      </c>
      <c r="J248" s="47" t="n">
        <v>0.052</v>
      </c>
      <c r="K248" s="46" t="n">
        <f aca="false">J248*I248</f>
        <v>9932</v>
      </c>
      <c r="L248" s="46" t="n">
        <f aca="false">I248+K248</f>
        <v>200932</v>
      </c>
      <c r="M248" s="48" t="n">
        <v>13</v>
      </c>
      <c r="N248" s="49" t="n">
        <v>2.93</v>
      </c>
      <c r="O248" s="50" t="n">
        <v>0.85</v>
      </c>
      <c r="P248" s="51" t="n">
        <v>28</v>
      </c>
      <c r="Q248" s="51" t="n">
        <v>175</v>
      </c>
      <c r="R248" s="44" t="s">
        <v>1055</v>
      </c>
      <c r="S248" s="44" t="s">
        <v>1056</v>
      </c>
      <c r="T248" s="43" t="s">
        <v>66</v>
      </c>
    </row>
    <row r="249" customFormat="false" ht="15" hidden="false" customHeight="false" outlineLevel="0" collapsed="false">
      <c r="A249" s="34" t="s">
        <v>1057</v>
      </c>
      <c r="B249" s="35" t="s">
        <v>1058</v>
      </c>
      <c r="C249" s="34" t="s">
        <v>33</v>
      </c>
      <c r="D249" s="34" t="s">
        <v>85</v>
      </c>
      <c r="E249" s="34" t="s">
        <v>131</v>
      </c>
      <c r="F249" s="34" t="s">
        <v>79</v>
      </c>
      <c r="G249" s="36" t="n">
        <v>25513</v>
      </c>
      <c r="H249" s="36" t="n">
        <v>44953</v>
      </c>
      <c r="I249" s="37" t="n">
        <v>36000</v>
      </c>
      <c r="J249" s="38" t="n">
        <v>0.107</v>
      </c>
      <c r="K249" s="37" t="n">
        <f aca="false">J249*I249</f>
        <v>3852</v>
      </c>
      <c r="L249" s="37" t="n">
        <f aca="false">I249+K249</f>
        <v>39852</v>
      </c>
      <c r="M249" s="39" t="n">
        <v>1.9</v>
      </c>
      <c r="N249" s="40" t="n">
        <v>4.75</v>
      </c>
      <c r="O249" s="41" t="n">
        <v>0.908</v>
      </c>
      <c r="P249" s="42" t="n">
        <v>37</v>
      </c>
      <c r="Q249" s="42" t="n">
        <v>131</v>
      </c>
      <c r="R249" s="35" t="s">
        <v>1059</v>
      </c>
      <c r="S249" s="35" t="s">
        <v>1060</v>
      </c>
      <c r="T249" s="34" t="s">
        <v>66</v>
      </c>
    </row>
    <row r="250" customFormat="false" ht="15" hidden="false" customHeight="false" outlineLevel="0" collapsed="false">
      <c r="A250" s="43" t="s">
        <v>1061</v>
      </c>
      <c r="B250" s="44" t="s">
        <v>1062</v>
      </c>
      <c r="C250" s="43" t="s">
        <v>24</v>
      </c>
      <c r="D250" s="43" t="s">
        <v>55</v>
      </c>
      <c r="E250" s="43" t="s">
        <v>56</v>
      </c>
      <c r="F250" s="43" t="s">
        <v>79</v>
      </c>
      <c r="G250" s="45" t="n">
        <v>35797</v>
      </c>
      <c r="H250" s="45" t="n">
        <v>38655</v>
      </c>
      <c r="I250" s="46" t="n">
        <v>172000</v>
      </c>
      <c r="J250" s="47" t="n">
        <v>0.215</v>
      </c>
      <c r="K250" s="46" t="n">
        <f aca="false">J250*I250</f>
        <v>36980</v>
      </c>
      <c r="L250" s="46" t="n">
        <f aca="false">I250+K250</f>
        <v>208980</v>
      </c>
      <c r="M250" s="48" t="n">
        <v>19.2</v>
      </c>
      <c r="N250" s="49" t="n">
        <v>2.95</v>
      </c>
      <c r="O250" s="50" t="n">
        <v>0.955</v>
      </c>
      <c r="P250" s="51" t="n">
        <v>2</v>
      </c>
      <c r="Q250" s="51" t="n">
        <v>63</v>
      </c>
      <c r="R250" s="44" t="s">
        <v>1063</v>
      </c>
      <c r="S250" s="44" t="s">
        <v>1064</v>
      </c>
      <c r="T250" s="43" t="s">
        <v>60</v>
      </c>
    </row>
    <row r="251" customFormat="false" ht="15" hidden="false" customHeight="false" outlineLevel="0" collapsed="false">
      <c r="A251" s="34" t="s">
        <v>1065</v>
      </c>
      <c r="B251" s="35" t="s">
        <v>1066</v>
      </c>
      <c r="C251" s="34" t="s">
        <v>26</v>
      </c>
      <c r="D251" s="34" t="s">
        <v>85</v>
      </c>
      <c r="E251" s="34" t="s">
        <v>74</v>
      </c>
      <c r="F251" s="34" t="s">
        <v>57</v>
      </c>
      <c r="G251" s="36" t="n">
        <v>33944</v>
      </c>
      <c r="H251" s="36" t="n">
        <v>44787</v>
      </c>
      <c r="I251" s="37" t="n">
        <v>103000</v>
      </c>
      <c r="J251" s="38" t="n">
        <v>0.091</v>
      </c>
      <c r="K251" s="37" t="n">
        <f aca="false">J251*I251</f>
        <v>9373</v>
      </c>
      <c r="L251" s="37" t="n">
        <f aca="false">I251+K251</f>
        <v>112373</v>
      </c>
      <c r="M251" s="39" t="n">
        <v>2.4</v>
      </c>
      <c r="N251" s="40" t="n">
        <v>3.1</v>
      </c>
      <c r="O251" s="41" t="n">
        <v>0.95</v>
      </c>
      <c r="P251" s="42" t="n">
        <v>25</v>
      </c>
      <c r="Q251" s="42" t="n">
        <v>183</v>
      </c>
      <c r="R251" s="35" t="s">
        <v>1067</v>
      </c>
      <c r="S251" s="35" t="s">
        <v>1068</v>
      </c>
      <c r="T251" s="34" t="s">
        <v>60</v>
      </c>
    </row>
    <row r="252" customFormat="false" ht="15" hidden="false" customHeight="false" outlineLevel="0" collapsed="false">
      <c r="A252" s="43" t="s">
        <v>1069</v>
      </c>
      <c r="B252" s="44" t="s">
        <v>1070</v>
      </c>
      <c r="C252" s="43" t="s">
        <v>29</v>
      </c>
      <c r="D252" s="43" t="s">
        <v>113</v>
      </c>
      <c r="E252" s="43" t="s">
        <v>136</v>
      </c>
      <c r="F252" s="43" t="s">
        <v>79</v>
      </c>
      <c r="G252" s="45" t="n">
        <v>25838</v>
      </c>
      <c r="H252" s="45" t="n">
        <v>40660</v>
      </c>
      <c r="I252" s="46" t="n">
        <v>214000</v>
      </c>
      <c r="J252" s="47" t="n">
        <v>0.07</v>
      </c>
      <c r="K252" s="46" t="n">
        <f aca="false">J252*I252</f>
        <v>14980</v>
      </c>
      <c r="L252" s="46" t="n">
        <f aca="false">I252+K252</f>
        <v>228980</v>
      </c>
      <c r="M252" s="48" t="n">
        <v>13.7</v>
      </c>
      <c r="N252" s="49" t="n">
        <v>4.36</v>
      </c>
      <c r="O252" s="50" t="n">
        <v>0.804</v>
      </c>
      <c r="P252" s="51" t="n">
        <v>7</v>
      </c>
      <c r="Q252" s="51" t="n">
        <v>121</v>
      </c>
      <c r="R252" s="44" t="s">
        <v>1071</v>
      </c>
      <c r="S252" s="44" t="s">
        <v>1072</v>
      </c>
      <c r="T252" s="43" t="s">
        <v>66</v>
      </c>
    </row>
    <row r="253" customFormat="false" ht="15" hidden="false" customHeight="false" outlineLevel="0" collapsed="false">
      <c r="A253" s="34" t="s">
        <v>1073</v>
      </c>
      <c r="B253" s="35" t="s">
        <v>1074</v>
      </c>
      <c r="C253" s="34" t="s">
        <v>25</v>
      </c>
      <c r="D253" s="34" t="s">
        <v>95</v>
      </c>
      <c r="E253" s="34" t="s">
        <v>74</v>
      </c>
      <c r="F253" s="34" t="s">
        <v>137</v>
      </c>
      <c r="G253" s="36" t="n">
        <v>26811</v>
      </c>
      <c r="H253" s="36" t="n">
        <v>39382</v>
      </c>
      <c r="I253" s="37" t="n">
        <v>32000</v>
      </c>
      <c r="J253" s="38" t="n">
        <v>0.209</v>
      </c>
      <c r="K253" s="37" t="n">
        <f aca="false">J253*I253</f>
        <v>6688</v>
      </c>
      <c r="L253" s="37" t="n">
        <f aca="false">I253+K253</f>
        <v>38688</v>
      </c>
      <c r="M253" s="39" t="n">
        <v>17.2</v>
      </c>
      <c r="N253" s="40" t="n">
        <v>4.46</v>
      </c>
      <c r="O253" s="41" t="n">
        <v>0.835</v>
      </c>
      <c r="P253" s="42" t="n">
        <v>15</v>
      </c>
      <c r="Q253" s="42" t="n">
        <v>101</v>
      </c>
      <c r="R253" s="35" t="s">
        <v>1075</v>
      </c>
      <c r="S253" s="35" t="s">
        <v>1076</v>
      </c>
      <c r="T253" s="34" t="s">
        <v>60</v>
      </c>
    </row>
    <row r="254" customFormat="false" ht="15" hidden="false" customHeight="false" outlineLevel="0" collapsed="false">
      <c r="A254" s="43" t="s">
        <v>1077</v>
      </c>
      <c r="B254" s="44" t="s">
        <v>1078</v>
      </c>
      <c r="C254" s="43" t="s">
        <v>30</v>
      </c>
      <c r="D254" s="43" t="s">
        <v>113</v>
      </c>
      <c r="E254" s="43" t="s">
        <v>136</v>
      </c>
      <c r="F254" s="43" t="s">
        <v>79</v>
      </c>
      <c r="G254" s="45" t="n">
        <v>27834</v>
      </c>
      <c r="H254" s="45" t="n">
        <v>42545</v>
      </c>
      <c r="I254" s="46" t="n">
        <v>178000</v>
      </c>
      <c r="J254" s="47" t="n">
        <v>0.215</v>
      </c>
      <c r="K254" s="46" t="n">
        <f aca="false">J254*I254</f>
        <v>38270</v>
      </c>
      <c r="L254" s="46" t="n">
        <f aca="false">I254+K254</f>
        <v>216270</v>
      </c>
      <c r="M254" s="48" t="n">
        <v>8.5</v>
      </c>
      <c r="N254" s="49" t="n">
        <v>2.71</v>
      </c>
      <c r="O254" s="50" t="n">
        <v>0.886</v>
      </c>
      <c r="P254" s="51" t="n">
        <v>16</v>
      </c>
      <c r="Q254" s="51" t="n">
        <v>192</v>
      </c>
      <c r="R254" s="44" t="s">
        <v>1079</v>
      </c>
      <c r="S254" s="44" t="s">
        <v>1080</v>
      </c>
      <c r="T254" s="43" t="s">
        <v>66</v>
      </c>
    </row>
    <row r="255" customFormat="false" ht="15" hidden="false" customHeight="false" outlineLevel="0" collapsed="false">
      <c r="A255" s="34" t="s">
        <v>1081</v>
      </c>
      <c r="B255" s="35" t="s">
        <v>1082</v>
      </c>
      <c r="C255" s="34" t="s">
        <v>25</v>
      </c>
      <c r="D255" s="34" t="s">
        <v>95</v>
      </c>
      <c r="E255" s="34" t="s">
        <v>136</v>
      </c>
      <c r="F255" s="34" t="s">
        <v>137</v>
      </c>
      <c r="G255" s="36" t="n">
        <v>37058</v>
      </c>
      <c r="H255" s="36" t="n">
        <v>38702</v>
      </c>
      <c r="I255" s="37" t="n">
        <v>211000</v>
      </c>
      <c r="J255" s="38" t="n">
        <v>0.246</v>
      </c>
      <c r="K255" s="37" t="n">
        <f aca="false">J255*I255</f>
        <v>51906</v>
      </c>
      <c r="L255" s="37" t="n">
        <f aca="false">I255+K255</f>
        <v>262906</v>
      </c>
      <c r="M255" s="39" t="n">
        <v>19</v>
      </c>
      <c r="N255" s="40" t="n">
        <v>2.89</v>
      </c>
      <c r="O255" s="41" t="n">
        <v>0.817</v>
      </c>
      <c r="P255" s="42" t="n">
        <v>24</v>
      </c>
      <c r="Q255" s="42" t="n">
        <v>37</v>
      </c>
      <c r="R255" s="35" t="s">
        <v>1083</v>
      </c>
      <c r="S255" s="35" t="s">
        <v>1084</v>
      </c>
      <c r="T255" s="34" t="s">
        <v>66</v>
      </c>
    </row>
    <row r="256" customFormat="false" ht="15" hidden="false" customHeight="false" outlineLevel="0" collapsed="false">
      <c r="A256" s="43" t="s">
        <v>1085</v>
      </c>
      <c r="B256" s="44" t="s">
        <v>1086</v>
      </c>
      <c r="C256" s="43" t="s">
        <v>24</v>
      </c>
      <c r="D256" s="43" t="s">
        <v>95</v>
      </c>
      <c r="E256" s="43" t="s">
        <v>126</v>
      </c>
      <c r="F256" s="43" t="s">
        <v>137</v>
      </c>
      <c r="G256" s="45" t="n">
        <v>30983</v>
      </c>
      <c r="H256" s="45" t="n">
        <v>39221</v>
      </c>
      <c r="I256" s="46" t="n">
        <v>224000</v>
      </c>
      <c r="J256" s="47" t="n">
        <v>0.117</v>
      </c>
      <c r="K256" s="46" t="n">
        <f aca="false">J256*I256</f>
        <v>26208</v>
      </c>
      <c r="L256" s="46" t="n">
        <f aca="false">I256+K256</f>
        <v>250208</v>
      </c>
      <c r="M256" s="48" t="n">
        <v>17.6</v>
      </c>
      <c r="N256" s="49" t="n">
        <v>2.83</v>
      </c>
      <c r="O256" s="50" t="n">
        <v>0.756</v>
      </c>
      <c r="P256" s="51" t="n">
        <v>29</v>
      </c>
      <c r="Q256" s="51" t="n">
        <v>152</v>
      </c>
      <c r="R256" s="44" t="s">
        <v>1087</v>
      </c>
      <c r="S256" s="44" t="s">
        <v>1088</v>
      </c>
      <c r="T256" s="43" t="s">
        <v>60</v>
      </c>
    </row>
    <row r="257" customFormat="false" ht="15" hidden="false" customHeight="false" outlineLevel="0" collapsed="false">
      <c r="A257" s="34" t="s">
        <v>1089</v>
      </c>
      <c r="B257" s="35" t="s">
        <v>1090</v>
      </c>
      <c r="C257" s="34" t="s">
        <v>32</v>
      </c>
      <c r="D257" s="34" t="s">
        <v>113</v>
      </c>
      <c r="E257" s="34" t="s">
        <v>131</v>
      </c>
      <c r="F257" s="34" t="s">
        <v>57</v>
      </c>
      <c r="G257" s="36" t="n">
        <v>37149</v>
      </c>
      <c r="H257" s="36" t="n">
        <v>42726</v>
      </c>
      <c r="I257" s="37" t="n">
        <v>48000</v>
      </c>
      <c r="J257" s="38" t="n">
        <v>0.138</v>
      </c>
      <c r="K257" s="37" t="n">
        <f aca="false">J257*I257</f>
        <v>6624</v>
      </c>
      <c r="L257" s="37" t="n">
        <f aca="false">I257+K257</f>
        <v>54624</v>
      </c>
      <c r="M257" s="39" t="n">
        <v>8</v>
      </c>
      <c r="N257" s="40" t="n">
        <v>2.73</v>
      </c>
      <c r="O257" s="41" t="n">
        <v>0.879</v>
      </c>
      <c r="P257" s="42" t="n">
        <v>21</v>
      </c>
      <c r="Q257" s="42" t="n">
        <v>108</v>
      </c>
      <c r="R257" s="35" t="s">
        <v>1091</v>
      </c>
      <c r="S257" s="35" t="s">
        <v>1092</v>
      </c>
      <c r="T257" s="34" t="s">
        <v>66</v>
      </c>
    </row>
    <row r="258" customFormat="false" ht="15" hidden="false" customHeight="false" outlineLevel="0" collapsed="false">
      <c r="A258" s="43" t="s">
        <v>1093</v>
      </c>
      <c r="B258" s="44" t="s">
        <v>1094</v>
      </c>
      <c r="C258" s="43" t="s">
        <v>28</v>
      </c>
      <c r="D258" s="43" t="s">
        <v>113</v>
      </c>
      <c r="E258" s="43" t="s">
        <v>74</v>
      </c>
      <c r="F258" s="43" t="s">
        <v>57</v>
      </c>
      <c r="G258" s="45" t="n">
        <v>32194</v>
      </c>
      <c r="H258" s="45" t="n">
        <v>42892</v>
      </c>
      <c r="I258" s="46" t="n">
        <v>215000</v>
      </c>
      <c r="J258" s="47" t="n">
        <v>0.275</v>
      </c>
      <c r="K258" s="46" t="n">
        <f aca="false">J258*I258</f>
        <v>59125</v>
      </c>
      <c r="L258" s="46" t="n">
        <f aca="false">I258+K258</f>
        <v>274125</v>
      </c>
      <c r="M258" s="48" t="n">
        <v>7.6</v>
      </c>
      <c r="N258" s="49" t="n">
        <v>4.76</v>
      </c>
      <c r="O258" s="50" t="n">
        <v>0.993</v>
      </c>
      <c r="P258" s="51" t="n">
        <v>37</v>
      </c>
      <c r="Q258" s="51" t="n">
        <v>143</v>
      </c>
      <c r="R258" s="44" t="s">
        <v>1095</v>
      </c>
      <c r="S258" s="44" t="s">
        <v>1096</v>
      </c>
      <c r="T258" s="43" t="s">
        <v>66</v>
      </c>
    </row>
    <row r="259" customFormat="false" ht="15" hidden="false" customHeight="false" outlineLevel="0" collapsed="false">
      <c r="A259" s="34" t="s">
        <v>1097</v>
      </c>
      <c r="B259" s="35" t="s">
        <v>1098</v>
      </c>
      <c r="C259" s="34" t="s">
        <v>30</v>
      </c>
      <c r="D259" s="34" t="s">
        <v>90</v>
      </c>
      <c r="E259" s="34" t="s">
        <v>136</v>
      </c>
      <c r="F259" s="34" t="s">
        <v>137</v>
      </c>
      <c r="G259" s="36" t="n">
        <v>33345</v>
      </c>
      <c r="H259" s="36" t="n">
        <v>41781</v>
      </c>
      <c r="I259" s="37" t="n">
        <v>103000</v>
      </c>
      <c r="J259" s="38" t="n">
        <v>0.117</v>
      </c>
      <c r="K259" s="37" t="n">
        <f aca="false">J259*I259</f>
        <v>12051</v>
      </c>
      <c r="L259" s="37" t="n">
        <f aca="false">I259+K259</f>
        <v>115051</v>
      </c>
      <c r="M259" s="39" t="n">
        <v>10.6</v>
      </c>
      <c r="N259" s="40" t="n">
        <v>2.86</v>
      </c>
      <c r="O259" s="41" t="n">
        <v>0.75</v>
      </c>
      <c r="P259" s="42" t="n">
        <v>18</v>
      </c>
      <c r="Q259" s="42" t="n">
        <v>117</v>
      </c>
      <c r="R259" s="35" t="s">
        <v>1099</v>
      </c>
      <c r="S259" s="35" t="s">
        <v>1100</v>
      </c>
      <c r="T259" s="34" t="s">
        <v>66</v>
      </c>
    </row>
    <row r="260" customFormat="false" ht="15" hidden="false" customHeight="false" outlineLevel="0" collapsed="false">
      <c r="A260" s="43" t="s">
        <v>1101</v>
      </c>
      <c r="B260" s="44" t="s">
        <v>1102</v>
      </c>
      <c r="C260" s="43" t="s">
        <v>31</v>
      </c>
      <c r="D260" s="43" t="s">
        <v>85</v>
      </c>
      <c r="E260" s="43" t="s">
        <v>131</v>
      </c>
      <c r="F260" s="43" t="s">
        <v>137</v>
      </c>
      <c r="G260" s="45" t="n">
        <v>37913</v>
      </c>
      <c r="H260" s="45" t="n">
        <v>42813</v>
      </c>
      <c r="I260" s="46" t="n">
        <v>90000</v>
      </c>
      <c r="J260" s="47" t="n">
        <v>0.286</v>
      </c>
      <c r="K260" s="46" t="n">
        <f aca="false">J260*I260</f>
        <v>25740</v>
      </c>
      <c r="L260" s="46" t="n">
        <f aca="false">I260+K260</f>
        <v>115740</v>
      </c>
      <c r="M260" s="48" t="n">
        <v>7.8</v>
      </c>
      <c r="N260" s="49" t="n">
        <v>4.3</v>
      </c>
      <c r="O260" s="50" t="n">
        <v>0.849</v>
      </c>
      <c r="P260" s="51" t="n">
        <v>40</v>
      </c>
      <c r="Q260" s="51" t="n">
        <v>60</v>
      </c>
      <c r="R260" s="44" t="s">
        <v>1103</v>
      </c>
      <c r="S260" s="44" t="s">
        <v>1104</v>
      </c>
      <c r="T260" s="43" t="s">
        <v>66</v>
      </c>
    </row>
    <row r="261" customFormat="false" ht="15" hidden="false" customHeight="false" outlineLevel="0" collapsed="false">
      <c r="A261" s="34" t="s">
        <v>1105</v>
      </c>
      <c r="B261" s="35" t="s">
        <v>1106</v>
      </c>
      <c r="C261" s="34" t="s">
        <v>25</v>
      </c>
      <c r="D261" s="34" t="s">
        <v>90</v>
      </c>
      <c r="E261" s="34" t="s">
        <v>56</v>
      </c>
      <c r="F261" s="34" t="s">
        <v>57</v>
      </c>
      <c r="G261" s="36" t="n">
        <v>35228</v>
      </c>
      <c r="H261" s="36" t="n">
        <v>43890</v>
      </c>
      <c r="I261" s="37" t="n">
        <v>128000</v>
      </c>
      <c r="J261" s="38" t="n">
        <v>0.133</v>
      </c>
      <c r="K261" s="37" t="n">
        <f aca="false">J261*I261</f>
        <v>17024</v>
      </c>
      <c r="L261" s="37" t="n">
        <f aca="false">I261+K261</f>
        <v>145024</v>
      </c>
      <c r="M261" s="39" t="n">
        <v>4.8</v>
      </c>
      <c r="N261" s="40" t="n">
        <v>4.05</v>
      </c>
      <c r="O261" s="41" t="n">
        <v>0.941</v>
      </c>
      <c r="P261" s="42" t="n">
        <v>22</v>
      </c>
      <c r="Q261" s="42" t="n">
        <v>122</v>
      </c>
      <c r="R261" s="35" t="s">
        <v>1107</v>
      </c>
      <c r="S261" s="35" t="s">
        <v>1108</v>
      </c>
      <c r="T261" s="34" t="s">
        <v>66</v>
      </c>
    </row>
    <row r="262" customFormat="false" ht="15" hidden="false" customHeight="false" outlineLevel="0" collapsed="false">
      <c r="A262" s="43" t="s">
        <v>1109</v>
      </c>
      <c r="B262" s="44" t="s">
        <v>1110</v>
      </c>
      <c r="C262" s="43" t="s">
        <v>30</v>
      </c>
      <c r="D262" s="43" t="s">
        <v>85</v>
      </c>
      <c r="E262" s="43" t="s">
        <v>136</v>
      </c>
      <c r="F262" s="43" t="s">
        <v>137</v>
      </c>
      <c r="G262" s="45" t="n">
        <v>28822</v>
      </c>
      <c r="H262" s="45" t="n">
        <v>38666</v>
      </c>
      <c r="I262" s="46" t="n">
        <v>109000</v>
      </c>
      <c r="J262" s="47" t="n">
        <v>0.201</v>
      </c>
      <c r="K262" s="46" t="n">
        <f aca="false">J262*I262</f>
        <v>21909</v>
      </c>
      <c r="L262" s="46" t="n">
        <f aca="false">I262+K262</f>
        <v>130909</v>
      </c>
      <c r="M262" s="48" t="n">
        <v>19.1</v>
      </c>
      <c r="N262" s="49" t="n">
        <v>4.24</v>
      </c>
      <c r="O262" s="50" t="n">
        <v>0.844</v>
      </c>
      <c r="P262" s="51" t="n">
        <v>12</v>
      </c>
      <c r="Q262" s="51" t="n">
        <v>111</v>
      </c>
      <c r="R262" s="44" t="s">
        <v>1111</v>
      </c>
      <c r="S262" s="44" t="s">
        <v>1112</v>
      </c>
      <c r="T262" s="43" t="s">
        <v>66</v>
      </c>
    </row>
    <row r="263" customFormat="false" ht="15" hidden="false" customHeight="false" outlineLevel="0" collapsed="false">
      <c r="A263" s="34" t="s">
        <v>1113</v>
      </c>
      <c r="B263" s="35" t="s">
        <v>1114</v>
      </c>
      <c r="C263" s="34" t="s">
        <v>28</v>
      </c>
      <c r="D263" s="34" t="s">
        <v>142</v>
      </c>
      <c r="E263" s="34" t="s">
        <v>126</v>
      </c>
      <c r="F263" s="34" t="s">
        <v>79</v>
      </c>
      <c r="G263" s="36" t="n">
        <v>26638</v>
      </c>
      <c r="H263" s="36" t="n">
        <v>40301</v>
      </c>
      <c r="I263" s="37" t="n">
        <v>229000</v>
      </c>
      <c r="J263" s="38" t="n">
        <v>0.111</v>
      </c>
      <c r="K263" s="37" t="n">
        <f aca="false">J263*I263</f>
        <v>25419</v>
      </c>
      <c r="L263" s="37" t="n">
        <f aca="false">I263+K263</f>
        <v>254419</v>
      </c>
      <c r="M263" s="39" t="n">
        <v>14.7</v>
      </c>
      <c r="N263" s="40" t="n">
        <v>3.44</v>
      </c>
      <c r="O263" s="41" t="n">
        <v>0.945</v>
      </c>
      <c r="P263" s="42" t="n">
        <v>26</v>
      </c>
      <c r="Q263" s="42" t="n">
        <v>103</v>
      </c>
      <c r="R263" s="35" t="s">
        <v>1115</v>
      </c>
      <c r="S263" s="35" t="s">
        <v>1116</v>
      </c>
      <c r="T263" s="34" t="s">
        <v>66</v>
      </c>
    </row>
    <row r="264" customFormat="false" ht="15" hidden="false" customHeight="false" outlineLevel="0" collapsed="false">
      <c r="A264" s="43" t="s">
        <v>1117</v>
      </c>
      <c r="B264" s="44" t="s">
        <v>1118</v>
      </c>
      <c r="C264" s="43" t="s">
        <v>33</v>
      </c>
      <c r="D264" s="43" t="s">
        <v>90</v>
      </c>
      <c r="E264" s="43" t="s">
        <v>136</v>
      </c>
      <c r="F264" s="43" t="s">
        <v>79</v>
      </c>
      <c r="G264" s="45" t="n">
        <v>26377</v>
      </c>
      <c r="H264" s="45" t="n">
        <v>41704</v>
      </c>
      <c r="I264" s="46" t="n">
        <v>226000</v>
      </c>
      <c r="J264" s="47" t="n">
        <v>0.188</v>
      </c>
      <c r="K264" s="46" t="n">
        <f aca="false">J264*I264</f>
        <v>42488</v>
      </c>
      <c r="L264" s="46" t="n">
        <f aca="false">I264+K264</f>
        <v>268488</v>
      </c>
      <c r="M264" s="48" t="n">
        <v>10.8</v>
      </c>
      <c r="N264" s="49" t="n">
        <v>4.88</v>
      </c>
      <c r="O264" s="50" t="n">
        <v>0.838</v>
      </c>
      <c r="P264" s="51" t="n">
        <v>14</v>
      </c>
      <c r="Q264" s="51" t="n">
        <v>122</v>
      </c>
      <c r="R264" s="44" t="s">
        <v>1119</v>
      </c>
      <c r="S264" s="44" t="s">
        <v>1120</v>
      </c>
      <c r="T264" s="43" t="s">
        <v>66</v>
      </c>
    </row>
    <row r="265" customFormat="false" ht="15" hidden="false" customHeight="false" outlineLevel="0" collapsed="false">
      <c r="A265" s="34" t="s">
        <v>1121</v>
      </c>
      <c r="B265" s="35" t="s">
        <v>1122</v>
      </c>
      <c r="C265" s="34" t="s">
        <v>25</v>
      </c>
      <c r="D265" s="34" t="s">
        <v>85</v>
      </c>
      <c r="E265" s="34" t="s">
        <v>74</v>
      </c>
      <c r="F265" s="34" t="s">
        <v>79</v>
      </c>
      <c r="G265" s="36" t="n">
        <v>25875</v>
      </c>
      <c r="H265" s="36" t="n">
        <v>44065</v>
      </c>
      <c r="I265" s="37" t="n">
        <v>155000</v>
      </c>
      <c r="J265" s="38" t="n">
        <v>0.085</v>
      </c>
      <c r="K265" s="37" t="n">
        <f aca="false">J265*I265</f>
        <v>13175</v>
      </c>
      <c r="L265" s="37" t="n">
        <f aca="false">I265+K265</f>
        <v>168175</v>
      </c>
      <c r="M265" s="39" t="n">
        <v>4.4</v>
      </c>
      <c r="N265" s="40" t="n">
        <v>3.26</v>
      </c>
      <c r="O265" s="41" t="n">
        <v>0.776</v>
      </c>
      <c r="P265" s="42" t="n">
        <v>10</v>
      </c>
      <c r="Q265" s="42" t="n">
        <v>193</v>
      </c>
      <c r="R265" s="35" t="s">
        <v>1123</v>
      </c>
      <c r="S265" s="35" t="s">
        <v>1124</v>
      </c>
      <c r="T265" s="34" t="s">
        <v>66</v>
      </c>
    </row>
    <row r="266" customFormat="false" ht="15" hidden="false" customHeight="false" outlineLevel="0" collapsed="false">
      <c r="A266" s="43" t="s">
        <v>1125</v>
      </c>
      <c r="B266" s="44" t="s">
        <v>1126</v>
      </c>
      <c r="C266" s="43" t="s">
        <v>30</v>
      </c>
      <c r="D266" s="43" t="s">
        <v>55</v>
      </c>
      <c r="E266" s="43" t="s">
        <v>126</v>
      </c>
      <c r="F266" s="43" t="s">
        <v>79</v>
      </c>
      <c r="G266" s="45" t="n">
        <v>31088</v>
      </c>
      <c r="H266" s="45" t="n">
        <v>44374</v>
      </c>
      <c r="I266" s="46" t="n">
        <v>150000</v>
      </c>
      <c r="J266" s="47" t="n">
        <v>0.196</v>
      </c>
      <c r="K266" s="46" t="n">
        <f aca="false">J266*I266</f>
        <v>29400</v>
      </c>
      <c r="L266" s="46" t="n">
        <f aca="false">I266+K266</f>
        <v>179400</v>
      </c>
      <c r="M266" s="48" t="n">
        <v>3.5</v>
      </c>
      <c r="N266" s="49" t="n">
        <v>3.84</v>
      </c>
      <c r="O266" s="50" t="n">
        <v>0.977</v>
      </c>
      <c r="P266" s="51" t="n">
        <v>27</v>
      </c>
      <c r="Q266" s="51" t="n">
        <v>149</v>
      </c>
      <c r="R266" s="44" t="s">
        <v>1127</v>
      </c>
      <c r="S266" s="44" t="s">
        <v>1128</v>
      </c>
      <c r="T266" s="43" t="s">
        <v>66</v>
      </c>
    </row>
    <row r="267" customFormat="false" ht="15" hidden="false" customHeight="false" outlineLevel="0" collapsed="false">
      <c r="A267" s="34" t="s">
        <v>1129</v>
      </c>
      <c r="B267" s="35" t="s">
        <v>1130</v>
      </c>
      <c r="C267" s="34" t="s">
        <v>29</v>
      </c>
      <c r="D267" s="34" t="s">
        <v>142</v>
      </c>
      <c r="E267" s="34" t="s">
        <v>131</v>
      </c>
      <c r="F267" s="34" t="s">
        <v>57</v>
      </c>
      <c r="G267" s="36" t="n">
        <v>25512</v>
      </c>
      <c r="H267" s="36" t="n">
        <v>39835</v>
      </c>
      <c r="I267" s="37" t="n">
        <v>226000</v>
      </c>
      <c r="J267" s="38" t="n">
        <v>0.112</v>
      </c>
      <c r="K267" s="37" t="n">
        <f aca="false">J267*I267</f>
        <v>25312</v>
      </c>
      <c r="L267" s="37" t="n">
        <f aca="false">I267+K267</f>
        <v>251312</v>
      </c>
      <c r="M267" s="39" t="n">
        <v>15.9</v>
      </c>
      <c r="N267" s="40" t="n">
        <v>4.16</v>
      </c>
      <c r="O267" s="41" t="n">
        <v>0.75</v>
      </c>
      <c r="P267" s="42" t="n">
        <v>40</v>
      </c>
      <c r="Q267" s="42" t="n">
        <v>21</v>
      </c>
      <c r="R267" s="35" t="s">
        <v>1131</v>
      </c>
      <c r="S267" s="35" t="s">
        <v>1132</v>
      </c>
      <c r="T267" s="34" t="s">
        <v>60</v>
      </c>
    </row>
    <row r="268" customFormat="false" ht="15" hidden="false" customHeight="false" outlineLevel="0" collapsed="false">
      <c r="A268" s="43" t="s">
        <v>1133</v>
      </c>
      <c r="B268" s="44" t="s">
        <v>1134</v>
      </c>
      <c r="C268" s="43" t="s">
        <v>30</v>
      </c>
      <c r="D268" s="43" t="s">
        <v>85</v>
      </c>
      <c r="E268" s="43" t="s">
        <v>151</v>
      </c>
      <c r="F268" s="43" t="s">
        <v>137</v>
      </c>
      <c r="G268" s="45" t="n">
        <v>32705</v>
      </c>
      <c r="H268" s="45" t="n">
        <v>43233</v>
      </c>
      <c r="I268" s="46" t="n">
        <v>52000</v>
      </c>
      <c r="J268" s="47" t="n">
        <v>0.053</v>
      </c>
      <c r="K268" s="46" t="n">
        <f aca="false">J268*I268</f>
        <v>2756</v>
      </c>
      <c r="L268" s="46" t="n">
        <f aca="false">I268+K268</f>
        <v>54756</v>
      </c>
      <c r="M268" s="48" t="n">
        <v>6.6</v>
      </c>
      <c r="N268" s="49" t="n">
        <v>3.15</v>
      </c>
      <c r="O268" s="50" t="n">
        <v>0.853</v>
      </c>
      <c r="P268" s="51" t="n">
        <v>34</v>
      </c>
      <c r="Q268" s="51" t="n">
        <v>152</v>
      </c>
      <c r="R268" s="44" t="s">
        <v>1135</v>
      </c>
      <c r="S268" s="44" t="s">
        <v>1136</v>
      </c>
      <c r="T268" s="43" t="s">
        <v>60</v>
      </c>
    </row>
    <row r="269" customFormat="false" ht="15" hidden="false" customHeight="false" outlineLevel="0" collapsed="false">
      <c r="A269" s="34" t="s">
        <v>1137</v>
      </c>
      <c r="B269" s="35" t="s">
        <v>1138</v>
      </c>
      <c r="C269" s="34" t="s">
        <v>33</v>
      </c>
      <c r="D269" s="34" t="s">
        <v>90</v>
      </c>
      <c r="E269" s="34" t="s">
        <v>126</v>
      </c>
      <c r="F269" s="34" t="s">
        <v>137</v>
      </c>
      <c r="G269" s="36" t="n">
        <v>37033</v>
      </c>
      <c r="H269" s="36" t="n">
        <v>45022</v>
      </c>
      <c r="I269" s="37" t="n">
        <v>127000</v>
      </c>
      <c r="J269" s="38" t="n">
        <v>0.166</v>
      </c>
      <c r="K269" s="37" t="n">
        <f aca="false">J269*I269</f>
        <v>21082</v>
      </c>
      <c r="L269" s="37" t="n">
        <f aca="false">I269+K269</f>
        <v>148082</v>
      </c>
      <c r="M269" s="39" t="n">
        <v>1.7</v>
      </c>
      <c r="N269" s="40" t="n">
        <v>4.2</v>
      </c>
      <c r="O269" s="41" t="n">
        <v>0.907</v>
      </c>
      <c r="P269" s="42" t="n">
        <v>10</v>
      </c>
      <c r="Q269" s="42" t="n">
        <v>98</v>
      </c>
      <c r="R269" s="35" t="s">
        <v>1139</v>
      </c>
      <c r="S269" s="35" t="s">
        <v>1140</v>
      </c>
      <c r="T269" s="34" t="s">
        <v>66</v>
      </c>
    </row>
    <row r="270" customFormat="false" ht="15" hidden="false" customHeight="false" outlineLevel="0" collapsed="false">
      <c r="A270" s="43" t="s">
        <v>1141</v>
      </c>
      <c r="B270" s="44" t="s">
        <v>1142</v>
      </c>
      <c r="C270" s="43" t="s">
        <v>31</v>
      </c>
      <c r="D270" s="43" t="s">
        <v>55</v>
      </c>
      <c r="E270" s="43" t="s">
        <v>56</v>
      </c>
      <c r="F270" s="43" t="s">
        <v>137</v>
      </c>
      <c r="G270" s="45" t="n">
        <v>34239</v>
      </c>
      <c r="H270" s="45" t="n">
        <v>41243</v>
      </c>
      <c r="I270" s="46" t="n">
        <v>47000</v>
      </c>
      <c r="J270" s="47" t="n">
        <v>0.079</v>
      </c>
      <c r="K270" s="46" t="n">
        <f aca="false">J270*I270</f>
        <v>3713</v>
      </c>
      <c r="L270" s="46" t="n">
        <f aca="false">I270+K270</f>
        <v>50713</v>
      </c>
      <c r="M270" s="48" t="n">
        <v>12.1</v>
      </c>
      <c r="N270" s="49" t="n">
        <v>4.85</v>
      </c>
      <c r="O270" s="50" t="n">
        <v>0.743</v>
      </c>
      <c r="P270" s="51" t="n">
        <v>20</v>
      </c>
      <c r="Q270" s="51" t="n">
        <v>97</v>
      </c>
      <c r="R270" s="44" t="s">
        <v>1143</v>
      </c>
      <c r="S270" s="44" t="s">
        <v>1144</v>
      </c>
      <c r="T270" s="43" t="s">
        <v>66</v>
      </c>
    </row>
    <row r="271" customFormat="false" ht="15" hidden="false" customHeight="false" outlineLevel="0" collapsed="false">
      <c r="A271" s="34" t="s">
        <v>1145</v>
      </c>
      <c r="B271" s="35" t="s">
        <v>1146</v>
      </c>
      <c r="C271" s="34" t="s">
        <v>27</v>
      </c>
      <c r="D271" s="34" t="s">
        <v>69</v>
      </c>
      <c r="E271" s="34" t="s">
        <v>126</v>
      </c>
      <c r="F271" s="34" t="s">
        <v>137</v>
      </c>
      <c r="G271" s="36" t="n">
        <v>36696</v>
      </c>
      <c r="H271" s="36" t="n">
        <v>43304</v>
      </c>
      <c r="I271" s="37" t="n">
        <v>149000</v>
      </c>
      <c r="J271" s="38" t="n">
        <v>0.074</v>
      </c>
      <c r="K271" s="37" t="n">
        <f aca="false">J271*I271</f>
        <v>11026</v>
      </c>
      <c r="L271" s="37" t="n">
        <f aca="false">I271+K271</f>
        <v>160026</v>
      </c>
      <c r="M271" s="39" t="n">
        <v>6.4</v>
      </c>
      <c r="N271" s="40" t="n">
        <v>4.3</v>
      </c>
      <c r="O271" s="41" t="n">
        <v>0.836</v>
      </c>
      <c r="P271" s="42" t="n">
        <v>5</v>
      </c>
      <c r="Q271" s="42" t="n">
        <v>86</v>
      </c>
      <c r="R271" s="35" t="s">
        <v>1147</v>
      </c>
      <c r="S271" s="35" t="s">
        <v>1148</v>
      </c>
      <c r="T271" s="34" t="s">
        <v>66</v>
      </c>
    </row>
    <row r="272" customFormat="false" ht="15" hidden="false" customHeight="false" outlineLevel="0" collapsed="false">
      <c r="A272" s="43" t="s">
        <v>1149</v>
      </c>
      <c r="B272" s="44" t="s">
        <v>1150</v>
      </c>
      <c r="C272" s="43" t="s">
        <v>25</v>
      </c>
      <c r="D272" s="43" t="s">
        <v>55</v>
      </c>
      <c r="E272" s="43" t="s">
        <v>151</v>
      </c>
      <c r="F272" s="43" t="s">
        <v>79</v>
      </c>
      <c r="G272" s="45" t="n">
        <v>37840</v>
      </c>
      <c r="H272" s="45" t="n">
        <v>42398</v>
      </c>
      <c r="I272" s="46" t="n">
        <v>53000</v>
      </c>
      <c r="J272" s="47" t="n">
        <v>0.219</v>
      </c>
      <c r="K272" s="46" t="n">
        <f aca="false">J272*I272</f>
        <v>11607</v>
      </c>
      <c r="L272" s="46" t="n">
        <f aca="false">I272+K272</f>
        <v>64607</v>
      </c>
      <c r="M272" s="48" t="n">
        <v>8.9</v>
      </c>
      <c r="N272" s="49" t="n">
        <v>2.91</v>
      </c>
      <c r="O272" s="50" t="n">
        <v>0.995</v>
      </c>
      <c r="P272" s="51" t="n">
        <v>16</v>
      </c>
      <c r="Q272" s="51" t="n">
        <v>142</v>
      </c>
      <c r="R272" s="44" t="s">
        <v>1151</v>
      </c>
      <c r="S272" s="44" t="s">
        <v>1152</v>
      </c>
      <c r="T272" s="43" t="s">
        <v>66</v>
      </c>
    </row>
    <row r="273" customFormat="false" ht="15" hidden="false" customHeight="false" outlineLevel="0" collapsed="false">
      <c r="A273" s="34" t="s">
        <v>1153</v>
      </c>
      <c r="B273" s="35" t="s">
        <v>1154</v>
      </c>
      <c r="C273" s="34" t="s">
        <v>32</v>
      </c>
      <c r="D273" s="34" t="s">
        <v>90</v>
      </c>
      <c r="E273" s="34" t="s">
        <v>151</v>
      </c>
      <c r="F273" s="34" t="s">
        <v>79</v>
      </c>
      <c r="G273" s="36" t="n">
        <v>31850</v>
      </c>
      <c r="H273" s="36" t="n">
        <v>38429</v>
      </c>
      <c r="I273" s="37" t="n">
        <v>136000</v>
      </c>
      <c r="J273" s="38" t="n">
        <v>0.29</v>
      </c>
      <c r="K273" s="37" t="n">
        <f aca="false">J273*I273</f>
        <v>39440</v>
      </c>
      <c r="L273" s="37" t="n">
        <f aca="false">I273+K273</f>
        <v>175440</v>
      </c>
      <c r="M273" s="39" t="n">
        <v>19.8</v>
      </c>
      <c r="N273" s="40" t="n">
        <v>3.08</v>
      </c>
      <c r="O273" s="41" t="n">
        <v>0.822</v>
      </c>
      <c r="P273" s="42" t="n">
        <v>12</v>
      </c>
      <c r="Q273" s="42" t="n">
        <v>57</v>
      </c>
      <c r="R273" s="35" t="s">
        <v>1155</v>
      </c>
      <c r="S273" s="35" t="s">
        <v>1156</v>
      </c>
      <c r="T273" s="34" t="s">
        <v>82</v>
      </c>
    </row>
    <row r="274" customFormat="false" ht="15" hidden="false" customHeight="false" outlineLevel="0" collapsed="false">
      <c r="A274" s="43" t="s">
        <v>1157</v>
      </c>
      <c r="B274" s="44" t="s">
        <v>1158</v>
      </c>
      <c r="C274" s="43" t="s">
        <v>30</v>
      </c>
      <c r="D274" s="43" t="s">
        <v>113</v>
      </c>
      <c r="E274" s="43" t="s">
        <v>63</v>
      </c>
      <c r="F274" s="43" t="s">
        <v>79</v>
      </c>
      <c r="G274" s="45" t="n">
        <v>35552</v>
      </c>
      <c r="H274" s="45" t="n">
        <v>42798</v>
      </c>
      <c r="I274" s="46" t="n">
        <v>185000</v>
      </c>
      <c r="J274" s="47" t="n">
        <v>0.271</v>
      </c>
      <c r="K274" s="46" t="n">
        <f aca="false">J274*I274</f>
        <v>50135</v>
      </c>
      <c r="L274" s="46" t="n">
        <f aca="false">I274+K274</f>
        <v>235135</v>
      </c>
      <c r="M274" s="48" t="n">
        <v>7.8</v>
      </c>
      <c r="N274" s="49" t="n">
        <v>3.62</v>
      </c>
      <c r="O274" s="50" t="n">
        <v>0.829</v>
      </c>
      <c r="P274" s="51" t="n">
        <v>1</v>
      </c>
      <c r="Q274" s="51" t="n">
        <v>190</v>
      </c>
      <c r="R274" s="44" t="s">
        <v>1159</v>
      </c>
      <c r="S274" s="44" t="s">
        <v>1160</v>
      </c>
      <c r="T274" s="43" t="s">
        <v>66</v>
      </c>
    </row>
    <row r="275" customFormat="false" ht="15" hidden="false" customHeight="false" outlineLevel="0" collapsed="false">
      <c r="A275" s="34" t="s">
        <v>1161</v>
      </c>
      <c r="B275" s="35" t="s">
        <v>1162</v>
      </c>
      <c r="C275" s="34" t="s">
        <v>27</v>
      </c>
      <c r="D275" s="34" t="s">
        <v>95</v>
      </c>
      <c r="E275" s="34" t="s">
        <v>131</v>
      </c>
      <c r="F275" s="34" t="s">
        <v>79</v>
      </c>
      <c r="G275" s="36" t="n">
        <v>35423</v>
      </c>
      <c r="H275" s="36" t="n">
        <v>44490</v>
      </c>
      <c r="I275" s="37" t="n">
        <v>51000</v>
      </c>
      <c r="J275" s="38" t="n">
        <v>0.25</v>
      </c>
      <c r="K275" s="37" t="n">
        <f aca="false">J275*I275</f>
        <v>12750</v>
      </c>
      <c r="L275" s="37" t="n">
        <f aca="false">I275+K275</f>
        <v>63750</v>
      </c>
      <c r="M275" s="39" t="n">
        <v>3.2</v>
      </c>
      <c r="N275" s="40" t="n">
        <v>3.84</v>
      </c>
      <c r="O275" s="41" t="n">
        <v>0.81</v>
      </c>
      <c r="P275" s="42" t="n">
        <v>13</v>
      </c>
      <c r="Q275" s="42" t="n">
        <v>127</v>
      </c>
      <c r="R275" s="35" t="s">
        <v>1163</v>
      </c>
      <c r="S275" s="35" t="s">
        <v>1164</v>
      </c>
      <c r="T275" s="34" t="s">
        <v>66</v>
      </c>
    </row>
    <row r="276" customFormat="false" ht="15" hidden="false" customHeight="false" outlineLevel="0" collapsed="false">
      <c r="A276" s="43" t="s">
        <v>1165</v>
      </c>
      <c r="B276" s="44" t="s">
        <v>1166</v>
      </c>
      <c r="C276" s="43" t="s">
        <v>28</v>
      </c>
      <c r="D276" s="43" t="s">
        <v>142</v>
      </c>
      <c r="E276" s="43" t="s">
        <v>126</v>
      </c>
      <c r="F276" s="43" t="s">
        <v>79</v>
      </c>
      <c r="G276" s="45" t="n">
        <v>28692</v>
      </c>
      <c r="H276" s="45" t="n">
        <v>43665</v>
      </c>
      <c r="I276" s="46" t="n">
        <v>192000</v>
      </c>
      <c r="J276" s="47" t="n">
        <v>0.128</v>
      </c>
      <c r="K276" s="46" t="n">
        <f aca="false">J276*I276</f>
        <v>24576</v>
      </c>
      <c r="L276" s="46" t="n">
        <f aca="false">I276+K276</f>
        <v>216576</v>
      </c>
      <c r="M276" s="48" t="n">
        <v>5.5</v>
      </c>
      <c r="N276" s="49" t="n">
        <v>3.47</v>
      </c>
      <c r="O276" s="50" t="n">
        <v>0.818</v>
      </c>
      <c r="P276" s="51" t="n">
        <v>8</v>
      </c>
      <c r="Q276" s="51" t="n">
        <v>99</v>
      </c>
      <c r="R276" s="44" t="s">
        <v>1167</v>
      </c>
      <c r="S276" s="44" t="s">
        <v>1168</v>
      </c>
      <c r="T276" s="43" t="s">
        <v>66</v>
      </c>
    </row>
    <row r="277" customFormat="false" ht="15" hidden="false" customHeight="false" outlineLevel="0" collapsed="false">
      <c r="A277" s="34" t="s">
        <v>1169</v>
      </c>
      <c r="B277" s="35" t="s">
        <v>1170</v>
      </c>
      <c r="C277" s="34" t="s">
        <v>31</v>
      </c>
      <c r="D277" s="34" t="s">
        <v>69</v>
      </c>
      <c r="E277" s="34" t="s">
        <v>136</v>
      </c>
      <c r="F277" s="34" t="s">
        <v>79</v>
      </c>
      <c r="G277" s="36" t="n">
        <v>28229</v>
      </c>
      <c r="H277" s="36" t="n">
        <v>39052</v>
      </c>
      <c r="I277" s="37" t="n">
        <v>210000</v>
      </c>
      <c r="J277" s="38" t="n">
        <v>0.25</v>
      </c>
      <c r="K277" s="37" t="n">
        <f aca="false">J277*I277</f>
        <v>52500</v>
      </c>
      <c r="L277" s="37" t="n">
        <f aca="false">I277+K277</f>
        <v>262500</v>
      </c>
      <c r="M277" s="39" t="n">
        <v>18.1</v>
      </c>
      <c r="N277" s="40" t="n">
        <v>4.8</v>
      </c>
      <c r="O277" s="41" t="n">
        <v>0.877</v>
      </c>
      <c r="P277" s="42" t="n">
        <v>9</v>
      </c>
      <c r="Q277" s="42" t="n">
        <v>90</v>
      </c>
      <c r="R277" s="35" t="s">
        <v>1171</v>
      </c>
      <c r="S277" s="35" t="s">
        <v>1172</v>
      </c>
      <c r="T277" s="34" t="s">
        <v>66</v>
      </c>
    </row>
    <row r="278" customFormat="false" ht="15" hidden="false" customHeight="false" outlineLevel="0" collapsed="false">
      <c r="A278" s="43" t="s">
        <v>1173</v>
      </c>
      <c r="B278" s="44" t="s">
        <v>1174</v>
      </c>
      <c r="C278" s="43" t="s">
        <v>27</v>
      </c>
      <c r="D278" s="43" t="s">
        <v>95</v>
      </c>
      <c r="E278" s="43" t="s">
        <v>131</v>
      </c>
      <c r="F278" s="43" t="s">
        <v>57</v>
      </c>
      <c r="G278" s="45" t="n">
        <v>34421</v>
      </c>
      <c r="H278" s="45" t="n">
        <v>40146</v>
      </c>
      <c r="I278" s="46" t="n">
        <v>122000</v>
      </c>
      <c r="J278" s="47" t="n">
        <v>0.223</v>
      </c>
      <c r="K278" s="46" t="n">
        <f aca="false">J278*I278</f>
        <v>27206</v>
      </c>
      <c r="L278" s="46" t="n">
        <f aca="false">I278+K278</f>
        <v>149206</v>
      </c>
      <c r="M278" s="48" t="n">
        <v>15.1</v>
      </c>
      <c r="N278" s="49" t="n">
        <v>3.78</v>
      </c>
      <c r="O278" s="50" t="n">
        <v>0.825</v>
      </c>
      <c r="P278" s="51" t="n">
        <v>9</v>
      </c>
      <c r="Q278" s="51" t="n">
        <v>157</v>
      </c>
      <c r="R278" s="44" t="s">
        <v>1175</v>
      </c>
      <c r="S278" s="44" t="s">
        <v>1176</v>
      </c>
      <c r="T278" s="43" t="s">
        <v>66</v>
      </c>
    </row>
    <row r="279" customFormat="false" ht="15" hidden="false" customHeight="false" outlineLevel="0" collapsed="false">
      <c r="A279" s="34" t="s">
        <v>1177</v>
      </c>
      <c r="B279" s="35" t="s">
        <v>1178</v>
      </c>
      <c r="C279" s="34" t="s">
        <v>30</v>
      </c>
      <c r="D279" s="34" t="s">
        <v>90</v>
      </c>
      <c r="E279" s="34" t="s">
        <v>126</v>
      </c>
      <c r="F279" s="34" t="s">
        <v>79</v>
      </c>
      <c r="G279" s="36" t="n">
        <v>30930</v>
      </c>
      <c r="H279" s="36" t="n">
        <v>45018</v>
      </c>
      <c r="I279" s="37" t="n">
        <v>165000</v>
      </c>
      <c r="J279" s="38" t="n">
        <v>0.223</v>
      </c>
      <c r="K279" s="37" t="n">
        <f aca="false">J279*I279</f>
        <v>36795</v>
      </c>
      <c r="L279" s="37" t="n">
        <f aca="false">I279+K279</f>
        <v>201795</v>
      </c>
      <c r="M279" s="39" t="n">
        <v>1.7</v>
      </c>
      <c r="N279" s="40" t="n">
        <v>4.11</v>
      </c>
      <c r="O279" s="41" t="n">
        <v>1</v>
      </c>
      <c r="P279" s="42" t="n">
        <v>36</v>
      </c>
      <c r="Q279" s="42" t="n">
        <v>52</v>
      </c>
      <c r="R279" s="35" t="s">
        <v>1179</v>
      </c>
      <c r="S279" s="35" t="s">
        <v>1180</v>
      </c>
      <c r="T279" s="34" t="s">
        <v>66</v>
      </c>
    </row>
    <row r="280" customFormat="false" ht="15" hidden="false" customHeight="false" outlineLevel="0" collapsed="false">
      <c r="A280" s="43" t="s">
        <v>1181</v>
      </c>
      <c r="B280" s="44" t="s">
        <v>1182</v>
      </c>
      <c r="C280" s="43" t="s">
        <v>28</v>
      </c>
      <c r="D280" s="43" t="s">
        <v>90</v>
      </c>
      <c r="E280" s="43" t="s">
        <v>136</v>
      </c>
      <c r="F280" s="43" t="s">
        <v>137</v>
      </c>
      <c r="G280" s="45" t="n">
        <v>31265</v>
      </c>
      <c r="H280" s="45" t="n">
        <v>44964</v>
      </c>
      <c r="I280" s="46" t="n">
        <v>245000</v>
      </c>
      <c r="J280" s="47" t="n">
        <v>0.163</v>
      </c>
      <c r="K280" s="46" t="n">
        <f aca="false">J280*I280</f>
        <v>39935</v>
      </c>
      <c r="L280" s="46" t="n">
        <f aca="false">I280+K280</f>
        <v>284935</v>
      </c>
      <c r="M280" s="48" t="n">
        <v>1.9</v>
      </c>
      <c r="N280" s="49" t="n">
        <v>2.63</v>
      </c>
      <c r="O280" s="50" t="n">
        <v>0.808</v>
      </c>
      <c r="P280" s="51" t="n">
        <v>1</v>
      </c>
      <c r="Q280" s="51" t="n">
        <v>134</v>
      </c>
      <c r="R280" s="44" t="s">
        <v>1183</v>
      </c>
      <c r="S280" s="44" t="s">
        <v>1184</v>
      </c>
      <c r="T280" s="43" t="s">
        <v>66</v>
      </c>
    </row>
    <row r="281" customFormat="false" ht="15" hidden="false" customHeight="false" outlineLevel="0" collapsed="false">
      <c r="A281" s="34" t="s">
        <v>1185</v>
      </c>
      <c r="B281" s="35" t="s">
        <v>1186</v>
      </c>
      <c r="C281" s="34" t="s">
        <v>27</v>
      </c>
      <c r="D281" s="34" t="s">
        <v>85</v>
      </c>
      <c r="E281" s="34" t="s">
        <v>74</v>
      </c>
      <c r="F281" s="34" t="s">
        <v>79</v>
      </c>
      <c r="G281" s="36" t="n">
        <v>37228</v>
      </c>
      <c r="H281" s="36" t="n">
        <v>43084</v>
      </c>
      <c r="I281" s="37" t="n">
        <v>157000</v>
      </c>
      <c r="J281" s="38" t="n">
        <v>0.213</v>
      </c>
      <c r="K281" s="37" t="n">
        <f aca="false">J281*I281</f>
        <v>33441</v>
      </c>
      <c r="L281" s="37" t="n">
        <f aca="false">I281+K281</f>
        <v>190441</v>
      </c>
      <c r="M281" s="39" t="n">
        <v>7</v>
      </c>
      <c r="N281" s="40" t="n">
        <v>3.52</v>
      </c>
      <c r="O281" s="41" t="n">
        <v>0.848</v>
      </c>
      <c r="P281" s="42" t="n">
        <v>29</v>
      </c>
      <c r="Q281" s="42" t="n">
        <v>135</v>
      </c>
      <c r="R281" s="35" t="s">
        <v>1187</v>
      </c>
      <c r="S281" s="35" t="s">
        <v>1188</v>
      </c>
      <c r="T281" s="34" t="s">
        <v>66</v>
      </c>
    </row>
    <row r="282" customFormat="false" ht="15" hidden="false" customHeight="false" outlineLevel="0" collapsed="false">
      <c r="A282" s="43" t="s">
        <v>1189</v>
      </c>
      <c r="B282" s="44" t="s">
        <v>1190</v>
      </c>
      <c r="C282" s="43" t="s">
        <v>25</v>
      </c>
      <c r="D282" s="43" t="s">
        <v>69</v>
      </c>
      <c r="E282" s="43" t="s">
        <v>63</v>
      </c>
      <c r="F282" s="43" t="s">
        <v>57</v>
      </c>
      <c r="G282" s="45" t="n">
        <v>30034</v>
      </c>
      <c r="H282" s="45" t="n">
        <v>42854</v>
      </c>
      <c r="I282" s="46" t="n">
        <v>101000</v>
      </c>
      <c r="J282" s="47" t="n">
        <v>0.058</v>
      </c>
      <c r="K282" s="46" t="n">
        <f aca="false">J282*I282</f>
        <v>5858</v>
      </c>
      <c r="L282" s="46" t="n">
        <f aca="false">I282+K282</f>
        <v>106858</v>
      </c>
      <c r="M282" s="48" t="n">
        <v>7.7</v>
      </c>
      <c r="N282" s="49" t="n">
        <v>3.06</v>
      </c>
      <c r="O282" s="50" t="n">
        <v>0.787</v>
      </c>
      <c r="P282" s="51" t="n">
        <v>30</v>
      </c>
      <c r="Q282" s="51" t="n">
        <v>154</v>
      </c>
      <c r="R282" s="44" t="s">
        <v>1191</v>
      </c>
      <c r="S282" s="44" t="s">
        <v>1192</v>
      </c>
      <c r="T282" s="43" t="s">
        <v>82</v>
      </c>
    </row>
    <row r="283" customFormat="false" ht="15" hidden="false" customHeight="false" outlineLevel="0" collapsed="false">
      <c r="A283" s="34" t="s">
        <v>1193</v>
      </c>
      <c r="B283" s="35" t="s">
        <v>1194</v>
      </c>
      <c r="C283" s="34" t="s">
        <v>31</v>
      </c>
      <c r="D283" s="34" t="s">
        <v>69</v>
      </c>
      <c r="E283" s="34" t="s">
        <v>131</v>
      </c>
      <c r="F283" s="34" t="s">
        <v>79</v>
      </c>
      <c r="G283" s="36" t="n">
        <v>25766</v>
      </c>
      <c r="H283" s="36" t="n">
        <v>42858</v>
      </c>
      <c r="I283" s="37" t="n">
        <v>54000</v>
      </c>
      <c r="J283" s="38" t="n">
        <v>0.117</v>
      </c>
      <c r="K283" s="37" t="n">
        <f aca="false">J283*I283</f>
        <v>6318</v>
      </c>
      <c r="L283" s="37" t="n">
        <f aca="false">I283+K283</f>
        <v>60318</v>
      </c>
      <c r="M283" s="39" t="n">
        <v>7.7</v>
      </c>
      <c r="N283" s="40" t="n">
        <v>3.86</v>
      </c>
      <c r="O283" s="41" t="n">
        <v>0.997</v>
      </c>
      <c r="P283" s="42" t="n">
        <v>35</v>
      </c>
      <c r="Q283" s="42" t="n">
        <v>20</v>
      </c>
      <c r="R283" s="35" t="s">
        <v>1195</v>
      </c>
      <c r="S283" s="35" t="s">
        <v>1196</v>
      </c>
      <c r="T283" s="34" t="s">
        <v>82</v>
      </c>
    </row>
    <row r="284" customFormat="false" ht="15" hidden="false" customHeight="false" outlineLevel="0" collapsed="false">
      <c r="A284" s="43" t="s">
        <v>1197</v>
      </c>
      <c r="B284" s="44" t="s">
        <v>1198</v>
      </c>
      <c r="C284" s="43" t="s">
        <v>31</v>
      </c>
      <c r="D284" s="43" t="s">
        <v>69</v>
      </c>
      <c r="E284" s="43" t="s">
        <v>96</v>
      </c>
      <c r="F284" s="43" t="s">
        <v>137</v>
      </c>
      <c r="G284" s="45" t="n">
        <v>37325</v>
      </c>
      <c r="H284" s="45" t="n">
        <v>44548</v>
      </c>
      <c r="I284" s="46" t="n">
        <v>51000</v>
      </c>
      <c r="J284" s="47" t="n">
        <v>0.234</v>
      </c>
      <c r="K284" s="46" t="n">
        <f aca="false">J284*I284</f>
        <v>11934</v>
      </c>
      <c r="L284" s="46" t="n">
        <f aca="false">I284+K284</f>
        <v>62934</v>
      </c>
      <c r="M284" s="48" t="n">
        <v>3</v>
      </c>
      <c r="N284" s="49" t="n">
        <v>4.13</v>
      </c>
      <c r="O284" s="50" t="n">
        <v>0.774</v>
      </c>
      <c r="P284" s="51" t="n">
        <v>3</v>
      </c>
      <c r="Q284" s="51" t="n">
        <v>125</v>
      </c>
      <c r="R284" s="44" t="s">
        <v>1199</v>
      </c>
      <c r="S284" s="44" t="s">
        <v>1200</v>
      </c>
      <c r="T284" s="43" t="s">
        <v>66</v>
      </c>
    </row>
    <row r="285" customFormat="false" ht="15" hidden="false" customHeight="false" outlineLevel="0" collapsed="false">
      <c r="A285" s="34" t="s">
        <v>1201</v>
      </c>
      <c r="B285" s="35" t="s">
        <v>1202</v>
      </c>
      <c r="C285" s="34" t="s">
        <v>29</v>
      </c>
      <c r="D285" s="34" t="s">
        <v>85</v>
      </c>
      <c r="E285" s="34" t="s">
        <v>131</v>
      </c>
      <c r="F285" s="34" t="s">
        <v>137</v>
      </c>
      <c r="G285" s="36" t="n">
        <v>30785</v>
      </c>
      <c r="H285" s="36" t="n">
        <v>39568</v>
      </c>
      <c r="I285" s="37" t="n">
        <v>55000</v>
      </c>
      <c r="J285" s="38" t="n">
        <v>0.244</v>
      </c>
      <c r="K285" s="37" t="n">
        <f aca="false">J285*I285</f>
        <v>13420</v>
      </c>
      <c r="L285" s="37" t="n">
        <f aca="false">I285+K285</f>
        <v>68420</v>
      </c>
      <c r="M285" s="39" t="n">
        <v>16.7</v>
      </c>
      <c r="N285" s="40" t="n">
        <v>3.09</v>
      </c>
      <c r="O285" s="41" t="n">
        <v>0.943</v>
      </c>
      <c r="P285" s="42" t="n">
        <v>38</v>
      </c>
      <c r="Q285" s="42" t="n">
        <v>186</v>
      </c>
      <c r="R285" s="35" t="s">
        <v>1203</v>
      </c>
      <c r="S285" s="35" t="s">
        <v>1204</v>
      </c>
      <c r="T285" s="34" t="s">
        <v>66</v>
      </c>
    </row>
    <row r="286" customFormat="false" ht="15" hidden="false" customHeight="false" outlineLevel="0" collapsed="false">
      <c r="A286" s="43" t="s">
        <v>1205</v>
      </c>
      <c r="B286" s="44" t="s">
        <v>1206</v>
      </c>
      <c r="C286" s="43" t="s">
        <v>33</v>
      </c>
      <c r="D286" s="43" t="s">
        <v>142</v>
      </c>
      <c r="E286" s="43" t="s">
        <v>74</v>
      </c>
      <c r="F286" s="43" t="s">
        <v>57</v>
      </c>
      <c r="G286" s="45" t="n">
        <v>35924</v>
      </c>
      <c r="H286" s="45" t="n">
        <v>43999</v>
      </c>
      <c r="I286" s="46" t="n">
        <v>186000</v>
      </c>
      <c r="J286" s="47" t="n">
        <v>0.085</v>
      </c>
      <c r="K286" s="46" t="n">
        <f aca="false">J286*I286</f>
        <v>15810</v>
      </c>
      <c r="L286" s="46" t="n">
        <f aca="false">I286+K286</f>
        <v>201810</v>
      </c>
      <c r="M286" s="48" t="n">
        <v>4.5</v>
      </c>
      <c r="N286" s="49" t="n">
        <v>3.02</v>
      </c>
      <c r="O286" s="50" t="n">
        <v>0.762</v>
      </c>
      <c r="P286" s="51" t="n">
        <v>4</v>
      </c>
      <c r="Q286" s="51" t="n">
        <v>155</v>
      </c>
      <c r="R286" s="44" t="s">
        <v>1207</v>
      </c>
      <c r="S286" s="44" t="s">
        <v>1208</v>
      </c>
      <c r="T286" s="43" t="s">
        <v>66</v>
      </c>
    </row>
    <row r="287" customFormat="false" ht="15" hidden="false" customHeight="false" outlineLevel="0" collapsed="false">
      <c r="A287" s="34" t="s">
        <v>1209</v>
      </c>
      <c r="B287" s="35" t="s">
        <v>1210</v>
      </c>
      <c r="C287" s="34" t="s">
        <v>32</v>
      </c>
      <c r="D287" s="34" t="s">
        <v>95</v>
      </c>
      <c r="E287" s="34" t="s">
        <v>136</v>
      </c>
      <c r="F287" s="34" t="s">
        <v>137</v>
      </c>
      <c r="G287" s="36" t="n">
        <v>36508</v>
      </c>
      <c r="H287" s="36" t="n">
        <v>38927</v>
      </c>
      <c r="I287" s="37" t="n">
        <v>209000</v>
      </c>
      <c r="J287" s="38" t="n">
        <v>0.123</v>
      </c>
      <c r="K287" s="37" t="n">
        <f aca="false">J287*I287</f>
        <v>25707</v>
      </c>
      <c r="L287" s="37" t="n">
        <f aca="false">I287+K287</f>
        <v>234707</v>
      </c>
      <c r="M287" s="39" t="n">
        <v>18.4</v>
      </c>
      <c r="N287" s="40" t="n">
        <v>3.93</v>
      </c>
      <c r="O287" s="41" t="n">
        <v>0.986</v>
      </c>
      <c r="P287" s="42" t="n">
        <v>33</v>
      </c>
      <c r="Q287" s="42" t="n">
        <v>183</v>
      </c>
      <c r="R287" s="35" t="s">
        <v>1211</v>
      </c>
      <c r="S287" s="35" t="s">
        <v>1212</v>
      </c>
      <c r="T287" s="34" t="s">
        <v>66</v>
      </c>
    </row>
    <row r="288" customFormat="false" ht="15" hidden="false" customHeight="false" outlineLevel="0" collapsed="false">
      <c r="A288" s="43" t="s">
        <v>1213</v>
      </c>
      <c r="B288" s="44" t="s">
        <v>1214</v>
      </c>
      <c r="C288" s="43" t="s">
        <v>26</v>
      </c>
      <c r="D288" s="43" t="s">
        <v>85</v>
      </c>
      <c r="E288" s="43" t="s">
        <v>74</v>
      </c>
      <c r="F288" s="43" t="s">
        <v>57</v>
      </c>
      <c r="G288" s="45" t="n">
        <v>32891</v>
      </c>
      <c r="H288" s="45" t="n">
        <v>38979</v>
      </c>
      <c r="I288" s="46" t="n">
        <v>97000</v>
      </c>
      <c r="J288" s="47" t="n">
        <v>0.267</v>
      </c>
      <c r="K288" s="46" t="n">
        <f aca="false">J288*I288</f>
        <v>25899</v>
      </c>
      <c r="L288" s="46" t="n">
        <f aca="false">I288+K288</f>
        <v>122899</v>
      </c>
      <c r="M288" s="48" t="n">
        <v>18.3</v>
      </c>
      <c r="N288" s="49" t="n">
        <v>2.82</v>
      </c>
      <c r="O288" s="50" t="n">
        <v>0.96</v>
      </c>
      <c r="P288" s="51" t="n">
        <v>16</v>
      </c>
      <c r="Q288" s="51" t="n">
        <v>47</v>
      </c>
      <c r="R288" s="44" t="s">
        <v>1215</v>
      </c>
      <c r="S288" s="44" t="s">
        <v>1216</v>
      </c>
      <c r="T288" s="43" t="s">
        <v>82</v>
      </c>
    </row>
    <row r="289" customFormat="false" ht="15" hidden="false" customHeight="false" outlineLevel="0" collapsed="false">
      <c r="A289" s="34" t="s">
        <v>1217</v>
      </c>
      <c r="B289" s="35" t="s">
        <v>1218</v>
      </c>
      <c r="C289" s="34" t="s">
        <v>29</v>
      </c>
      <c r="D289" s="34" t="s">
        <v>85</v>
      </c>
      <c r="E289" s="34" t="s">
        <v>96</v>
      </c>
      <c r="F289" s="34" t="s">
        <v>79</v>
      </c>
      <c r="G289" s="36" t="n">
        <v>27003</v>
      </c>
      <c r="H289" s="36" t="n">
        <v>43124</v>
      </c>
      <c r="I289" s="37" t="n">
        <v>127000</v>
      </c>
      <c r="J289" s="38" t="n">
        <v>0.172</v>
      </c>
      <c r="K289" s="37" t="n">
        <f aca="false">J289*I289</f>
        <v>21844</v>
      </c>
      <c r="L289" s="37" t="n">
        <f aca="false">I289+K289</f>
        <v>148844</v>
      </c>
      <c r="M289" s="39" t="n">
        <v>6.9</v>
      </c>
      <c r="N289" s="40" t="n">
        <v>3.94</v>
      </c>
      <c r="O289" s="41" t="n">
        <v>0.781</v>
      </c>
      <c r="P289" s="42" t="n">
        <v>27</v>
      </c>
      <c r="Q289" s="42" t="n">
        <v>106</v>
      </c>
      <c r="R289" s="35" t="s">
        <v>1219</v>
      </c>
      <c r="S289" s="35" t="s">
        <v>1220</v>
      </c>
      <c r="T289" s="34" t="s">
        <v>66</v>
      </c>
    </row>
    <row r="290" customFormat="false" ht="15" hidden="false" customHeight="false" outlineLevel="0" collapsed="false">
      <c r="A290" s="43" t="s">
        <v>1221</v>
      </c>
      <c r="B290" s="44" t="s">
        <v>1222</v>
      </c>
      <c r="C290" s="43" t="s">
        <v>25</v>
      </c>
      <c r="D290" s="43" t="s">
        <v>142</v>
      </c>
      <c r="E290" s="43" t="s">
        <v>131</v>
      </c>
      <c r="F290" s="43" t="s">
        <v>137</v>
      </c>
      <c r="G290" s="45" t="n">
        <v>36716</v>
      </c>
      <c r="H290" s="45" t="n">
        <v>43489</v>
      </c>
      <c r="I290" s="46" t="n">
        <v>160000</v>
      </c>
      <c r="J290" s="47" t="n">
        <v>0.237</v>
      </c>
      <c r="K290" s="46" t="n">
        <f aca="false">J290*I290</f>
        <v>37920</v>
      </c>
      <c r="L290" s="46" t="n">
        <f aca="false">I290+K290</f>
        <v>197920</v>
      </c>
      <c r="M290" s="48" t="n">
        <v>5.9</v>
      </c>
      <c r="N290" s="49" t="n">
        <v>4.24</v>
      </c>
      <c r="O290" s="50" t="n">
        <v>0.963</v>
      </c>
      <c r="P290" s="51" t="n">
        <v>30</v>
      </c>
      <c r="Q290" s="51" t="n">
        <v>134</v>
      </c>
      <c r="R290" s="44" t="s">
        <v>1223</v>
      </c>
      <c r="S290" s="44" t="s">
        <v>1224</v>
      </c>
      <c r="T290" s="43" t="s">
        <v>66</v>
      </c>
    </row>
    <row r="291" customFormat="false" ht="15" hidden="false" customHeight="false" outlineLevel="0" collapsed="false">
      <c r="A291" s="34" t="s">
        <v>1225</v>
      </c>
      <c r="B291" s="35" t="s">
        <v>1226</v>
      </c>
      <c r="C291" s="34" t="s">
        <v>33</v>
      </c>
      <c r="D291" s="34" t="s">
        <v>55</v>
      </c>
      <c r="E291" s="34" t="s">
        <v>131</v>
      </c>
      <c r="F291" s="34" t="s">
        <v>79</v>
      </c>
      <c r="G291" s="36" t="n">
        <v>36654</v>
      </c>
      <c r="H291" s="36" t="n">
        <v>39384</v>
      </c>
      <c r="I291" s="37" t="n">
        <v>145000</v>
      </c>
      <c r="J291" s="38" t="n">
        <v>0.209</v>
      </c>
      <c r="K291" s="37" t="n">
        <f aca="false">J291*I291</f>
        <v>30305</v>
      </c>
      <c r="L291" s="37" t="n">
        <f aca="false">I291+K291</f>
        <v>175305</v>
      </c>
      <c r="M291" s="39" t="n">
        <v>17.2</v>
      </c>
      <c r="N291" s="40" t="n">
        <v>4.24</v>
      </c>
      <c r="O291" s="41" t="n">
        <v>0.955</v>
      </c>
      <c r="P291" s="42" t="n">
        <v>35</v>
      </c>
      <c r="Q291" s="42" t="n">
        <v>111</v>
      </c>
      <c r="R291" s="35" t="s">
        <v>1227</v>
      </c>
      <c r="S291" s="35" t="s">
        <v>1228</v>
      </c>
      <c r="T291" s="34" t="s">
        <v>66</v>
      </c>
    </row>
    <row r="292" customFormat="false" ht="15" hidden="false" customHeight="false" outlineLevel="0" collapsed="false">
      <c r="A292" s="43" t="s">
        <v>1229</v>
      </c>
      <c r="B292" s="44" t="s">
        <v>1230</v>
      </c>
      <c r="C292" s="43" t="s">
        <v>30</v>
      </c>
      <c r="D292" s="43" t="s">
        <v>85</v>
      </c>
      <c r="E292" s="43" t="s">
        <v>96</v>
      </c>
      <c r="F292" s="43" t="s">
        <v>137</v>
      </c>
      <c r="G292" s="45" t="n">
        <v>34895</v>
      </c>
      <c r="H292" s="45" t="n">
        <v>39918</v>
      </c>
      <c r="I292" s="46" t="n">
        <v>95000</v>
      </c>
      <c r="J292" s="47" t="n">
        <v>0.131</v>
      </c>
      <c r="K292" s="46" t="n">
        <f aca="false">J292*I292</f>
        <v>12445</v>
      </c>
      <c r="L292" s="46" t="n">
        <f aca="false">I292+K292</f>
        <v>107445</v>
      </c>
      <c r="M292" s="48" t="n">
        <v>15.7</v>
      </c>
      <c r="N292" s="49" t="n">
        <v>3.21</v>
      </c>
      <c r="O292" s="50" t="n">
        <v>0.864</v>
      </c>
      <c r="P292" s="51" t="n">
        <v>9</v>
      </c>
      <c r="Q292" s="51" t="n">
        <v>154</v>
      </c>
      <c r="R292" s="44" t="s">
        <v>1231</v>
      </c>
      <c r="S292" s="44" t="s">
        <v>1232</v>
      </c>
      <c r="T292" s="43" t="s">
        <v>66</v>
      </c>
    </row>
    <row r="293" customFormat="false" ht="15" hidden="false" customHeight="false" outlineLevel="0" collapsed="false">
      <c r="A293" s="34" t="s">
        <v>1233</v>
      </c>
      <c r="B293" s="35" t="s">
        <v>1234</v>
      </c>
      <c r="C293" s="34" t="s">
        <v>29</v>
      </c>
      <c r="D293" s="34" t="s">
        <v>142</v>
      </c>
      <c r="E293" s="34" t="s">
        <v>63</v>
      </c>
      <c r="F293" s="34" t="s">
        <v>57</v>
      </c>
      <c r="G293" s="36" t="n">
        <v>34569</v>
      </c>
      <c r="H293" s="36" t="n">
        <v>40109</v>
      </c>
      <c r="I293" s="37" t="n">
        <v>51000</v>
      </c>
      <c r="J293" s="38" t="n">
        <v>0.207</v>
      </c>
      <c r="K293" s="37" t="n">
        <f aca="false">J293*I293</f>
        <v>10557</v>
      </c>
      <c r="L293" s="37" t="n">
        <f aca="false">I293+K293</f>
        <v>61557</v>
      </c>
      <c r="M293" s="39" t="n">
        <v>15.2</v>
      </c>
      <c r="N293" s="40" t="n">
        <v>4.59</v>
      </c>
      <c r="O293" s="41" t="n">
        <v>0.705</v>
      </c>
      <c r="P293" s="42" t="n">
        <v>11</v>
      </c>
      <c r="Q293" s="42" t="n">
        <v>122</v>
      </c>
      <c r="R293" s="35" t="s">
        <v>1235</v>
      </c>
      <c r="S293" s="35" t="s">
        <v>1236</v>
      </c>
      <c r="T293" s="34" t="s">
        <v>66</v>
      </c>
    </row>
    <row r="294" customFormat="false" ht="15" hidden="false" customHeight="false" outlineLevel="0" collapsed="false">
      <c r="A294" s="43" t="s">
        <v>1237</v>
      </c>
      <c r="B294" s="44" t="s">
        <v>1238</v>
      </c>
      <c r="C294" s="43" t="s">
        <v>24</v>
      </c>
      <c r="D294" s="43" t="s">
        <v>113</v>
      </c>
      <c r="E294" s="43" t="s">
        <v>96</v>
      </c>
      <c r="F294" s="43" t="s">
        <v>79</v>
      </c>
      <c r="G294" s="45" t="n">
        <v>31313</v>
      </c>
      <c r="H294" s="45" t="n">
        <v>38944</v>
      </c>
      <c r="I294" s="46" t="n">
        <v>59000</v>
      </c>
      <c r="J294" s="47" t="n">
        <v>0.271</v>
      </c>
      <c r="K294" s="46" t="n">
        <f aca="false">J294*I294</f>
        <v>15989</v>
      </c>
      <c r="L294" s="46" t="n">
        <f aca="false">I294+K294</f>
        <v>74989</v>
      </c>
      <c r="M294" s="48" t="n">
        <v>18.4</v>
      </c>
      <c r="N294" s="49" t="n">
        <v>3.25</v>
      </c>
      <c r="O294" s="50" t="n">
        <v>0.962</v>
      </c>
      <c r="P294" s="51" t="n">
        <v>18</v>
      </c>
      <c r="Q294" s="51" t="n">
        <v>33</v>
      </c>
      <c r="R294" s="44" t="s">
        <v>1239</v>
      </c>
      <c r="S294" s="44" t="s">
        <v>1240</v>
      </c>
      <c r="T294" s="43" t="s">
        <v>82</v>
      </c>
    </row>
    <row r="295" customFormat="false" ht="15" hidden="false" customHeight="false" outlineLevel="0" collapsed="false">
      <c r="A295" s="34" t="s">
        <v>1241</v>
      </c>
      <c r="B295" s="35" t="s">
        <v>1242</v>
      </c>
      <c r="C295" s="34" t="s">
        <v>29</v>
      </c>
      <c r="D295" s="34" t="s">
        <v>95</v>
      </c>
      <c r="E295" s="34" t="s">
        <v>131</v>
      </c>
      <c r="F295" s="34" t="s">
        <v>137</v>
      </c>
      <c r="G295" s="36" t="n">
        <v>35051</v>
      </c>
      <c r="H295" s="36" t="n">
        <v>44577</v>
      </c>
      <c r="I295" s="37" t="n">
        <v>199000</v>
      </c>
      <c r="J295" s="38" t="n">
        <v>0.276</v>
      </c>
      <c r="K295" s="37" t="n">
        <f aca="false">J295*I295</f>
        <v>54924</v>
      </c>
      <c r="L295" s="37" t="n">
        <f aca="false">I295+K295</f>
        <v>253924</v>
      </c>
      <c r="M295" s="39" t="n">
        <v>3</v>
      </c>
      <c r="N295" s="40" t="n">
        <v>2.91</v>
      </c>
      <c r="O295" s="41" t="n">
        <v>0.819</v>
      </c>
      <c r="P295" s="42" t="n">
        <v>20</v>
      </c>
      <c r="Q295" s="42" t="n">
        <v>195</v>
      </c>
      <c r="R295" s="35" t="s">
        <v>1243</v>
      </c>
      <c r="S295" s="35" t="s">
        <v>1244</v>
      </c>
      <c r="T295" s="34" t="s">
        <v>82</v>
      </c>
    </row>
    <row r="296" customFormat="false" ht="15" hidden="false" customHeight="false" outlineLevel="0" collapsed="false">
      <c r="A296" s="43" t="s">
        <v>1245</v>
      </c>
      <c r="B296" s="44" t="s">
        <v>1246</v>
      </c>
      <c r="C296" s="43" t="s">
        <v>27</v>
      </c>
      <c r="D296" s="43" t="s">
        <v>113</v>
      </c>
      <c r="E296" s="43" t="s">
        <v>131</v>
      </c>
      <c r="F296" s="43" t="s">
        <v>79</v>
      </c>
      <c r="G296" s="45" t="n">
        <v>33005</v>
      </c>
      <c r="H296" s="45" t="n">
        <v>40743</v>
      </c>
      <c r="I296" s="46" t="n">
        <v>49000</v>
      </c>
      <c r="J296" s="47" t="n">
        <v>0.05</v>
      </c>
      <c r="K296" s="46" t="n">
        <f aca="false">J296*I296</f>
        <v>2450</v>
      </c>
      <c r="L296" s="46" t="n">
        <f aca="false">I296+K296</f>
        <v>51450</v>
      </c>
      <c r="M296" s="48" t="n">
        <v>13.5</v>
      </c>
      <c r="N296" s="49" t="n">
        <v>3.69</v>
      </c>
      <c r="O296" s="50" t="n">
        <v>0.74</v>
      </c>
      <c r="P296" s="51" t="n">
        <v>15</v>
      </c>
      <c r="Q296" s="51" t="n">
        <v>142</v>
      </c>
      <c r="R296" s="44" t="s">
        <v>1247</v>
      </c>
      <c r="S296" s="44" t="s">
        <v>1248</v>
      </c>
      <c r="T296" s="43" t="s">
        <v>82</v>
      </c>
    </row>
    <row r="297" customFormat="false" ht="15" hidden="false" customHeight="false" outlineLevel="0" collapsed="false">
      <c r="A297" s="34" t="s">
        <v>1249</v>
      </c>
      <c r="B297" s="35" t="s">
        <v>1250</v>
      </c>
      <c r="C297" s="34" t="s">
        <v>31</v>
      </c>
      <c r="D297" s="34" t="s">
        <v>55</v>
      </c>
      <c r="E297" s="34" t="s">
        <v>63</v>
      </c>
      <c r="F297" s="34" t="s">
        <v>79</v>
      </c>
      <c r="G297" s="36" t="n">
        <v>33391</v>
      </c>
      <c r="H297" s="36" t="n">
        <v>43603</v>
      </c>
      <c r="I297" s="37" t="n">
        <v>115000</v>
      </c>
      <c r="J297" s="38" t="n">
        <v>0.254</v>
      </c>
      <c r="K297" s="37" t="n">
        <f aca="false">J297*I297</f>
        <v>29210</v>
      </c>
      <c r="L297" s="37" t="n">
        <f aca="false">I297+K297</f>
        <v>144210</v>
      </c>
      <c r="M297" s="39" t="n">
        <v>5.6</v>
      </c>
      <c r="N297" s="40" t="n">
        <v>4.97</v>
      </c>
      <c r="O297" s="41" t="n">
        <v>0.827</v>
      </c>
      <c r="P297" s="42" t="n">
        <v>9</v>
      </c>
      <c r="Q297" s="42" t="n">
        <v>132</v>
      </c>
      <c r="R297" s="35" t="s">
        <v>1251</v>
      </c>
      <c r="S297" s="35" t="s">
        <v>1252</v>
      </c>
      <c r="T297" s="34" t="s">
        <v>66</v>
      </c>
    </row>
    <row r="298" customFormat="false" ht="15" hidden="false" customHeight="false" outlineLevel="0" collapsed="false">
      <c r="A298" s="43" t="s">
        <v>1253</v>
      </c>
      <c r="B298" s="44" t="s">
        <v>1254</v>
      </c>
      <c r="C298" s="43" t="s">
        <v>27</v>
      </c>
      <c r="D298" s="43" t="s">
        <v>113</v>
      </c>
      <c r="E298" s="43" t="s">
        <v>131</v>
      </c>
      <c r="F298" s="43" t="s">
        <v>79</v>
      </c>
      <c r="G298" s="45" t="n">
        <v>33012</v>
      </c>
      <c r="H298" s="45" t="n">
        <v>44048</v>
      </c>
      <c r="I298" s="46" t="n">
        <v>236000</v>
      </c>
      <c r="J298" s="47" t="n">
        <v>0.076</v>
      </c>
      <c r="K298" s="46" t="n">
        <f aca="false">J298*I298</f>
        <v>17936</v>
      </c>
      <c r="L298" s="46" t="n">
        <f aca="false">I298+K298</f>
        <v>253936</v>
      </c>
      <c r="M298" s="48" t="n">
        <v>4.4</v>
      </c>
      <c r="N298" s="49" t="n">
        <v>3.28</v>
      </c>
      <c r="O298" s="50" t="n">
        <v>0.964</v>
      </c>
      <c r="P298" s="51" t="n">
        <v>9</v>
      </c>
      <c r="Q298" s="51" t="n">
        <v>107</v>
      </c>
      <c r="R298" s="44" t="s">
        <v>1255</v>
      </c>
      <c r="S298" s="44" t="s">
        <v>1256</v>
      </c>
      <c r="T298" s="43" t="s">
        <v>66</v>
      </c>
    </row>
    <row r="299" customFormat="false" ht="15" hidden="false" customHeight="false" outlineLevel="0" collapsed="false">
      <c r="A299" s="34" t="s">
        <v>1257</v>
      </c>
      <c r="B299" s="35" t="s">
        <v>1258</v>
      </c>
      <c r="C299" s="34" t="s">
        <v>26</v>
      </c>
      <c r="D299" s="34" t="s">
        <v>55</v>
      </c>
      <c r="E299" s="34" t="s">
        <v>63</v>
      </c>
      <c r="F299" s="34" t="s">
        <v>79</v>
      </c>
      <c r="G299" s="36" t="n">
        <v>26653</v>
      </c>
      <c r="H299" s="36" t="n">
        <v>39807</v>
      </c>
      <c r="I299" s="37" t="n">
        <v>195000</v>
      </c>
      <c r="J299" s="38" t="n">
        <v>0.091</v>
      </c>
      <c r="K299" s="37" t="n">
        <f aca="false">J299*I299</f>
        <v>17745</v>
      </c>
      <c r="L299" s="37" t="n">
        <f aca="false">I299+K299</f>
        <v>212745</v>
      </c>
      <c r="M299" s="39" t="n">
        <v>16</v>
      </c>
      <c r="N299" s="40" t="n">
        <v>3.38</v>
      </c>
      <c r="O299" s="41" t="n">
        <v>0.764</v>
      </c>
      <c r="P299" s="42" t="n">
        <v>10</v>
      </c>
      <c r="Q299" s="42" t="n">
        <v>115</v>
      </c>
      <c r="R299" s="35" t="s">
        <v>1259</v>
      </c>
      <c r="S299" s="35" t="s">
        <v>1260</v>
      </c>
      <c r="T299" s="34" t="s">
        <v>60</v>
      </c>
    </row>
    <row r="300" customFormat="false" ht="15" hidden="false" customHeight="false" outlineLevel="0" collapsed="false">
      <c r="A300" s="43" t="s">
        <v>1261</v>
      </c>
      <c r="B300" s="44" t="s">
        <v>1262</v>
      </c>
      <c r="C300" s="43" t="s">
        <v>31</v>
      </c>
      <c r="D300" s="43" t="s">
        <v>85</v>
      </c>
      <c r="E300" s="43" t="s">
        <v>96</v>
      </c>
      <c r="F300" s="43" t="s">
        <v>57</v>
      </c>
      <c r="G300" s="45" t="n">
        <v>30809</v>
      </c>
      <c r="H300" s="45" t="n">
        <v>42391</v>
      </c>
      <c r="I300" s="46" t="n">
        <v>51000</v>
      </c>
      <c r="J300" s="47" t="n">
        <v>0.085</v>
      </c>
      <c r="K300" s="46" t="n">
        <f aca="false">J300*I300</f>
        <v>4335</v>
      </c>
      <c r="L300" s="46" t="n">
        <f aca="false">I300+K300</f>
        <v>55335</v>
      </c>
      <c r="M300" s="48" t="n">
        <v>8.9</v>
      </c>
      <c r="N300" s="49" t="n">
        <v>2.81</v>
      </c>
      <c r="O300" s="50" t="n">
        <v>0.919</v>
      </c>
      <c r="P300" s="51" t="n">
        <v>23</v>
      </c>
      <c r="Q300" s="51" t="n">
        <v>119</v>
      </c>
      <c r="R300" s="44" t="s">
        <v>1263</v>
      </c>
      <c r="S300" s="44" t="s">
        <v>1264</v>
      </c>
      <c r="T300" s="43" t="s">
        <v>66</v>
      </c>
    </row>
    <row r="301" customFormat="false" ht="15" hidden="false" customHeight="false" outlineLevel="0" collapsed="false">
      <c r="A301" s="34" t="s">
        <v>1265</v>
      </c>
      <c r="B301" s="35" t="s">
        <v>1266</v>
      </c>
      <c r="C301" s="34" t="s">
        <v>26</v>
      </c>
      <c r="D301" s="34" t="s">
        <v>90</v>
      </c>
      <c r="E301" s="34" t="s">
        <v>56</v>
      </c>
      <c r="F301" s="34" t="s">
        <v>79</v>
      </c>
      <c r="G301" s="36" t="n">
        <v>35963</v>
      </c>
      <c r="H301" s="36" t="n">
        <v>43286</v>
      </c>
      <c r="I301" s="37" t="n">
        <v>47000</v>
      </c>
      <c r="J301" s="38" t="n">
        <v>0.112</v>
      </c>
      <c r="K301" s="37" t="n">
        <f aca="false">J301*I301</f>
        <v>5264</v>
      </c>
      <c r="L301" s="37" t="n">
        <f aca="false">I301+K301</f>
        <v>52264</v>
      </c>
      <c r="M301" s="39" t="n">
        <v>6.5</v>
      </c>
      <c r="N301" s="40" t="n">
        <v>4</v>
      </c>
      <c r="O301" s="41" t="n">
        <v>0.916</v>
      </c>
      <c r="P301" s="42" t="n">
        <v>19</v>
      </c>
      <c r="Q301" s="42" t="n">
        <v>186</v>
      </c>
      <c r="R301" s="35" t="s">
        <v>1267</v>
      </c>
      <c r="S301" s="35" t="s">
        <v>1268</v>
      </c>
      <c r="T301" s="34" t="s">
        <v>66</v>
      </c>
    </row>
    <row r="302" customFormat="false" ht="15" hidden="false" customHeight="false" outlineLevel="0" collapsed="false">
      <c r="A302" s="43" t="s">
        <v>1269</v>
      </c>
      <c r="B302" s="44" t="s">
        <v>1270</v>
      </c>
      <c r="C302" s="43" t="s">
        <v>28</v>
      </c>
      <c r="D302" s="43" t="s">
        <v>90</v>
      </c>
      <c r="E302" s="43" t="s">
        <v>96</v>
      </c>
      <c r="F302" s="43" t="s">
        <v>79</v>
      </c>
      <c r="G302" s="45" t="n">
        <v>26261</v>
      </c>
      <c r="H302" s="45" t="n">
        <v>38530</v>
      </c>
      <c r="I302" s="46" t="n">
        <v>127000</v>
      </c>
      <c r="J302" s="47" t="n">
        <v>0.124</v>
      </c>
      <c r="K302" s="46" t="n">
        <f aca="false">J302*I302</f>
        <v>15748</v>
      </c>
      <c r="L302" s="46" t="n">
        <f aca="false">I302+K302</f>
        <v>142748</v>
      </c>
      <c r="M302" s="48" t="n">
        <v>19.5</v>
      </c>
      <c r="N302" s="49" t="n">
        <v>2.64</v>
      </c>
      <c r="O302" s="50" t="n">
        <v>0.969</v>
      </c>
      <c r="P302" s="51" t="n">
        <v>16</v>
      </c>
      <c r="Q302" s="51" t="n">
        <v>136</v>
      </c>
      <c r="R302" s="44" t="s">
        <v>1271</v>
      </c>
      <c r="S302" s="44" t="s">
        <v>1272</v>
      </c>
      <c r="T302" s="43" t="s">
        <v>66</v>
      </c>
    </row>
    <row r="303" customFormat="false" ht="15" hidden="false" customHeight="false" outlineLevel="0" collapsed="false">
      <c r="A303" s="34" t="s">
        <v>1273</v>
      </c>
      <c r="B303" s="35" t="s">
        <v>1274</v>
      </c>
      <c r="C303" s="34" t="s">
        <v>25</v>
      </c>
      <c r="D303" s="34" t="s">
        <v>90</v>
      </c>
      <c r="E303" s="34" t="s">
        <v>126</v>
      </c>
      <c r="F303" s="34" t="s">
        <v>79</v>
      </c>
      <c r="G303" s="36" t="n">
        <v>24955</v>
      </c>
      <c r="H303" s="36" t="n">
        <v>42749</v>
      </c>
      <c r="I303" s="37" t="n">
        <v>180000</v>
      </c>
      <c r="J303" s="38" t="n">
        <v>0.068</v>
      </c>
      <c r="K303" s="37" t="n">
        <f aca="false">J303*I303</f>
        <v>12240</v>
      </c>
      <c r="L303" s="37" t="n">
        <f aca="false">I303+K303</f>
        <v>192240</v>
      </c>
      <c r="M303" s="39" t="n">
        <v>8</v>
      </c>
      <c r="N303" s="40" t="n">
        <v>4.72</v>
      </c>
      <c r="O303" s="41" t="n">
        <v>0.704</v>
      </c>
      <c r="P303" s="42" t="n">
        <v>24</v>
      </c>
      <c r="Q303" s="42" t="n">
        <v>91</v>
      </c>
      <c r="R303" s="35" t="s">
        <v>1275</v>
      </c>
      <c r="S303" s="35" t="s">
        <v>1276</v>
      </c>
      <c r="T303" s="34" t="s">
        <v>66</v>
      </c>
    </row>
    <row r="304" customFormat="false" ht="15" hidden="false" customHeight="false" outlineLevel="0" collapsed="false">
      <c r="A304" s="43" t="s">
        <v>1277</v>
      </c>
      <c r="B304" s="44" t="s">
        <v>1278</v>
      </c>
      <c r="C304" s="43" t="s">
        <v>30</v>
      </c>
      <c r="D304" s="43" t="s">
        <v>85</v>
      </c>
      <c r="E304" s="43" t="s">
        <v>74</v>
      </c>
      <c r="F304" s="43" t="s">
        <v>137</v>
      </c>
      <c r="G304" s="45" t="n">
        <v>32771</v>
      </c>
      <c r="H304" s="45" t="n">
        <v>41995</v>
      </c>
      <c r="I304" s="46" t="n">
        <v>168000</v>
      </c>
      <c r="J304" s="47" t="n">
        <v>0.221</v>
      </c>
      <c r="K304" s="46" t="n">
        <f aca="false">J304*I304</f>
        <v>37128</v>
      </c>
      <c r="L304" s="46" t="n">
        <f aca="false">I304+K304</f>
        <v>205128</v>
      </c>
      <c r="M304" s="48" t="n">
        <v>10</v>
      </c>
      <c r="N304" s="49" t="n">
        <v>4.41</v>
      </c>
      <c r="O304" s="50" t="n">
        <v>0.986</v>
      </c>
      <c r="P304" s="51" t="n">
        <v>5</v>
      </c>
      <c r="Q304" s="51" t="n">
        <v>14</v>
      </c>
      <c r="R304" s="44" t="s">
        <v>1279</v>
      </c>
      <c r="S304" s="44" t="s">
        <v>1280</v>
      </c>
      <c r="T304" s="43" t="s">
        <v>60</v>
      </c>
    </row>
    <row r="305" customFormat="false" ht="15" hidden="false" customHeight="false" outlineLevel="0" collapsed="false">
      <c r="A305" s="34" t="s">
        <v>1281</v>
      </c>
      <c r="B305" s="35" t="s">
        <v>1282</v>
      </c>
      <c r="C305" s="34" t="s">
        <v>25</v>
      </c>
      <c r="D305" s="34" t="s">
        <v>55</v>
      </c>
      <c r="E305" s="34" t="s">
        <v>56</v>
      </c>
      <c r="F305" s="34" t="s">
        <v>57</v>
      </c>
      <c r="G305" s="36" t="n">
        <v>26506</v>
      </c>
      <c r="H305" s="36" t="n">
        <v>42533</v>
      </c>
      <c r="I305" s="37" t="n">
        <v>35000</v>
      </c>
      <c r="J305" s="38" t="n">
        <v>0.281</v>
      </c>
      <c r="K305" s="37" t="n">
        <f aca="false">J305*I305</f>
        <v>9835</v>
      </c>
      <c r="L305" s="37" t="n">
        <f aca="false">I305+K305</f>
        <v>44835</v>
      </c>
      <c r="M305" s="39" t="n">
        <v>8.6</v>
      </c>
      <c r="N305" s="40" t="n">
        <v>4.87</v>
      </c>
      <c r="O305" s="41" t="n">
        <v>0.819</v>
      </c>
      <c r="P305" s="42" t="n">
        <v>19</v>
      </c>
      <c r="Q305" s="42" t="n">
        <v>170</v>
      </c>
      <c r="R305" s="35" t="s">
        <v>1283</v>
      </c>
      <c r="S305" s="35" t="s">
        <v>1284</v>
      </c>
      <c r="T305" s="34" t="s">
        <v>82</v>
      </c>
    </row>
    <row r="306" customFormat="false" ht="15" hidden="false" customHeight="false" outlineLevel="0" collapsed="false">
      <c r="A306" s="43" t="s">
        <v>1285</v>
      </c>
      <c r="B306" s="44" t="s">
        <v>1286</v>
      </c>
      <c r="C306" s="43" t="s">
        <v>32</v>
      </c>
      <c r="D306" s="43" t="s">
        <v>85</v>
      </c>
      <c r="E306" s="43" t="s">
        <v>74</v>
      </c>
      <c r="F306" s="43" t="s">
        <v>137</v>
      </c>
      <c r="G306" s="45" t="n">
        <v>35868</v>
      </c>
      <c r="H306" s="45" t="n">
        <v>40413</v>
      </c>
      <c r="I306" s="46" t="n">
        <v>208000</v>
      </c>
      <c r="J306" s="47" t="n">
        <v>0.151</v>
      </c>
      <c r="K306" s="46" t="n">
        <f aca="false">J306*I306</f>
        <v>31408</v>
      </c>
      <c r="L306" s="46" t="n">
        <f aca="false">I306+K306</f>
        <v>239408</v>
      </c>
      <c r="M306" s="48" t="n">
        <v>14.4</v>
      </c>
      <c r="N306" s="49" t="n">
        <v>4.1</v>
      </c>
      <c r="O306" s="50" t="n">
        <v>0.861</v>
      </c>
      <c r="P306" s="51" t="n">
        <v>10</v>
      </c>
      <c r="Q306" s="51" t="n">
        <v>81</v>
      </c>
      <c r="R306" s="44" t="s">
        <v>1287</v>
      </c>
      <c r="S306" s="44" t="s">
        <v>1288</v>
      </c>
      <c r="T306" s="43" t="s">
        <v>66</v>
      </c>
    </row>
    <row r="307" customFormat="false" ht="15" hidden="false" customHeight="false" outlineLevel="0" collapsed="false">
      <c r="A307" s="34" t="s">
        <v>1289</v>
      </c>
      <c r="B307" s="35" t="s">
        <v>1290</v>
      </c>
      <c r="C307" s="34" t="s">
        <v>28</v>
      </c>
      <c r="D307" s="34" t="s">
        <v>55</v>
      </c>
      <c r="E307" s="34" t="s">
        <v>96</v>
      </c>
      <c r="F307" s="34" t="s">
        <v>57</v>
      </c>
      <c r="G307" s="36" t="n">
        <v>36875</v>
      </c>
      <c r="H307" s="36" t="n">
        <v>42943</v>
      </c>
      <c r="I307" s="37" t="n">
        <v>165000</v>
      </c>
      <c r="J307" s="38" t="n">
        <v>0.132</v>
      </c>
      <c r="K307" s="37" t="n">
        <f aca="false">J307*I307</f>
        <v>21780</v>
      </c>
      <c r="L307" s="37" t="n">
        <f aca="false">I307+K307</f>
        <v>186780</v>
      </c>
      <c r="M307" s="39" t="n">
        <v>7.4</v>
      </c>
      <c r="N307" s="40" t="n">
        <v>3.97</v>
      </c>
      <c r="O307" s="41" t="n">
        <v>0.929</v>
      </c>
      <c r="P307" s="42" t="n">
        <v>5</v>
      </c>
      <c r="Q307" s="42" t="n">
        <v>89</v>
      </c>
      <c r="R307" s="35" t="s">
        <v>1291</v>
      </c>
      <c r="S307" s="35" t="s">
        <v>1292</v>
      </c>
      <c r="T307" s="34" t="s">
        <v>82</v>
      </c>
    </row>
    <row r="308" customFormat="false" ht="15" hidden="false" customHeight="false" outlineLevel="0" collapsed="false">
      <c r="A308" s="43" t="s">
        <v>1293</v>
      </c>
      <c r="B308" s="44" t="s">
        <v>1294</v>
      </c>
      <c r="C308" s="43" t="s">
        <v>30</v>
      </c>
      <c r="D308" s="43" t="s">
        <v>142</v>
      </c>
      <c r="E308" s="43" t="s">
        <v>96</v>
      </c>
      <c r="F308" s="43" t="s">
        <v>57</v>
      </c>
      <c r="G308" s="45" t="n">
        <v>32481</v>
      </c>
      <c r="H308" s="45" t="n">
        <v>39393</v>
      </c>
      <c r="I308" s="46" t="n">
        <v>89000</v>
      </c>
      <c r="J308" s="47" t="n">
        <v>0.072</v>
      </c>
      <c r="K308" s="46" t="n">
        <f aca="false">J308*I308</f>
        <v>6408</v>
      </c>
      <c r="L308" s="46" t="n">
        <f aca="false">I308+K308</f>
        <v>95408</v>
      </c>
      <c r="M308" s="48" t="n">
        <v>17.1</v>
      </c>
      <c r="N308" s="49" t="n">
        <v>3.59</v>
      </c>
      <c r="O308" s="50" t="n">
        <v>0.836</v>
      </c>
      <c r="P308" s="51" t="n">
        <v>39</v>
      </c>
      <c r="Q308" s="51" t="n">
        <v>24</v>
      </c>
      <c r="R308" s="44" t="s">
        <v>1295</v>
      </c>
      <c r="S308" s="44" t="s">
        <v>1296</v>
      </c>
      <c r="T308" s="43" t="s">
        <v>66</v>
      </c>
    </row>
    <row r="309" customFormat="false" ht="15" hidden="false" customHeight="false" outlineLevel="0" collapsed="false">
      <c r="A309" s="34" t="s">
        <v>1297</v>
      </c>
      <c r="B309" s="35" t="s">
        <v>1298</v>
      </c>
      <c r="C309" s="34" t="s">
        <v>26</v>
      </c>
      <c r="D309" s="34" t="s">
        <v>55</v>
      </c>
      <c r="E309" s="34" t="s">
        <v>63</v>
      </c>
      <c r="F309" s="34" t="s">
        <v>79</v>
      </c>
      <c r="G309" s="36" t="n">
        <v>36411</v>
      </c>
      <c r="H309" s="36" t="n">
        <v>44239</v>
      </c>
      <c r="I309" s="37" t="n">
        <v>60000</v>
      </c>
      <c r="J309" s="38" t="n">
        <v>0.225</v>
      </c>
      <c r="K309" s="37" t="n">
        <f aca="false">J309*I309</f>
        <v>13500</v>
      </c>
      <c r="L309" s="37" t="n">
        <f aca="false">I309+K309</f>
        <v>73500</v>
      </c>
      <c r="M309" s="39" t="n">
        <v>3.9</v>
      </c>
      <c r="N309" s="40" t="n">
        <v>2.91</v>
      </c>
      <c r="O309" s="41" t="n">
        <v>0.986</v>
      </c>
      <c r="P309" s="42" t="n">
        <v>34</v>
      </c>
      <c r="Q309" s="42" t="n">
        <v>142</v>
      </c>
      <c r="R309" s="35" t="s">
        <v>1299</v>
      </c>
      <c r="S309" s="35" t="s">
        <v>1300</v>
      </c>
      <c r="T309" s="34" t="s">
        <v>82</v>
      </c>
    </row>
    <row r="310" customFormat="false" ht="15" hidden="false" customHeight="false" outlineLevel="0" collapsed="false">
      <c r="A310" s="43" t="s">
        <v>1301</v>
      </c>
      <c r="B310" s="44" t="s">
        <v>1302</v>
      </c>
      <c r="C310" s="43" t="s">
        <v>28</v>
      </c>
      <c r="D310" s="43" t="s">
        <v>90</v>
      </c>
      <c r="E310" s="43" t="s">
        <v>151</v>
      </c>
      <c r="F310" s="43" t="s">
        <v>57</v>
      </c>
      <c r="G310" s="45" t="n">
        <v>26708</v>
      </c>
      <c r="H310" s="45" t="n">
        <v>39927</v>
      </c>
      <c r="I310" s="46" t="n">
        <v>221000</v>
      </c>
      <c r="J310" s="47" t="n">
        <v>0.245</v>
      </c>
      <c r="K310" s="46" t="n">
        <f aca="false">J310*I310</f>
        <v>54145</v>
      </c>
      <c r="L310" s="46" t="n">
        <f aca="false">I310+K310</f>
        <v>275145</v>
      </c>
      <c r="M310" s="48" t="n">
        <v>15.7</v>
      </c>
      <c r="N310" s="49" t="n">
        <v>3.17</v>
      </c>
      <c r="O310" s="50" t="n">
        <v>0.966</v>
      </c>
      <c r="P310" s="51" t="n">
        <v>2</v>
      </c>
      <c r="Q310" s="51" t="n">
        <v>95</v>
      </c>
      <c r="R310" s="44" t="s">
        <v>1303</v>
      </c>
      <c r="S310" s="44" t="s">
        <v>1304</v>
      </c>
      <c r="T310" s="43" t="s">
        <v>66</v>
      </c>
    </row>
    <row r="311" customFormat="false" ht="15" hidden="false" customHeight="false" outlineLevel="0" collapsed="false">
      <c r="A311" s="34" t="s">
        <v>1305</v>
      </c>
      <c r="B311" s="35" t="s">
        <v>1306</v>
      </c>
      <c r="C311" s="34" t="s">
        <v>28</v>
      </c>
      <c r="D311" s="34" t="s">
        <v>69</v>
      </c>
      <c r="E311" s="34" t="s">
        <v>131</v>
      </c>
      <c r="F311" s="34" t="s">
        <v>137</v>
      </c>
      <c r="G311" s="36" t="n">
        <v>34214</v>
      </c>
      <c r="H311" s="36" t="n">
        <v>38557</v>
      </c>
      <c r="I311" s="37" t="n">
        <v>211000</v>
      </c>
      <c r="J311" s="38" t="n">
        <v>0.294</v>
      </c>
      <c r="K311" s="37" t="n">
        <f aca="false">J311*I311</f>
        <v>62034</v>
      </c>
      <c r="L311" s="37" t="n">
        <f aca="false">I311+K311</f>
        <v>273034</v>
      </c>
      <c r="M311" s="39" t="n">
        <v>19.4</v>
      </c>
      <c r="N311" s="40" t="n">
        <v>4.07</v>
      </c>
      <c r="O311" s="41" t="n">
        <v>0.849</v>
      </c>
      <c r="P311" s="42" t="n">
        <v>33</v>
      </c>
      <c r="Q311" s="42" t="n">
        <v>102</v>
      </c>
      <c r="R311" s="35" t="s">
        <v>1307</v>
      </c>
      <c r="S311" s="35" t="s">
        <v>1308</v>
      </c>
      <c r="T311" s="34" t="s">
        <v>66</v>
      </c>
    </row>
    <row r="312" customFormat="false" ht="15" hidden="false" customHeight="false" outlineLevel="0" collapsed="false">
      <c r="A312" s="43" t="s">
        <v>1309</v>
      </c>
      <c r="B312" s="44" t="s">
        <v>1310</v>
      </c>
      <c r="C312" s="43" t="s">
        <v>31</v>
      </c>
      <c r="D312" s="43" t="s">
        <v>85</v>
      </c>
      <c r="E312" s="43" t="s">
        <v>136</v>
      </c>
      <c r="F312" s="43" t="s">
        <v>137</v>
      </c>
      <c r="G312" s="45" t="n">
        <v>25063</v>
      </c>
      <c r="H312" s="45" t="n">
        <v>43050</v>
      </c>
      <c r="I312" s="46" t="n">
        <v>66000</v>
      </c>
      <c r="J312" s="47" t="n">
        <v>0.114</v>
      </c>
      <c r="K312" s="46" t="n">
        <f aca="false">J312*I312</f>
        <v>7524</v>
      </c>
      <c r="L312" s="46" t="n">
        <f aca="false">I312+K312</f>
        <v>73524</v>
      </c>
      <c r="M312" s="48" t="n">
        <v>7.1</v>
      </c>
      <c r="N312" s="49" t="n">
        <v>2.76</v>
      </c>
      <c r="O312" s="50" t="n">
        <v>0.872</v>
      </c>
      <c r="P312" s="51" t="n">
        <v>8</v>
      </c>
      <c r="Q312" s="51" t="n">
        <v>68</v>
      </c>
      <c r="R312" s="44" t="s">
        <v>1311</v>
      </c>
      <c r="S312" s="44" t="s">
        <v>1312</v>
      </c>
      <c r="T312" s="43" t="s">
        <v>82</v>
      </c>
    </row>
    <row r="313" customFormat="false" ht="15" hidden="false" customHeight="false" outlineLevel="0" collapsed="false">
      <c r="A313" s="34" t="s">
        <v>1313</v>
      </c>
      <c r="B313" s="35" t="s">
        <v>1314</v>
      </c>
      <c r="C313" s="34" t="s">
        <v>32</v>
      </c>
      <c r="D313" s="34" t="s">
        <v>55</v>
      </c>
      <c r="E313" s="34" t="s">
        <v>63</v>
      </c>
      <c r="F313" s="34" t="s">
        <v>57</v>
      </c>
      <c r="G313" s="36" t="n">
        <v>37442</v>
      </c>
      <c r="H313" s="36" t="n">
        <v>40829</v>
      </c>
      <c r="I313" s="37" t="n">
        <v>89000</v>
      </c>
      <c r="J313" s="38" t="n">
        <v>0.061</v>
      </c>
      <c r="K313" s="37" t="n">
        <f aca="false">J313*I313</f>
        <v>5429</v>
      </c>
      <c r="L313" s="37" t="n">
        <f aca="false">I313+K313</f>
        <v>94429</v>
      </c>
      <c r="M313" s="39" t="n">
        <v>13.2</v>
      </c>
      <c r="N313" s="40" t="n">
        <v>3.41</v>
      </c>
      <c r="O313" s="41" t="n">
        <v>0.976</v>
      </c>
      <c r="P313" s="42" t="n">
        <v>12</v>
      </c>
      <c r="Q313" s="42" t="n">
        <v>19</v>
      </c>
      <c r="R313" s="35" t="s">
        <v>1315</v>
      </c>
      <c r="S313" s="35" t="s">
        <v>1316</v>
      </c>
      <c r="T313" s="34" t="s">
        <v>60</v>
      </c>
    </row>
    <row r="314" customFormat="false" ht="15" hidden="false" customHeight="false" outlineLevel="0" collapsed="false">
      <c r="A314" s="43" t="s">
        <v>1317</v>
      </c>
      <c r="B314" s="44" t="s">
        <v>1318</v>
      </c>
      <c r="C314" s="43" t="s">
        <v>30</v>
      </c>
      <c r="D314" s="43" t="s">
        <v>90</v>
      </c>
      <c r="E314" s="43" t="s">
        <v>151</v>
      </c>
      <c r="F314" s="43" t="s">
        <v>57</v>
      </c>
      <c r="G314" s="45" t="n">
        <v>33722</v>
      </c>
      <c r="H314" s="45" t="n">
        <v>39117</v>
      </c>
      <c r="I314" s="46" t="n">
        <v>134000</v>
      </c>
      <c r="J314" s="47" t="n">
        <v>0.279</v>
      </c>
      <c r="K314" s="46" t="n">
        <f aca="false">J314*I314</f>
        <v>37386</v>
      </c>
      <c r="L314" s="46" t="n">
        <f aca="false">I314+K314</f>
        <v>171386</v>
      </c>
      <c r="M314" s="48" t="n">
        <v>17.9</v>
      </c>
      <c r="N314" s="49" t="n">
        <v>3.3</v>
      </c>
      <c r="O314" s="50" t="n">
        <v>0.948</v>
      </c>
      <c r="P314" s="51" t="n">
        <v>37</v>
      </c>
      <c r="Q314" s="51" t="n">
        <v>105</v>
      </c>
      <c r="R314" s="44" t="s">
        <v>1319</v>
      </c>
      <c r="S314" s="44" t="s">
        <v>1320</v>
      </c>
      <c r="T314" s="43" t="s">
        <v>66</v>
      </c>
    </row>
    <row r="315" customFormat="false" ht="15" hidden="false" customHeight="false" outlineLevel="0" collapsed="false">
      <c r="A315" s="34" t="s">
        <v>1321</v>
      </c>
      <c r="B315" s="35" t="s">
        <v>1322</v>
      </c>
      <c r="C315" s="34" t="s">
        <v>32</v>
      </c>
      <c r="D315" s="34" t="s">
        <v>142</v>
      </c>
      <c r="E315" s="34" t="s">
        <v>63</v>
      </c>
      <c r="F315" s="34" t="s">
        <v>57</v>
      </c>
      <c r="G315" s="36" t="n">
        <v>29054</v>
      </c>
      <c r="H315" s="36" t="n">
        <v>39176</v>
      </c>
      <c r="I315" s="37" t="n">
        <v>83000</v>
      </c>
      <c r="J315" s="38" t="n">
        <v>0.251</v>
      </c>
      <c r="K315" s="37" t="n">
        <f aca="false">J315*I315</f>
        <v>20833</v>
      </c>
      <c r="L315" s="37" t="n">
        <f aca="false">I315+K315</f>
        <v>103833</v>
      </c>
      <c r="M315" s="39" t="n">
        <v>17.7</v>
      </c>
      <c r="N315" s="40" t="n">
        <v>4.95</v>
      </c>
      <c r="O315" s="41" t="n">
        <v>0.986</v>
      </c>
      <c r="P315" s="42" t="n">
        <v>5</v>
      </c>
      <c r="Q315" s="42" t="n">
        <v>129</v>
      </c>
      <c r="R315" s="35" t="s">
        <v>1323</v>
      </c>
      <c r="S315" s="35" t="s">
        <v>1324</v>
      </c>
      <c r="T315" s="34" t="s">
        <v>66</v>
      </c>
    </row>
    <row r="316" customFormat="false" ht="15" hidden="false" customHeight="false" outlineLevel="0" collapsed="false">
      <c r="A316" s="43" t="s">
        <v>1325</v>
      </c>
      <c r="B316" s="44" t="s">
        <v>1326</v>
      </c>
      <c r="C316" s="43" t="s">
        <v>28</v>
      </c>
      <c r="D316" s="43" t="s">
        <v>95</v>
      </c>
      <c r="E316" s="43" t="s">
        <v>131</v>
      </c>
      <c r="F316" s="43" t="s">
        <v>79</v>
      </c>
      <c r="G316" s="45" t="n">
        <v>30034</v>
      </c>
      <c r="H316" s="45" t="n">
        <v>42557</v>
      </c>
      <c r="I316" s="46" t="n">
        <v>144000</v>
      </c>
      <c r="J316" s="47" t="n">
        <v>0.052</v>
      </c>
      <c r="K316" s="46" t="n">
        <f aca="false">J316*I316</f>
        <v>7488</v>
      </c>
      <c r="L316" s="46" t="n">
        <f aca="false">I316+K316</f>
        <v>151488</v>
      </c>
      <c r="M316" s="48" t="n">
        <v>8.5</v>
      </c>
      <c r="N316" s="49" t="n">
        <v>3</v>
      </c>
      <c r="O316" s="50" t="n">
        <v>0.869</v>
      </c>
      <c r="P316" s="51" t="n">
        <v>20</v>
      </c>
      <c r="Q316" s="51" t="n">
        <v>199</v>
      </c>
      <c r="R316" s="44" t="s">
        <v>1327</v>
      </c>
      <c r="S316" s="44" t="s">
        <v>1328</v>
      </c>
      <c r="T316" s="43" t="s">
        <v>60</v>
      </c>
    </row>
    <row r="317" customFormat="false" ht="15" hidden="false" customHeight="false" outlineLevel="0" collapsed="false">
      <c r="A317" s="34" t="s">
        <v>1329</v>
      </c>
      <c r="B317" s="35" t="s">
        <v>1330</v>
      </c>
      <c r="C317" s="34" t="s">
        <v>27</v>
      </c>
      <c r="D317" s="34" t="s">
        <v>113</v>
      </c>
      <c r="E317" s="34" t="s">
        <v>151</v>
      </c>
      <c r="F317" s="34" t="s">
        <v>79</v>
      </c>
      <c r="G317" s="36" t="n">
        <v>37966</v>
      </c>
      <c r="H317" s="36" t="n">
        <v>41994</v>
      </c>
      <c r="I317" s="37" t="n">
        <v>154000</v>
      </c>
      <c r="J317" s="38" t="n">
        <v>0.299</v>
      </c>
      <c r="K317" s="37" t="n">
        <f aca="false">J317*I317</f>
        <v>46046</v>
      </c>
      <c r="L317" s="37" t="n">
        <f aca="false">I317+K317</f>
        <v>200046</v>
      </c>
      <c r="M317" s="39" t="n">
        <v>10</v>
      </c>
      <c r="N317" s="40" t="n">
        <v>4.44</v>
      </c>
      <c r="O317" s="41" t="n">
        <v>0.92</v>
      </c>
      <c r="P317" s="42" t="n">
        <v>35</v>
      </c>
      <c r="Q317" s="42" t="n">
        <v>72</v>
      </c>
      <c r="R317" s="35" t="s">
        <v>1331</v>
      </c>
      <c r="S317" s="35" t="s">
        <v>1332</v>
      </c>
      <c r="T317" s="34" t="s">
        <v>66</v>
      </c>
    </row>
    <row r="318" customFormat="false" ht="15" hidden="false" customHeight="false" outlineLevel="0" collapsed="false">
      <c r="A318" s="43" t="s">
        <v>1333</v>
      </c>
      <c r="B318" s="44" t="s">
        <v>1334</v>
      </c>
      <c r="C318" s="43" t="s">
        <v>24</v>
      </c>
      <c r="D318" s="43" t="s">
        <v>113</v>
      </c>
      <c r="E318" s="43" t="s">
        <v>63</v>
      </c>
      <c r="F318" s="43" t="s">
        <v>57</v>
      </c>
      <c r="G318" s="45" t="n">
        <v>28711</v>
      </c>
      <c r="H318" s="45" t="n">
        <v>42790</v>
      </c>
      <c r="I318" s="46" t="n">
        <v>166000</v>
      </c>
      <c r="J318" s="47" t="n">
        <v>0.137</v>
      </c>
      <c r="K318" s="46" t="n">
        <f aca="false">J318*I318</f>
        <v>22742</v>
      </c>
      <c r="L318" s="46" t="n">
        <f aca="false">I318+K318</f>
        <v>188742</v>
      </c>
      <c r="M318" s="48" t="n">
        <v>7.8</v>
      </c>
      <c r="N318" s="49" t="n">
        <v>4.6</v>
      </c>
      <c r="O318" s="50" t="n">
        <v>0.963</v>
      </c>
      <c r="P318" s="51" t="n">
        <v>22</v>
      </c>
      <c r="Q318" s="51" t="n">
        <v>10</v>
      </c>
      <c r="R318" s="44" t="s">
        <v>1335</v>
      </c>
      <c r="S318" s="44" t="s">
        <v>1336</v>
      </c>
      <c r="T318" s="43" t="s">
        <v>82</v>
      </c>
    </row>
    <row r="319" customFormat="false" ht="15" hidden="false" customHeight="false" outlineLevel="0" collapsed="false">
      <c r="A319" s="34" t="s">
        <v>1337</v>
      </c>
      <c r="B319" s="35" t="s">
        <v>1338</v>
      </c>
      <c r="C319" s="34" t="s">
        <v>30</v>
      </c>
      <c r="D319" s="34" t="s">
        <v>85</v>
      </c>
      <c r="E319" s="34" t="s">
        <v>56</v>
      </c>
      <c r="F319" s="34" t="s">
        <v>57</v>
      </c>
      <c r="G319" s="36" t="n">
        <v>36146</v>
      </c>
      <c r="H319" s="36" t="n">
        <v>41503</v>
      </c>
      <c r="I319" s="37" t="n">
        <v>78000</v>
      </c>
      <c r="J319" s="38" t="n">
        <v>0.182</v>
      </c>
      <c r="K319" s="37" t="n">
        <f aca="false">J319*I319</f>
        <v>14196</v>
      </c>
      <c r="L319" s="37" t="n">
        <f aca="false">I319+K319</f>
        <v>92196</v>
      </c>
      <c r="M319" s="39" t="n">
        <v>11.4</v>
      </c>
      <c r="N319" s="40" t="n">
        <v>3.1</v>
      </c>
      <c r="O319" s="41" t="n">
        <v>0.848</v>
      </c>
      <c r="P319" s="42" t="n">
        <v>4</v>
      </c>
      <c r="Q319" s="42" t="n">
        <v>46</v>
      </c>
      <c r="R319" s="35" t="s">
        <v>1339</v>
      </c>
      <c r="S319" s="35" t="s">
        <v>1340</v>
      </c>
      <c r="T319" s="34" t="s">
        <v>82</v>
      </c>
    </row>
    <row r="320" customFormat="false" ht="15" hidden="false" customHeight="false" outlineLevel="0" collapsed="false">
      <c r="A320" s="43" t="s">
        <v>1341</v>
      </c>
      <c r="B320" s="44" t="s">
        <v>1342</v>
      </c>
      <c r="C320" s="43" t="s">
        <v>28</v>
      </c>
      <c r="D320" s="43" t="s">
        <v>55</v>
      </c>
      <c r="E320" s="43" t="s">
        <v>63</v>
      </c>
      <c r="F320" s="43" t="s">
        <v>57</v>
      </c>
      <c r="G320" s="45" t="n">
        <v>32218</v>
      </c>
      <c r="H320" s="45" t="n">
        <v>39465</v>
      </c>
      <c r="I320" s="46" t="n">
        <v>246000</v>
      </c>
      <c r="J320" s="47" t="n">
        <v>0.18</v>
      </c>
      <c r="K320" s="46" t="n">
        <f aca="false">J320*I320</f>
        <v>44280</v>
      </c>
      <c r="L320" s="46" t="n">
        <f aca="false">I320+K320</f>
        <v>290280</v>
      </c>
      <c r="M320" s="48" t="n">
        <v>17</v>
      </c>
      <c r="N320" s="49" t="n">
        <v>4.25</v>
      </c>
      <c r="O320" s="50" t="n">
        <v>0.812</v>
      </c>
      <c r="P320" s="51" t="n">
        <v>6</v>
      </c>
      <c r="Q320" s="51" t="n">
        <v>158</v>
      </c>
      <c r="R320" s="44" t="s">
        <v>1343</v>
      </c>
      <c r="S320" s="44" t="s">
        <v>1344</v>
      </c>
      <c r="T320" s="43" t="s">
        <v>66</v>
      </c>
    </row>
    <row r="321" customFormat="false" ht="15" hidden="false" customHeight="false" outlineLevel="0" collapsed="false">
      <c r="A321" s="34" t="s">
        <v>1345</v>
      </c>
      <c r="B321" s="35" t="s">
        <v>1346</v>
      </c>
      <c r="C321" s="34" t="s">
        <v>32</v>
      </c>
      <c r="D321" s="34" t="s">
        <v>90</v>
      </c>
      <c r="E321" s="34" t="s">
        <v>74</v>
      </c>
      <c r="F321" s="34" t="s">
        <v>57</v>
      </c>
      <c r="G321" s="36" t="n">
        <v>30187</v>
      </c>
      <c r="H321" s="36" t="n">
        <v>38754</v>
      </c>
      <c r="I321" s="37" t="n">
        <v>180000</v>
      </c>
      <c r="J321" s="38" t="n">
        <v>0.192</v>
      </c>
      <c r="K321" s="37" t="n">
        <f aca="false">J321*I321</f>
        <v>34560</v>
      </c>
      <c r="L321" s="37" t="n">
        <f aca="false">I321+K321</f>
        <v>214560</v>
      </c>
      <c r="M321" s="39" t="n">
        <v>18.9</v>
      </c>
      <c r="N321" s="40" t="n">
        <v>3.59</v>
      </c>
      <c r="O321" s="41" t="n">
        <v>0.989</v>
      </c>
      <c r="P321" s="42" t="n">
        <v>16</v>
      </c>
      <c r="Q321" s="42" t="n">
        <v>84</v>
      </c>
      <c r="R321" s="35" t="s">
        <v>1347</v>
      </c>
      <c r="S321" s="35" t="s">
        <v>1348</v>
      </c>
      <c r="T321" s="34" t="s">
        <v>66</v>
      </c>
    </row>
    <row r="322" customFormat="false" ht="15" hidden="false" customHeight="false" outlineLevel="0" collapsed="false">
      <c r="A322" s="43" t="s">
        <v>1349</v>
      </c>
      <c r="B322" s="44" t="s">
        <v>1350</v>
      </c>
      <c r="C322" s="43" t="s">
        <v>29</v>
      </c>
      <c r="D322" s="43" t="s">
        <v>85</v>
      </c>
      <c r="E322" s="43" t="s">
        <v>74</v>
      </c>
      <c r="F322" s="43" t="s">
        <v>79</v>
      </c>
      <c r="G322" s="45" t="n">
        <v>24895</v>
      </c>
      <c r="H322" s="45" t="n">
        <v>41697</v>
      </c>
      <c r="I322" s="46" t="n">
        <v>243000</v>
      </c>
      <c r="J322" s="47" t="n">
        <v>0.234</v>
      </c>
      <c r="K322" s="46" t="n">
        <f aca="false">J322*I322</f>
        <v>56862</v>
      </c>
      <c r="L322" s="46" t="n">
        <f aca="false">I322+K322</f>
        <v>299862</v>
      </c>
      <c r="M322" s="48" t="n">
        <v>10.8</v>
      </c>
      <c r="N322" s="49" t="n">
        <v>3.3</v>
      </c>
      <c r="O322" s="50" t="n">
        <v>0.782</v>
      </c>
      <c r="P322" s="51" t="n">
        <v>5</v>
      </c>
      <c r="Q322" s="51" t="n">
        <v>61</v>
      </c>
      <c r="R322" s="44" t="s">
        <v>1351</v>
      </c>
      <c r="S322" s="44" t="s">
        <v>1352</v>
      </c>
      <c r="T322" s="43" t="s">
        <v>66</v>
      </c>
    </row>
    <row r="323" customFormat="false" ht="15" hidden="false" customHeight="false" outlineLevel="0" collapsed="false">
      <c r="A323" s="34" t="s">
        <v>1353</v>
      </c>
      <c r="B323" s="35" t="s">
        <v>1354</v>
      </c>
      <c r="C323" s="34" t="s">
        <v>33</v>
      </c>
      <c r="D323" s="34" t="s">
        <v>55</v>
      </c>
      <c r="E323" s="34" t="s">
        <v>136</v>
      </c>
      <c r="F323" s="34" t="s">
        <v>57</v>
      </c>
      <c r="G323" s="36" t="n">
        <v>28203</v>
      </c>
      <c r="H323" s="36" t="n">
        <v>40469</v>
      </c>
      <c r="I323" s="37" t="n">
        <v>68000</v>
      </c>
      <c r="J323" s="38" t="n">
        <v>0.162</v>
      </c>
      <c r="K323" s="37" t="n">
        <f aca="false">J323*I323</f>
        <v>11016</v>
      </c>
      <c r="L323" s="37" t="n">
        <f aca="false">I323+K323</f>
        <v>79016</v>
      </c>
      <c r="M323" s="39" t="n">
        <v>14.2</v>
      </c>
      <c r="N323" s="40" t="n">
        <v>3.29</v>
      </c>
      <c r="O323" s="41" t="n">
        <v>0.736</v>
      </c>
      <c r="P323" s="42" t="n">
        <v>23</v>
      </c>
      <c r="Q323" s="42" t="n">
        <v>63</v>
      </c>
      <c r="R323" s="35" t="s">
        <v>1355</v>
      </c>
      <c r="S323" s="35" t="s">
        <v>1356</v>
      </c>
      <c r="T323" s="34" t="s">
        <v>66</v>
      </c>
    </row>
    <row r="324" customFormat="false" ht="15" hidden="false" customHeight="false" outlineLevel="0" collapsed="false">
      <c r="A324" s="43" t="s">
        <v>1357</v>
      </c>
      <c r="B324" s="44" t="s">
        <v>1358</v>
      </c>
      <c r="C324" s="43" t="s">
        <v>28</v>
      </c>
      <c r="D324" s="43" t="s">
        <v>113</v>
      </c>
      <c r="E324" s="43" t="s">
        <v>56</v>
      </c>
      <c r="F324" s="43" t="s">
        <v>57</v>
      </c>
      <c r="G324" s="45" t="n">
        <v>30219</v>
      </c>
      <c r="H324" s="45" t="n">
        <v>40142</v>
      </c>
      <c r="I324" s="46" t="n">
        <v>48000</v>
      </c>
      <c r="J324" s="47" t="n">
        <v>0.089</v>
      </c>
      <c r="K324" s="46" t="n">
        <f aca="false">J324*I324</f>
        <v>4272</v>
      </c>
      <c r="L324" s="46" t="n">
        <f aca="false">I324+K324</f>
        <v>52272</v>
      </c>
      <c r="M324" s="48" t="n">
        <v>15.1</v>
      </c>
      <c r="N324" s="49" t="n">
        <v>4.22</v>
      </c>
      <c r="O324" s="50" t="n">
        <v>0.948</v>
      </c>
      <c r="P324" s="51" t="n">
        <v>39</v>
      </c>
      <c r="Q324" s="51" t="n">
        <v>20</v>
      </c>
      <c r="R324" s="44" t="s">
        <v>1359</v>
      </c>
      <c r="S324" s="44" t="s">
        <v>1360</v>
      </c>
      <c r="T324" s="43" t="s">
        <v>66</v>
      </c>
    </row>
    <row r="325" customFormat="false" ht="15" hidden="false" customHeight="false" outlineLevel="0" collapsed="false">
      <c r="A325" s="34" t="s">
        <v>1361</v>
      </c>
      <c r="B325" s="35" t="s">
        <v>1362</v>
      </c>
      <c r="C325" s="34" t="s">
        <v>29</v>
      </c>
      <c r="D325" s="34" t="s">
        <v>90</v>
      </c>
      <c r="E325" s="34" t="s">
        <v>131</v>
      </c>
      <c r="F325" s="34" t="s">
        <v>79</v>
      </c>
      <c r="G325" s="36" t="n">
        <v>29543</v>
      </c>
      <c r="H325" s="36" t="n">
        <v>39404</v>
      </c>
      <c r="I325" s="37" t="n">
        <v>90000</v>
      </c>
      <c r="J325" s="38" t="n">
        <v>0.292</v>
      </c>
      <c r="K325" s="37" t="n">
        <f aca="false">J325*I325</f>
        <v>26280</v>
      </c>
      <c r="L325" s="37" t="n">
        <f aca="false">I325+K325</f>
        <v>116280</v>
      </c>
      <c r="M325" s="39" t="n">
        <v>17.1</v>
      </c>
      <c r="N325" s="40" t="n">
        <v>3.49</v>
      </c>
      <c r="O325" s="41" t="n">
        <v>0.715</v>
      </c>
      <c r="P325" s="42" t="n">
        <v>20</v>
      </c>
      <c r="Q325" s="42" t="n">
        <v>76</v>
      </c>
      <c r="R325" s="35" t="s">
        <v>1363</v>
      </c>
      <c r="S325" s="35" t="s">
        <v>1364</v>
      </c>
      <c r="T325" s="34" t="s">
        <v>66</v>
      </c>
    </row>
    <row r="326" customFormat="false" ht="15" hidden="false" customHeight="false" outlineLevel="0" collapsed="false">
      <c r="A326" s="43" t="s">
        <v>1365</v>
      </c>
      <c r="B326" s="44" t="s">
        <v>1366</v>
      </c>
      <c r="C326" s="43" t="s">
        <v>24</v>
      </c>
      <c r="D326" s="43" t="s">
        <v>113</v>
      </c>
      <c r="E326" s="43" t="s">
        <v>126</v>
      </c>
      <c r="F326" s="43" t="s">
        <v>79</v>
      </c>
      <c r="G326" s="45" t="n">
        <v>26646</v>
      </c>
      <c r="H326" s="45" t="n">
        <v>38550</v>
      </c>
      <c r="I326" s="46" t="n">
        <v>221000</v>
      </c>
      <c r="J326" s="47" t="n">
        <v>0.188</v>
      </c>
      <c r="K326" s="46" t="n">
        <f aca="false">J326*I326</f>
        <v>41548</v>
      </c>
      <c r="L326" s="46" t="n">
        <f aca="false">I326+K326</f>
        <v>262548</v>
      </c>
      <c r="M326" s="48" t="n">
        <v>19.5</v>
      </c>
      <c r="N326" s="49" t="n">
        <v>2.74</v>
      </c>
      <c r="O326" s="50" t="n">
        <v>0.731</v>
      </c>
      <c r="P326" s="51" t="n">
        <v>9</v>
      </c>
      <c r="Q326" s="51" t="n">
        <v>41</v>
      </c>
      <c r="R326" s="44" t="s">
        <v>1367</v>
      </c>
      <c r="S326" s="44" t="s">
        <v>1368</v>
      </c>
      <c r="T326" s="43" t="s">
        <v>66</v>
      </c>
    </row>
    <row r="327" customFormat="false" ht="15" hidden="false" customHeight="false" outlineLevel="0" collapsed="false">
      <c r="A327" s="34" t="s">
        <v>1369</v>
      </c>
      <c r="B327" s="35" t="s">
        <v>1370</v>
      </c>
      <c r="C327" s="34" t="s">
        <v>24</v>
      </c>
      <c r="D327" s="34" t="s">
        <v>85</v>
      </c>
      <c r="E327" s="34" t="s">
        <v>96</v>
      </c>
      <c r="F327" s="34" t="s">
        <v>57</v>
      </c>
      <c r="G327" s="36" t="n">
        <v>25367</v>
      </c>
      <c r="H327" s="36" t="n">
        <v>44736</v>
      </c>
      <c r="I327" s="37" t="n">
        <v>76000</v>
      </c>
      <c r="J327" s="38" t="n">
        <v>0.256</v>
      </c>
      <c r="K327" s="37" t="n">
        <f aca="false">J327*I327</f>
        <v>19456</v>
      </c>
      <c r="L327" s="37" t="n">
        <f aca="false">I327+K327</f>
        <v>95456</v>
      </c>
      <c r="M327" s="39" t="n">
        <v>2.5</v>
      </c>
      <c r="N327" s="40" t="n">
        <v>3.43</v>
      </c>
      <c r="O327" s="41" t="n">
        <v>0.889</v>
      </c>
      <c r="P327" s="42" t="n">
        <v>6</v>
      </c>
      <c r="Q327" s="42" t="n">
        <v>159</v>
      </c>
      <c r="R327" s="35" t="s">
        <v>1371</v>
      </c>
      <c r="S327" s="35" t="s">
        <v>1372</v>
      </c>
      <c r="T327" s="34" t="s">
        <v>60</v>
      </c>
    </row>
    <row r="328" customFormat="false" ht="15" hidden="false" customHeight="false" outlineLevel="0" collapsed="false">
      <c r="A328" s="43" t="s">
        <v>1373</v>
      </c>
      <c r="B328" s="44" t="s">
        <v>1374</v>
      </c>
      <c r="C328" s="43" t="s">
        <v>28</v>
      </c>
      <c r="D328" s="43" t="s">
        <v>85</v>
      </c>
      <c r="E328" s="43" t="s">
        <v>131</v>
      </c>
      <c r="F328" s="43" t="s">
        <v>57</v>
      </c>
      <c r="G328" s="45" t="n">
        <v>36574</v>
      </c>
      <c r="H328" s="45" t="n">
        <v>40048</v>
      </c>
      <c r="I328" s="46" t="n">
        <v>41000</v>
      </c>
      <c r="J328" s="47" t="n">
        <v>0.099</v>
      </c>
      <c r="K328" s="46" t="n">
        <f aca="false">J328*I328</f>
        <v>4059</v>
      </c>
      <c r="L328" s="46" t="n">
        <f aca="false">I328+K328</f>
        <v>45059</v>
      </c>
      <c r="M328" s="48" t="n">
        <v>15.4</v>
      </c>
      <c r="N328" s="49" t="n">
        <v>4.11</v>
      </c>
      <c r="O328" s="50" t="n">
        <v>0.943</v>
      </c>
      <c r="P328" s="51" t="n">
        <v>6</v>
      </c>
      <c r="Q328" s="51" t="n">
        <v>94</v>
      </c>
      <c r="R328" s="44" t="s">
        <v>1375</v>
      </c>
      <c r="S328" s="44" t="s">
        <v>1376</v>
      </c>
      <c r="T328" s="43" t="s">
        <v>66</v>
      </c>
    </row>
    <row r="329" customFormat="false" ht="15" hidden="false" customHeight="false" outlineLevel="0" collapsed="false">
      <c r="A329" s="34" t="s">
        <v>1377</v>
      </c>
      <c r="B329" s="35" t="s">
        <v>1378</v>
      </c>
      <c r="C329" s="34" t="s">
        <v>24</v>
      </c>
      <c r="D329" s="34" t="s">
        <v>113</v>
      </c>
      <c r="E329" s="34" t="s">
        <v>63</v>
      </c>
      <c r="F329" s="34" t="s">
        <v>57</v>
      </c>
      <c r="G329" s="36" t="n">
        <v>28897</v>
      </c>
      <c r="H329" s="36" t="n">
        <v>41370</v>
      </c>
      <c r="I329" s="37" t="n">
        <v>175000</v>
      </c>
      <c r="J329" s="38" t="n">
        <v>0.158</v>
      </c>
      <c r="K329" s="37" t="n">
        <f aca="false">J329*I329</f>
        <v>27650</v>
      </c>
      <c r="L329" s="37" t="n">
        <f aca="false">I329+K329</f>
        <v>202650</v>
      </c>
      <c r="M329" s="39" t="n">
        <v>11.7</v>
      </c>
      <c r="N329" s="40" t="n">
        <v>4.31</v>
      </c>
      <c r="O329" s="41" t="n">
        <v>0.849</v>
      </c>
      <c r="P329" s="42" t="n">
        <v>25</v>
      </c>
      <c r="Q329" s="42" t="n">
        <v>184</v>
      </c>
      <c r="R329" s="35" t="s">
        <v>1379</v>
      </c>
      <c r="S329" s="35" t="s">
        <v>1380</v>
      </c>
      <c r="T329" s="34" t="s">
        <v>66</v>
      </c>
    </row>
    <row r="330" customFormat="false" ht="15" hidden="false" customHeight="false" outlineLevel="0" collapsed="false">
      <c r="A330" s="43" t="s">
        <v>1381</v>
      </c>
      <c r="B330" s="44" t="s">
        <v>1382</v>
      </c>
      <c r="C330" s="43" t="s">
        <v>26</v>
      </c>
      <c r="D330" s="43" t="s">
        <v>95</v>
      </c>
      <c r="E330" s="43" t="s">
        <v>96</v>
      </c>
      <c r="F330" s="43" t="s">
        <v>57</v>
      </c>
      <c r="G330" s="45" t="n">
        <v>31849</v>
      </c>
      <c r="H330" s="45" t="n">
        <v>40036</v>
      </c>
      <c r="I330" s="46" t="n">
        <v>97000</v>
      </c>
      <c r="J330" s="47" t="n">
        <v>0.12</v>
      </c>
      <c r="K330" s="46" t="n">
        <f aca="false">J330*I330</f>
        <v>11640</v>
      </c>
      <c r="L330" s="46" t="n">
        <f aca="false">I330+K330</f>
        <v>108640</v>
      </c>
      <c r="M330" s="48" t="n">
        <v>15.4</v>
      </c>
      <c r="N330" s="49" t="n">
        <v>4.71</v>
      </c>
      <c r="O330" s="50" t="n">
        <v>0.71</v>
      </c>
      <c r="P330" s="51" t="n">
        <v>40</v>
      </c>
      <c r="Q330" s="51" t="n">
        <v>167</v>
      </c>
      <c r="R330" s="44" t="s">
        <v>1383</v>
      </c>
      <c r="S330" s="44" t="s">
        <v>1384</v>
      </c>
      <c r="T330" s="43" t="s">
        <v>66</v>
      </c>
    </row>
    <row r="331" customFormat="false" ht="15" hidden="false" customHeight="false" outlineLevel="0" collapsed="false">
      <c r="A331" s="34" t="s">
        <v>1385</v>
      </c>
      <c r="B331" s="35" t="s">
        <v>1386</v>
      </c>
      <c r="C331" s="34" t="s">
        <v>28</v>
      </c>
      <c r="D331" s="34" t="s">
        <v>113</v>
      </c>
      <c r="E331" s="34" t="s">
        <v>74</v>
      </c>
      <c r="F331" s="34" t="s">
        <v>79</v>
      </c>
      <c r="G331" s="36" t="n">
        <v>34315</v>
      </c>
      <c r="H331" s="36" t="n">
        <v>44595</v>
      </c>
      <c r="I331" s="37" t="n">
        <v>150000</v>
      </c>
      <c r="J331" s="38" t="n">
        <v>0.065</v>
      </c>
      <c r="K331" s="37" t="n">
        <f aca="false">J331*I331</f>
        <v>9750</v>
      </c>
      <c r="L331" s="37" t="n">
        <f aca="false">I331+K331</f>
        <v>159750</v>
      </c>
      <c r="M331" s="39" t="n">
        <v>2.9</v>
      </c>
      <c r="N331" s="40" t="n">
        <v>3.2</v>
      </c>
      <c r="O331" s="41" t="n">
        <v>0.741</v>
      </c>
      <c r="P331" s="42" t="n">
        <v>13</v>
      </c>
      <c r="Q331" s="42" t="n">
        <v>174</v>
      </c>
      <c r="R331" s="35" t="s">
        <v>1387</v>
      </c>
      <c r="S331" s="35" t="s">
        <v>1388</v>
      </c>
      <c r="T331" s="34" t="s">
        <v>60</v>
      </c>
    </row>
    <row r="332" customFormat="false" ht="15" hidden="false" customHeight="false" outlineLevel="0" collapsed="false">
      <c r="A332" s="43" t="s">
        <v>1389</v>
      </c>
      <c r="B332" s="44" t="s">
        <v>1390</v>
      </c>
      <c r="C332" s="43" t="s">
        <v>27</v>
      </c>
      <c r="D332" s="43" t="s">
        <v>142</v>
      </c>
      <c r="E332" s="43" t="s">
        <v>63</v>
      </c>
      <c r="F332" s="43" t="s">
        <v>137</v>
      </c>
      <c r="G332" s="45" t="n">
        <v>26752</v>
      </c>
      <c r="H332" s="45" t="n">
        <v>42029</v>
      </c>
      <c r="I332" s="46" t="n">
        <v>229000</v>
      </c>
      <c r="J332" s="47" t="n">
        <v>0.228</v>
      </c>
      <c r="K332" s="46" t="n">
        <f aca="false">J332*I332</f>
        <v>52212</v>
      </c>
      <c r="L332" s="46" t="n">
        <f aca="false">I332+K332</f>
        <v>281212</v>
      </c>
      <c r="M332" s="48" t="n">
        <v>9.9</v>
      </c>
      <c r="N332" s="49" t="n">
        <v>3.7</v>
      </c>
      <c r="O332" s="50" t="n">
        <v>0.934</v>
      </c>
      <c r="P332" s="51" t="n">
        <v>23</v>
      </c>
      <c r="Q332" s="51" t="n">
        <v>154</v>
      </c>
      <c r="R332" s="44" t="s">
        <v>1391</v>
      </c>
      <c r="S332" s="44" t="s">
        <v>1392</v>
      </c>
      <c r="T332" s="43" t="s">
        <v>60</v>
      </c>
    </row>
    <row r="333" customFormat="false" ht="15" hidden="false" customHeight="false" outlineLevel="0" collapsed="false">
      <c r="A333" s="34" t="s">
        <v>1393</v>
      </c>
      <c r="B333" s="35" t="s">
        <v>1394</v>
      </c>
      <c r="C333" s="34" t="s">
        <v>29</v>
      </c>
      <c r="D333" s="34" t="s">
        <v>113</v>
      </c>
      <c r="E333" s="34" t="s">
        <v>56</v>
      </c>
      <c r="F333" s="34" t="s">
        <v>57</v>
      </c>
      <c r="G333" s="36" t="n">
        <v>24900</v>
      </c>
      <c r="H333" s="36" t="n">
        <v>38516</v>
      </c>
      <c r="I333" s="37" t="n">
        <v>31000</v>
      </c>
      <c r="J333" s="38" t="n">
        <v>0.13</v>
      </c>
      <c r="K333" s="37" t="n">
        <f aca="false">J333*I333</f>
        <v>4030</v>
      </c>
      <c r="L333" s="37" t="n">
        <f aca="false">I333+K333</f>
        <v>35030</v>
      </c>
      <c r="M333" s="39" t="n">
        <v>19.6</v>
      </c>
      <c r="N333" s="40" t="n">
        <v>3.05</v>
      </c>
      <c r="O333" s="41" t="n">
        <v>0.969</v>
      </c>
      <c r="P333" s="42" t="n">
        <v>18</v>
      </c>
      <c r="Q333" s="42" t="n">
        <v>24</v>
      </c>
      <c r="R333" s="35" t="s">
        <v>1395</v>
      </c>
      <c r="S333" s="35" t="s">
        <v>1396</v>
      </c>
      <c r="T333" s="34" t="s">
        <v>66</v>
      </c>
    </row>
    <row r="334" customFormat="false" ht="15" hidden="false" customHeight="false" outlineLevel="0" collapsed="false">
      <c r="A334" s="43" t="s">
        <v>1397</v>
      </c>
      <c r="B334" s="44" t="s">
        <v>1398</v>
      </c>
      <c r="C334" s="43" t="s">
        <v>32</v>
      </c>
      <c r="D334" s="43" t="s">
        <v>95</v>
      </c>
      <c r="E334" s="43" t="s">
        <v>96</v>
      </c>
      <c r="F334" s="43" t="s">
        <v>57</v>
      </c>
      <c r="G334" s="45" t="n">
        <v>37421</v>
      </c>
      <c r="H334" s="45" t="n">
        <v>39188</v>
      </c>
      <c r="I334" s="46" t="n">
        <v>51000</v>
      </c>
      <c r="J334" s="47" t="n">
        <v>0.112</v>
      </c>
      <c r="K334" s="46" t="n">
        <f aca="false">J334*I334</f>
        <v>5712</v>
      </c>
      <c r="L334" s="46" t="n">
        <f aca="false">I334+K334</f>
        <v>56712</v>
      </c>
      <c r="M334" s="48" t="n">
        <v>17.7</v>
      </c>
      <c r="N334" s="49" t="n">
        <v>3.1</v>
      </c>
      <c r="O334" s="50" t="n">
        <v>0.86</v>
      </c>
      <c r="P334" s="51" t="n">
        <v>4</v>
      </c>
      <c r="Q334" s="51" t="n">
        <v>66</v>
      </c>
      <c r="R334" s="44" t="s">
        <v>1399</v>
      </c>
      <c r="S334" s="44" t="s">
        <v>1400</v>
      </c>
      <c r="T334" s="43" t="s">
        <v>60</v>
      </c>
    </row>
    <row r="335" customFormat="false" ht="15" hidden="false" customHeight="false" outlineLevel="0" collapsed="false">
      <c r="A335" s="34" t="s">
        <v>1401</v>
      </c>
      <c r="B335" s="35" t="s">
        <v>1402</v>
      </c>
      <c r="C335" s="34" t="s">
        <v>30</v>
      </c>
      <c r="D335" s="34" t="s">
        <v>95</v>
      </c>
      <c r="E335" s="34" t="s">
        <v>136</v>
      </c>
      <c r="F335" s="34" t="s">
        <v>57</v>
      </c>
      <c r="G335" s="36" t="n">
        <v>38070</v>
      </c>
      <c r="H335" s="36" t="n">
        <v>40367</v>
      </c>
      <c r="I335" s="37" t="n">
        <v>87000</v>
      </c>
      <c r="J335" s="38" t="n">
        <v>0.198</v>
      </c>
      <c r="K335" s="37" t="n">
        <f aca="false">J335*I335</f>
        <v>17226</v>
      </c>
      <c r="L335" s="37" t="n">
        <f aca="false">I335+K335</f>
        <v>104226</v>
      </c>
      <c r="M335" s="39" t="n">
        <v>14.5</v>
      </c>
      <c r="N335" s="40" t="n">
        <v>4.52</v>
      </c>
      <c r="O335" s="41" t="n">
        <v>0.909</v>
      </c>
      <c r="P335" s="42" t="n">
        <v>38</v>
      </c>
      <c r="Q335" s="42" t="n">
        <v>17</v>
      </c>
      <c r="R335" s="35" t="s">
        <v>1403</v>
      </c>
      <c r="S335" s="35" t="s">
        <v>1404</v>
      </c>
      <c r="T335" s="34" t="s">
        <v>82</v>
      </c>
    </row>
    <row r="336" customFormat="false" ht="15" hidden="false" customHeight="false" outlineLevel="0" collapsed="false">
      <c r="A336" s="43" t="s">
        <v>1405</v>
      </c>
      <c r="B336" s="44" t="s">
        <v>1406</v>
      </c>
      <c r="C336" s="43" t="s">
        <v>29</v>
      </c>
      <c r="D336" s="43" t="s">
        <v>69</v>
      </c>
      <c r="E336" s="43" t="s">
        <v>136</v>
      </c>
      <c r="F336" s="43" t="s">
        <v>79</v>
      </c>
      <c r="G336" s="45" t="n">
        <v>34194</v>
      </c>
      <c r="H336" s="45" t="n">
        <v>43594</v>
      </c>
      <c r="I336" s="46" t="n">
        <v>74000</v>
      </c>
      <c r="J336" s="47" t="n">
        <v>0.259</v>
      </c>
      <c r="K336" s="46" t="n">
        <f aca="false">J336*I336</f>
        <v>19166</v>
      </c>
      <c r="L336" s="46" t="n">
        <f aca="false">I336+K336</f>
        <v>93166</v>
      </c>
      <c r="M336" s="48" t="n">
        <v>5.6</v>
      </c>
      <c r="N336" s="49" t="n">
        <v>4.53</v>
      </c>
      <c r="O336" s="50" t="n">
        <v>0.991</v>
      </c>
      <c r="P336" s="51" t="n">
        <v>35</v>
      </c>
      <c r="Q336" s="51" t="n">
        <v>89</v>
      </c>
      <c r="R336" s="44" t="s">
        <v>1407</v>
      </c>
      <c r="S336" s="44" t="s">
        <v>1408</v>
      </c>
      <c r="T336" s="43" t="s">
        <v>66</v>
      </c>
    </row>
    <row r="337" customFormat="false" ht="15" hidden="false" customHeight="false" outlineLevel="0" collapsed="false">
      <c r="A337" s="34" t="s">
        <v>1409</v>
      </c>
      <c r="B337" s="35" t="s">
        <v>1410</v>
      </c>
      <c r="C337" s="34" t="s">
        <v>31</v>
      </c>
      <c r="D337" s="34" t="s">
        <v>55</v>
      </c>
      <c r="E337" s="34" t="s">
        <v>131</v>
      </c>
      <c r="F337" s="34" t="s">
        <v>57</v>
      </c>
      <c r="G337" s="36" t="n">
        <v>26915</v>
      </c>
      <c r="H337" s="36" t="n">
        <v>41862</v>
      </c>
      <c r="I337" s="37" t="n">
        <v>85000</v>
      </c>
      <c r="J337" s="38" t="n">
        <v>0.2</v>
      </c>
      <c r="K337" s="37" t="n">
        <f aca="false">J337*I337</f>
        <v>17000</v>
      </c>
      <c r="L337" s="37" t="n">
        <f aca="false">I337+K337</f>
        <v>102000</v>
      </c>
      <c r="M337" s="39" t="n">
        <v>10.4</v>
      </c>
      <c r="N337" s="40" t="n">
        <v>2.55</v>
      </c>
      <c r="O337" s="41" t="n">
        <v>0.843</v>
      </c>
      <c r="P337" s="42" t="n">
        <v>22</v>
      </c>
      <c r="Q337" s="42" t="n">
        <v>167</v>
      </c>
      <c r="R337" s="35" t="s">
        <v>1411</v>
      </c>
      <c r="S337" s="35" t="s">
        <v>1412</v>
      </c>
      <c r="T337" s="34" t="s">
        <v>66</v>
      </c>
    </row>
    <row r="338" customFormat="false" ht="15" hidden="false" customHeight="false" outlineLevel="0" collapsed="false">
      <c r="A338" s="43" t="s">
        <v>1413</v>
      </c>
      <c r="B338" s="44" t="s">
        <v>1414</v>
      </c>
      <c r="C338" s="43" t="s">
        <v>26</v>
      </c>
      <c r="D338" s="43" t="s">
        <v>95</v>
      </c>
      <c r="E338" s="43" t="s">
        <v>136</v>
      </c>
      <c r="F338" s="43" t="s">
        <v>137</v>
      </c>
      <c r="G338" s="45" t="n">
        <v>30509</v>
      </c>
      <c r="H338" s="45" t="n">
        <v>39527</v>
      </c>
      <c r="I338" s="46" t="n">
        <v>40000</v>
      </c>
      <c r="J338" s="47" t="n">
        <v>0.055</v>
      </c>
      <c r="K338" s="46" t="n">
        <f aca="false">J338*I338</f>
        <v>2200</v>
      </c>
      <c r="L338" s="46" t="n">
        <f aca="false">I338+K338</f>
        <v>42200</v>
      </c>
      <c r="M338" s="48" t="n">
        <v>16.8</v>
      </c>
      <c r="N338" s="49" t="n">
        <v>3.97</v>
      </c>
      <c r="O338" s="50" t="n">
        <v>0.975</v>
      </c>
      <c r="P338" s="51" t="n">
        <v>8</v>
      </c>
      <c r="Q338" s="51" t="n">
        <v>144</v>
      </c>
      <c r="R338" s="44" t="s">
        <v>1415</v>
      </c>
      <c r="S338" s="44" t="s">
        <v>1416</v>
      </c>
      <c r="T338" s="43" t="s">
        <v>66</v>
      </c>
    </row>
    <row r="339" customFormat="false" ht="15" hidden="false" customHeight="false" outlineLevel="0" collapsed="false">
      <c r="A339" s="34" t="s">
        <v>1417</v>
      </c>
      <c r="B339" s="35" t="s">
        <v>1418</v>
      </c>
      <c r="C339" s="34" t="s">
        <v>25</v>
      </c>
      <c r="D339" s="34" t="s">
        <v>95</v>
      </c>
      <c r="E339" s="34" t="s">
        <v>74</v>
      </c>
      <c r="F339" s="34" t="s">
        <v>79</v>
      </c>
      <c r="G339" s="36" t="n">
        <v>30587</v>
      </c>
      <c r="H339" s="36" t="n">
        <v>45393</v>
      </c>
      <c r="I339" s="37" t="n">
        <v>51000</v>
      </c>
      <c r="J339" s="38" t="n">
        <v>0.134</v>
      </c>
      <c r="K339" s="37" t="n">
        <f aca="false">J339*I339</f>
        <v>6834</v>
      </c>
      <c r="L339" s="37" t="n">
        <f aca="false">I339+K339</f>
        <v>57834</v>
      </c>
      <c r="M339" s="39" t="n">
        <v>0.7</v>
      </c>
      <c r="N339" s="40" t="n">
        <v>3.31</v>
      </c>
      <c r="O339" s="41" t="n">
        <v>0.993</v>
      </c>
      <c r="P339" s="42" t="n">
        <v>28</v>
      </c>
      <c r="Q339" s="42" t="n">
        <v>173</v>
      </c>
      <c r="R339" s="35" t="s">
        <v>1419</v>
      </c>
      <c r="S339" s="35" t="s">
        <v>1420</v>
      </c>
      <c r="T339" s="34" t="s">
        <v>66</v>
      </c>
    </row>
    <row r="340" customFormat="false" ht="15" hidden="false" customHeight="false" outlineLevel="0" collapsed="false">
      <c r="A340" s="43" t="s">
        <v>1421</v>
      </c>
      <c r="B340" s="44" t="s">
        <v>1422</v>
      </c>
      <c r="C340" s="43" t="s">
        <v>29</v>
      </c>
      <c r="D340" s="43" t="s">
        <v>90</v>
      </c>
      <c r="E340" s="43" t="s">
        <v>151</v>
      </c>
      <c r="F340" s="43" t="s">
        <v>57</v>
      </c>
      <c r="G340" s="45" t="n">
        <v>37059</v>
      </c>
      <c r="H340" s="45" t="n">
        <v>40105</v>
      </c>
      <c r="I340" s="46" t="n">
        <v>199000</v>
      </c>
      <c r="J340" s="47" t="n">
        <v>0.197</v>
      </c>
      <c r="K340" s="46" t="n">
        <f aca="false">J340*I340</f>
        <v>39203</v>
      </c>
      <c r="L340" s="46" t="n">
        <f aca="false">I340+K340</f>
        <v>238203</v>
      </c>
      <c r="M340" s="48" t="n">
        <v>15.2</v>
      </c>
      <c r="N340" s="49" t="n">
        <v>2.94</v>
      </c>
      <c r="O340" s="50" t="n">
        <v>0.792</v>
      </c>
      <c r="P340" s="51" t="n">
        <v>19</v>
      </c>
      <c r="Q340" s="51" t="n">
        <v>42</v>
      </c>
      <c r="R340" s="44" t="s">
        <v>1423</v>
      </c>
      <c r="S340" s="44" t="s">
        <v>1424</v>
      </c>
      <c r="T340" s="43" t="s">
        <v>66</v>
      </c>
    </row>
    <row r="341" customFormat="false" ht="15" hidden="false" customHeight="false" outlineLevel="0" collapsed="false">
      <c r="A341" s="34" t="s">
        <v>1425</v>
      </c>
      <c r="B341" s="35" t="s">
        <v>1426</v>
      </c>
      <c r="C341" s="34" t="s">
        <v>24</v>
      </c>
      <c r="D341" s="34" t="s">
        <v>142</v>
      </c>
      <c r="E341" s="34" t="s">
        <v>74</v>
      </c>
      <c r="F341" s="34" t="s">
        <v>79</v>
      </c>
      <c r="G341" s="36" t="n">
        <v>27476</v>
      </c>
      <c r="H341" s="36" t="n">
        <v>38699</v>
      </c>
      <c r="I341" s="37" t="n">
        <v>33000</v>
      </c>
      <c r="J341" s="38" t="n">
        <v>0.096</v>
      </c>
      <c r="K341" s="37" t="n">
        <f aca="false">J341*I341</f>
        <v>3168</v>
      </c>
      <c r="L341" s="37" t="n">
        <f aca="false">I341+K341</f>
        <v>36168</v>
      </c>
      <c r="M341" s="39" t="n">
        <v>19</v>
      </c>
      <c r="N341" s="40" t="n">
        <v>3.3</v>
      </c>
      <c r="O341" s="41" t="n">
        <v>0.943</v>
      </c>
      <c r="P341" s="42" t="n">
        <v>40</v>
      </c>
      <c r="Q341" s="42" t="n">
        <v>66</v>
      </c>
      <c r="R341" s="35" t="s">
        <v>1427</v>
      </c>
      <c r="S341" s="35" t="s">
        <v>1428</v>
      </c>
      <c r="T341" s="34" t="s">
        <v>82</v>
      </c>
    </row>
    <row r="342" customFormat="false" ht="15" hidden="false" customHeight="false" outlineLevel="0" collapsed="false">
      <c r="A342" s="43" t="s">
        <v>1429</v>
      </c>
      <c r="B342" s="44" t="s">
        <v>1430</v>
      </c>
      <c r="C342" s="43" t="s">
        <v>33</v>
      </c>
      <c r="D342" s="43" t="s">
        <v>55</v>
      </c>
      <c r="E342" s="43" t="s">
        <v>126</v>
      </c>
      <c r="F342" s="43" t="s">
        <v>57</v>
      </c>
      <c r="G342" s="45" t="n">
        <v>31253</v>
      </c>
      <c r="H342" s="45" t="n">
        <v>41431</v>
      </c>
      <c r="I342" s="46" t="n">
        <v>111000</v>
      </c>
      <c r="J342" s="47" t="n">
        <v>0.236</v>
      </c>
      <c r="K342" s="46" t="n">
        <f aca="false">J342*I342</f>
        <v>26196</v>
      </c>
      <c r="L342" s="46" t="n">
        <f aca="false">I342+K342</f>
        <v>137196</v>
      </c>
      <c r="M342" s="48" t="n">
        <v>11.6</v>
      </c>
      <c r="N342" s="49" t="n">
        <v>3.09</v>
      </c>
      <c r="O342" s="50" t="n">
        <v>0.995</v>
      </c>
      <c r="P342" s="51" t="n">
        <v>11</v>
      </c>
      <c r="Q342" s="51" t="n">
        <v>172</v>
      </c>
      <c r="R342" s="44" t="s">
        <v>1431</v>
      </c>
      <c r="S342" s="44" t="s">
        <v>1432</v>
      </c>
      <c r="T342" s="43" t="s">
        <v>66</v>
      </c>
    </row>
    <row r="343" customFormat="false" ht="15" hidden="false" customHeight="false" outlineLevel="0" collapsed="false">
      <c r="A343" s="34" t="s">
        <v>1433</v>
      </c>
      <c r="B343" s="35" t="s">
        <v>1434</v>
      </c>
      <c r="C343" s="34" t="s">
        <v>29</v>
      </c>
      <c r="D343" s="34" t="s">
        <v>113</v>
      </c>
      <c r="E343" s="34" t="s">
        <v>63</v>
      </c>
      <c r="F343" s="34" t="s">
        <v>137</v>
      </c>
      <c r="G343" s="36" t="n">
        <v>33143</v>
      </c>
      <c r="H343" s="36" t="n">
        <v>39014</v>
      </c>
      <c r="I343" s="37" t="n">
        <v>79000</v>
      </c>
      <c r="J343" s="38" t="n">
        <v>0.112</v>
      </c>
      <c r="K343" s="37" t="n">
        <f aca="false">J343*I343</f>
        <v>8848</v>
      </c>
      <c r="L343" s="37" t="n">
        <f aca="false">I343+K343</f>
        <v>87848</v>
      </c>
      <c r="M343" s="39" t="n">
        <v>18.2</v>
      </c>
      <c r="N343" s="40" t="n">
        <v>2.67</v>
      </c>
      <c r="O343" s="41" t="n">
        <v>0.777</v>
      </c>
      <c r="P343" s="42" t="n">
        <v>7</v>
      </c>
      <c r="Q343" s="42" t="n">
        <v>194</v>
      </c>
      <c r="R343" s="35" t="s">
        <v>1435</v>
      </c>
      <c r="S343" s="35" t="s">
        <v>1436</v>
      </c>
      <c r="T343" s="34" t="s">
        <v>66</v>
      </c>
    </row>
    <row r="344" customFormat="false" ht="15" hidden="false" customHeight="false" outlineLevel="0" collapsed="false">
      <c r="A344" s="43" t="s">
        <v>1437</v>
      </c>
      <c r="B344" s="44" t="s">
        <v>1438</v>
      </c>
      <c r="C344" s="43" t="s">
        <v>24</v>
      </c>
      <c r="D344" s="43" t="s">
        <v>113</v>
      </c>
      <c r="E344" s="43" t="s">
        <v>126</v>
      </c>
      <c r="F344" s="43" t="s">
        <v>79</v>
      </c>
      <c r="G344" s="45" t="n">
        <v>32066</v>
      </c>
      <c r="H344" s="45" t="n">
        <v>44884</v>
      </c>
      <c r="I344" s="46" t="n">
        <v>135000</v>
      </c>
      <c r="J344" s="47" t="n">
        <v>0.292</v>
      </c>
      <c r="K344" s="46" t="n">
        <f aca="false">J344*I344</f>
        <v>39420</v>
      </c>
      <c r="L344" s="46" t="n">
        <f aca="false">I344+K344</f>
        <v>174420</v>
      </c>
      <c r="M344" s="48" t="n">
        <v>2.1</v>
      </c>
      <c r="N344" s="49" t="n">
        <v>4.71</v>
      </c>
      <c r="O344" s="50" t="n">
        <v>0.848</v>
      </c>
      <c r="P344" s="51" t="n">
        <v>25</v>
      </c>
      <c r="Q344" s="51" t="n">
        <v>99</v>
      </c>
      <c r="R344" s="44" t="s">
        <v>1439</v>
      </c>
      <c r="S344" s="44" t="s">
        <v>1440</v>
      </c>
      <c r="T344" s="43" t="s">
        <v>60</v>
      </c>
    </row>
    <row r="345" customFormat="false" ht="15" hidden="false" customHeight="false" outlineLevel="0" collapsed="false">
      <c r="A345" s="34" t="s">
        <v>1441</v>
      </c>
      <c r="B345" s="35" t="s">
        <v>1442</v>
      </c>
      <c r="C345" s="34" t="s">
        <v>30</v>
      </c>
      <c r="D345" s="34" t="s">
        <v>55</v>
      </c>
      <c r="E345" s="34" t="s">
        <v>126</v>
      </c>
      <c r="F345" s="34" t="s">
        <v>79</v>
      </c>
      <c r="G345" s="36" t="n">
        <v>36469</v>
      </c>
      <c r="H345" s="36" t="n">
        <v>40472</v>
      </c>
      <c r="I345" s="37" t="n">
        <v>195000</v>
      </c>
      <c r="J345" s="38" t="n">
        <v>0.24</v>
      </c>
      <c r="K345" s="37" t="n">
        <f aca="false">J345*I345</f>
        <v>46800</v>
      </c>
      <c r="L345" s="37" t="n">
        <f aca="false">I345+K345</f>
        <v>241800</v>
      </c>
      <c r="M345" s="39" t="n">
        <v>14.2</v>
      </c>
      <c r="N345" s="40" t="n">
        <v>3.06</v>
      </c>
      <c r="O345" s="41" t="n">
        <v>0.835</v>
      </c>
      <c r="P345" s="42" t="n">
        <v>3</v>
      </c>
      <c r="Q345" s="42" t="n">
        <v>85</v>
      </c>
      <c r="R345" s="35" t="s">
        <v>1443</v>
      </c>
      <c r="S345" s="35" t="s">
        <v>1444</v>
      </c>
      <c r="T345" s="34" t="s">
        <v>66</v>
      </c>
    </row>
    <row r="346" customFormat="false" ht="15" hidden="false" customHeight="false" outlineLevel="0" collapsed="false">
      <c r="A346" s="43" t="s">
        <v>1445</v>
      </c>
      <c r="B346" s="44" t="s">
        <v>1446</v>
      </c>
      <c r="C346" s="43" t="s">
        <v>29</v>
      </c>
      <c r="D346" s="43" t="s">
        <v>95</v>
      </c>
      <c r="E346" s="43" t="s">
        <v>131</v>
      </c>
      <c r="F346" s="43" t="s">
        <v>57</v>
      </c>
      <c r="G346" s="45" t="n">
        <v>26941</v>
      </c>
      <c r="H346" s="45" t="n">
        <v>41750</v>
      </c>
      <c r="I346" s="46" t="n">
        <v>114000</v>
      </c>
      <c r="J346" s="47" t="n">
        <v>0.093</v>
      </c>
      <c r="K346" s="46" t="n">
        <f aca="false">J346*I346</f>
        <v>10602</v>
      </c>
      <c r="L346" s="46" t="n">
        <f aca="false">I346+K346</f>
        <v>124602</v>
      </c>
      <c r="M346" s="48" t="n">
        <v>10.7</v>
      </c>
      <c r="N346" s="49" t="n">
        <v>3.44</v>
      </c>
      <c r="O346" s="50" t="n">
        <v>0.92</v>
      </c>
      <c r="P346" s="51" t="n">
        <v>36</v>
      </c>
      <c r="Q346" s="51" t="n">
        <v>33</v>
      </c>
      <c r="R346" s="44" t="s">
        <v>1447</v>
      </c>
      <c r="S346" s="44" t="s">
        <v>1448</v>
      </c>
      <c r="T346" s="43" t="s">
        <v>66</v>
      </c>
    </row>
    <row r="347" customFormat="false" ht="15" hidden="false" customHeight="false" outlineLevel="0" collapsed="false">
      <c r="A347" s="34" t="s">
        <v>1449</v>
      </c>
      <c r="B347" s="35" t="s">
        <v>1450</v>
      </c>
      <c r="C347" s="34" t="s">
        <v>33</v>
      </c>
      <c r="D347" s="34" t="s">
        <v>69</v>
      </c>
      <c r="E347" s="34" t="s">
        <v>126</v>
      </c>
      <c r="F347" s="34" t="s">
        <v>79</v>
      </c>
      <c r="G347" s="36" t="n">
        <v>33386</v>
      </c>
      <c r="H347" s="36" t="n">
        <v>42979</v>
      </c>
      <c r="I347" s="37" t="n">
        <v>33000</v>
      </c>
      <c r="J347" s="38" t="n">
        <v>0.158</v>
      </c>
      <c r="K347" s="37" t="n">
        <f aca="false">J347*I347</f>
        <v>5214</v>
      </c>
      <c r="L347" s="37" t="n">
        <f aca="false">I347+K347</f>
        <v>38214</v>
      </c>
      <c r="M347" s="39" t="n">
        <v>7.3</v>
      </c>
      <c r="N347" s="40" t="n">
        <v>4.13</v>
      </c>
      <c r="O347" s="41" t="n">
        <v>0.882</v>
      </c>
      <c r="P347" s="42" t="n">
        <v>28</v>
      </c>
      <c r="Q347" s="42" t="n">
        <v>50</v>
      </c>
      <c r="R347" s="35" t="s">
        <v>1451</v>
      </c>
      <c r="S347" s="35" t="s">
        <v>1452</v>
      </c>
      <c r="T347" s="34" t="s">
        <v>66</v>
      </c>
    </row>
    <row r="348" customFormat="false" ht="15" hidden="false" customHeight="false" outlineLevel="0" collapsed="false">
      <c r="A348" s="43" t="s">
        <v>1453</v>
      </c>
      <c r="B348" s="44" t="s">
        <v>1454</v>
      </c>
      <c r="C348" s="43" t="s">
        <v>25</v>
      </c>
      <c r="D348" s="43" t="s">
        <v>95</v>
      </c>
      <c r="E348" s="43" t="s">
        <v>96</v>
      </c>
      <c r="F348" s="43" t="s">
        <v>57</v>
      </c>
      <c r="G348" s="45" t="n">
        <v>32315</v>
      </c>
      <c r="H348" s="45" t="n">
        <v>44289</v>
      </c>
      <c r="I348" s="46" t="n">
        <v>132000</v>
      </c>
      <c r="J348" s="47" t="n">
        <v>0.224</v>
      </c>
      <c r="K348" s="46" t="n">
        <f aca="false">J348*I348</f>
        <v>29568</v>
      </c>
      <c r="L348" s="46" t="n">
        <f aca="false">I348+K348</f>
        <v>161568</v>
      </c>
      <c r="M348" s="48" t="n">
        <v>3.7</v>
      </c>
      <c r="N348" s="49" t="n">
        <v>4.31</v>
      </c>
      <c r="O348" s="50" t="n">
        <v>0.919</v>
      </c>
      <c r="P348" s="51" t="n">
        <v>17</v>
      </c>
      <c r="Q348" s="51" t="n">
        <v>179</v>
      </c>
      <c r="R348" s="44" t="s">
        <v>1455</v>
      </c>
      <c r="S348" s="44" t="s">
        <v>1456</v>
      </c>
      <c r="T348" s="43" t="s">
        <v>66</v>
      </c>
    </row>
    <row r="349" customFormat="false" ht="15" hidden="false" customHeight="false" outlineLevel="0" collapsed="false">
      <c r="A349" s="34" t="s">
        <v>1457</v>
      </c>
      <c r="B349" s="35" t="s">
        <v>1458</v>
      </c>
      <c r="C349" s="34" t="s">
        <v>28</v>
      </c>
      <c r="D349" s="34" t="s">
        <v>90</v>
      </c>
      <c r="E349" s="34" t="s">
        <v>131</v>
      </c>
      <c r="F349" s="34" t="s">
        <v>57</v>
      </c>
      <c r="G349" s="36" t="n">
        <v>34273</v>
      </c>
      <c r="H349" s="36" t="n">
        <v>42114</v>
      </c>
      <c r="I349" s="37" t="n">
        <v>127000</v>
      </c>
      <c r="J349" s="38" t="n">
        <v>0.193</v>
      </c>
      <c r="K349" s="37" t="n">
        <f aca="false">J349*I349</f>
        <v>24511</v>
      </c>
      <c r="L349" s="37" t="n">
        <f aca="false">I349+K349</f>
        <v>151511</v>
      </c>
      <c r="M349" s="39" t="n">
        <v>9.7</v>
      </c>
      <c r="N349" s="40" t="n">
        <v>4.6</v>
      </c>
      <c r="O349" s="41" t="n">
        <v>0.746</v>
      </c>
      <c r="P349" s="42" t="n">
        <v>24</v>
      </c>
      <c r="Q349" s="42" t="n">
        <v>10</v>
      </c>
      <c r="R349" s="35" t="s">
        <v>1459</v>
      </c>
      <c r="S349" s="35" t="s">
        <v>1460</v>
      </c>
      <c r="T349" s="34" t="s">
        <v>66</v>
      </c>
    </row>
    <row r="350" customFormat="false" ht="15" hidden="false" customHeight="false" outlineLevel="0" collapsed="false">
      <c r="A350" s="43" t="s">
        <v>1461</v>
      </c>
      <c r="B350" s="44" t="s">
        <v>1462</v>
      </c>
      <c r="C350" s="43" t="s">
        <v>25</v>
      </c>
      <c r="D350" s="43" t="s">
        <v>95</v>
      </c>
      <c r="E350" s="43" t="s">
        <v>126</v>
      </c>
      <c r="F350" s="43" t="s">
        <v>57</v>
      </c>
      <c r="G350" s="45" t="n">
        <v>37077</v>
      </c>
      <c r="H350" s="45" t="n">
        <v>44429</v>
      </c>
      <c r="I350" s="46" t="n">
        <v>50000</v>
      </c>
      <c r="J350" s="47" t="n">
        <v>0.056</v>
      </c>
      <c r="K350" s="46" t="n">
        <f aca="false">J350*I350</f>
        <v>2800</v>
      </c>
      <c r="L350" s="46" t="n">
        <f aca="false">I350+K350</f>
        <v>52800</v>
      </c>
      <c r="M350" s="48" t="n">
        <v>3.4</v>
      </c>
      <c r="N350" s="49" t="n">
        <v>2.93</v>
      </c>
      <c r="O350" s="50" t="n">
        <v>0.788</v>
      </c>
      <c r="P350" s="51" t="n">
        <v>6</v>
      </c>
      <c r="Q350" s="51" t="n">
        <v>131</v>
      </c>
      <c r="R350" s="44" t="s">
        <v>1463</v>
      </c>
      <c r="S350" s="44" t="s">
        <v>1464</v>
      </c>
      <c r="T350" s="43" t="s">
        <v>66</v>
      </c>
    </row>
    <row r="351" customFormat="false" ht="15" hidden="false" customHeight="false" outlineLevel="0" collapsed="false">
      <c r="A351" s="34" t="s">
        <v>1465</v>
      </c>
      <c r="B351" s="35" t="s">
        <v>1466</v>
      </c>
      <c r="C351" s="34" t="s">
        <v>28</v>
      </c>
      <c r="D351" s="34" t="s">
        <v>85</v>
      </c>
      <c r="E351" s="34" t="s">
        <v>74</v>
      </c>
      <c r="F351" s="34" t="s">
        <v>137</v>
      </c>
      <c r="G351" s="36" t="n">
        <v>35343</v>
      </c>
      <c r="H351" s="36" t="n">
        <v>45067</v>
      </c>
      <c r="I351" s="37" t="n">
        <v>153000</v>
      </c>
      <c r="J351" s="38" t="n">
        <v>0.274</v>
      </c>
      <c r="K351" s="37" t="n">
        <f aca="false">J351*I351</f>
        <v>41922</v>
      </c>
      <c r="L351" s="37" t="n">
        <f aca="false">I351+K351</f>
        <v>194922</v>
      </c>
      <c r="M351" s="39" t="n">
        <v>1.6</v>
      </c>
      <c r="N351" s="40" t="n">
        <v>3.16</v>
      </c>
      <c r="O351" s="41" t="n">
        <v>0.893</v>
      </c>
      <c r="P351" s="42" t="n">
        <v>25</v>
      </c>
      <c r="Q351" s="42" t="n">
        <v>57</v>
      </c>
      <c r="R351" s="35" t="s">
        <v>1467</v>
      </c>
      <c r="S351" s="35" t="s">
        <v>1468</v>
      </c>
      <c r="T351" s="34" t="s">
        <v>66</v>
      </c>
    </row>
    <row r="352" customFormat="false" ht="15" hidden="false" customHeight="false" outlineLevel="0" collapsed="false">
      <c r="A352" s="43" t="s">
        <v>1469</v>
      </c>
      <c r="B352" s="44" t="s">
        <v>1470</v>
      </c>
      <c r="C352" s="43" t="s">
        <v>30</v>
      </c>
      <c r="D352" s="43" t="s">
        <v>95</v>
      </c>
      <c r="E352" s="43" t="s">
        <v>136</v>
      </c>
      <c r="F352" s="43" t="s">
        <v>137</v>
      </c>
      <c r="G352" s="45" t="n">
        <v>35027</v>
      </c>
      <c r="H352" s="45" t="n">
        <v>42318</v>
      </c>
      <c r="I352" s="46" t="n">
        <v>36000</v>
      </c>
      <c r="J352" s="47" t="n">
        <v>0.116</v>
      </c>
      <c r="K352" s="46" t="n">
        <f aca="false">J352*I352</f>
        <v>4176</v>
      </c>
      <c r="L352" s="46" t="n">
        <f aca="false">I352+K352</f>
        <v>40176</v>
      </c>
      <c r="M352" s="48" t="n">
        <v>9.1</v>
      </c>
      <c r="N352" s="49" t="n">
        <v>3.66</v>
      </c>
      <c r="O352" s="50" t="n">
        <v>0.768</v>
      </c>
      <c r="P352" s="51" t="n">
        <v>18</v>
      </c>
      <c r="Q352" s="51" t="n">
        <v>154</v>
      </c>
      <c r="R352" s="44" t="s">
        <v>1471</v>
      </c>
      <c r="S352" s="44" t="s">
        <v>1472</v>
      </c>
      <c r="T352" s="43" t="s">
        <v>66</v>
      </c>
    </row>
    <row r="353" customFormat="false" ht="15" hidden="false" customHeight="false" outlineLevel="0" collapsed="false">
      <c r="A353" s="34" t="s">
        <v>1473</v>
      </c>
      <c r="B353" s="35" t="s">
        <v>1474</v>
      </c>
      <c r="C353" s="34" t="s">
        <v>26</v>
      </c>
      <c r="D353" s="34" t="s">
        <v>85</v>
      </c>
      <c r="E353" s="34" t="s">
        <v>131</v>
      </c>
      <c r="F353" s="34" t="s">
        <v>57</v>
      </c>
      <c r="G353" s="36" t="n">
        <v>26742</v>
      </c>
      <c r="H353" s="36" t="n">
        <v>40432</v>
      </c>
      <c r="I353" s="37" t="n">
        <v>200000</v>
      </c>
      <c r="J353" s="38" t="n">
        <v>0.136</v>
      </c>
      <c r="K353" s="37" t="n">
        <f aca="false">J353*I353</f>
        <v>27200</v>
      </c>
      <c r="L353" s="37" t="n">
        <f aca="false">I353+K353</f>
        <v>227200</v>
      </c>
      <c r="M353" s="39" t="n">
        <v>14.3</v>
      </c>
      <c r="N353" s="40" t="n">
        <v>3.85</v>
      </c>
      <c r="O353" s="41" t="n">
        <v>0.991</v>
      </c>
      <c r="P353" s="42" t="n">
        <v>38</v>
      </c>
      <c r="Q353" s="42" t="n">
        <v>68</v>
      </c>
      <c r="R353" s="35" t="s">
        <v>1475</v>
      </c>
      <c r="S353" s="35" t="s">
        <v>1476</v>
      </c>
      <c r="T353" s="34" t="s">
        <v>60</v>
      </c>
    </row>
    <row r="354" customFormat="false" ht="15" hidden="false" customHeight="false" outlineLevel="0" collapsed="false">
      <c r="A354" s="43" t="s">
        <v>1477</v>
      </c>
      <c r="B354" s="44" t="s">
        <v>1478</v>
      </c>
      <c r="C354" s="43" t="s">
        <v>24</v>
      </c>
      <c r="D354" s="43" t="s">
        <v>85</v>
      </c>
      <c r="E354" s="43" t="s">
        <v>74</v>
      </c>
      <c r="F354" s="43" t="s">
        <v>79</v>
      </c>
      <c r="G354" s="45" t="n">
        <v>28215</v>
      </c>
      <c r="H354" s="45" t="n">
        <v>43445</v>
      </c>
      <c r="I354" s="46" t="n">
        <v>134000</v>
      </c>
      <c r="J354" s="47" t="n">
        <v>0.291</v>
      </c>
      <c r="K354" s="46" t="n">
        <f aca="false">J354*I354</f>
        <v>38994</v>
      </c>
      <c r="L354" s="46" t="n">
        <f aca="false">I354+K354</f>
        <v>172994</v>
      </c>
      <c r="M354" s="48" t="n">
        <v>6.1</v>
      </c>
      <c r="N354" s="49" t="n">
        <v>4.22</v>
      </c>
      <c r="O354" s="50" t="n">
        <v>0.981</v>
      </c>
      <c r="P354" s="51" t="n">
        <v>37</v>
      </c>
      <c r="Q354" s="51" t="n">
        <v>70</v>
      </c>
      <c r="R354" s="44" t="s">
        <v>1479</v>
      </c>
      <c r="S354" s="44" t="s">
        <v>1480</v>
      </c>
      <c r="T354" s="43" t="s">
        <v>66</v>
      </c>
    </row>
    <row r="355" customFormat="false" ht="15" hidden="false" customHeight="false" outlineLevel="0" collapsed="false">
      <c r="A355" s="34" t="s">
        <v>1481</v>
      </c>
      <c r="B355" s="35" t="s">
        <v>1482</v>
      </c>
      <c r="C355" s="34" t="s">
        <v>28</v>
      </c>
      <c r="D355" s="34" t="s">
        <v>55</v>
      </c>
      <c r="E355" s="34" t="s">
        <v>74</v>
      </c>
      <c r="F355" s="34" t="s">
        <v>79</v>
      </c>
      <c r="G355" s="36" t="n">
        <v>30486</v>
      </c>
      <c r="H355" s="36" t="n">
        <v>41153</v>
      </c>
      <c r="I355" s="37" t="n">
        <v>34000</v>
      </c>
      <c r="J355" s="38" t="n">
        <v>0.176</v>
      </c>
      <c r="K355" s="37" t="n">
        <f aca="false">J355*I355</f>
        <v>5984</v>
      </c>
      <c r="L355" s="37" t="n">
        <f aca="false">I355+K355</f>
        <v>39984</v>
      </c>
      <c r="M355" s="39" t="n">
        <v>12.3</v>
      </c>
      <c r="N355" s="40" t="n">
        <v>4.75</v>
      </c>
      <c r="O355" s="41" t="n">
        <v>0.94</v>
      </c>
      <c r="P355" s="42" t="n">
        <v>40</v>
      </c>
      <c r="Q355" s="42" t="n">
        <v>47</v>
      </c>
      <c r="R355" s="35" t="s">
        <v>1483</v>
      </c>
      <c r="S355" s="35" t="s">
        <v>1484</v>
      </c>
      <c r="T355" s="34" t="s">
        <v>66</v>
      </c>
    </row>
    <row r="356" customFormat="false" ht="15" hidden="false" customHeight="false" outlineLevel="0" collapsed="false">
      <c r="A356" s="43" t="s">
        <v>1485</v>
      </c>
      <c r="B356" s="44" t="s">
        <v>1486</v>
      </c>
      <c r="C356" s="43" t="s">
        <v>31</v>
      </c>
      <c r="D356" s="43" t="s">
        <v>90</v>
      </c>
      <c r="E356" s="43" t="s">
        <v>136</v>
      </c>
      <c r="F356" s="43" t="s">
        <v>57</v>
      </c>
      <c r="G356" s="45" t="n">
        <v>36615</v>
      </c>
      <c r="H356" s="45" t="n">
        <v>42798</v>
      </c>
      <c r="I356" s="46" t="n">
        <v>236000</v>
      </c>
      <c r="J356" s="47" t="n">
        <v>0.098</v>
      </c>
      <c r="K356" s="46" t="n">
        <f aca="false">J356*I356</f>
        <v>23128</v>
      </c>
      <c r="L356" s="46" t="n">
        <f aca="false">I356+K356</f>
        <v>259128</v>
      </c>
      <c r="M356" s="48" t="n">
        <v>7.8</v>
      </c>
      <c r="N356" s="49" t="n">
        <v>2.61</v>
      </c>
      <c r="O356" s="50" t="n">
        <v>0.724</v>
      </c>
      <c r="P356" s="51" t="n">
        <v>28</v>
      </c>
      <c r="Q356" s="51" t="n">
        <v>61</v>
      </c>
      <c r="R356" s="44" t="s">
        <v>1487</v>
      </c>
      <c r="S356" s="44" t="s">
        <v>1488</v>
      </c>
      <c r="T356" s="43" t="s">
        <v>82</v>
      </c>
    </row>
    <row r="357" customFormat="false" ht="15" hidden="false" customHeight="false" outlineLevel="0" collapsed="false">
      <c r="A357" s="34" t="s">
        <v>1489</v>
      </c>
      <c r="B357" s="35" t="s">
        <v>1490</v>
      </c>
      <c r="C357" s="34" t="s">
        <v>26</v>
      </c>
      <c r="D357" s="34" t="s">
        <v>85</v>
      </c>
      <c r="E357" s="34" t="s">
        <v>56</v>
      </c>
      <c r="F357" s="34" t="s">
        <v>137</v>
      </c>
      <c r="G357" s="36" t="n">
        <v>31665</v>
      </c>
      <c r="H357" s="36" t="n">
        <v>43743</v>
      </c>
      <c r="I357" s="37" t="n">
        <v>215000</v>
      </c>
      <c r="J357" s="38" t="n">
        <v>0.279</v>
      </c>
      <c r="K357" s="37" t="n">
        <f aca="false">J357*I357</f>
        <v>59985</v>
      </c>
      <c r="L357" s="37" t="n">
        <f aca="false">I357+K357</f>
        <v>274985</v>
      </c>
      <c r="M357" s="39" t="n">
        <v>5.2</v>
      </c>
      <c r="N357" s="40" t="n">
        <v>2.67</v>
      </c>
      <c r="O357" s="41" t="n">
        <v>0.816</v>
      </c>
      <c r="P357" s="42" t="n">
        <v>26</v>
      </c>
      <c r="Q357" s="42" t="n">
        <v>151</v>
      </c>
      <c r="R357" s="35" t="s">
        <v>1491</v>
      </c>
      <c r="S357" s="35" t="s">
        <v>1492</v>
      </c>
      <c r="T357" s="34" t="s">
        <v>66</v>
      </c>
    </row>
    <row r="358" customFormat="false" ht="15" hidden="false" customHeight="false" outlineLevel="0" collapsed="false">
      <c r="A358" s="43" t="s">
        <v>1493</v>
      </c>
      <c r="B358" s="44" t="s">
        <v>1494</v>
      </c>
      <c r="C358" s="43" t="s">
        <v>28</v>
      </c>
      <c r="D358" s="43" t="s">
        <v>69</v>
      </c>
      <c r="E358" s="43" t="s">
        <v>126</v>
      </c>
      <c r="F358" s="43" t="s">
        <v>57</v>
      </c>
      <c r="G358" s="45" t="n">
        <v>32356</v>
      </c>
      <c r="H358" s="45" t="n">
        <v>38390</v>
      </c>
      <c r="I358" s="46" t="n">
        <v>231000</v>
      </c>
      <c r="J358" s="47" t="n">
        <v>0.225</v>
      </c>
      <c r="K358" s="46" t="n">
        <f aca="false">J358*I358</f>
        <v>51975</v>
      </c>
      <c r="L358" s="46" t="n">
        <f aca="false">I358+K358</f>
        <v>282975</v>
      </c>
      <c r="M358" s="48" t="n">
        <v>19.9</v>
      </c>
      <c r="N358" s="49" t="n">
        <v>3.97</v>
      </c>
      <c r="O358" s="50" t="n">
        <v>0.935</v>
      </c>
      <c r="P358" s="51" t="n">
        <v>8</v>
      </c>
      <c r="Q358" s="51" t="n">
        <v>116</v>
      </c>
      <c r="R358" s="44" t="s">
        <v>1495</v>
      </c>
      <c r="S358" s="44" t="s">
        <v>1496</v>
      </c>
      <c r="T358" s="43" t="s">
        <v>66</v>
      </c>
    </row>
    <row r="359" customFormat="false" ht="15" hidden="false" customHeight="false" outlineLevel="0" collapsed="false">
      <c r="A359" s="34" t="s">
        <v>1497</v>
      </c>
      <c r="B359" s="35" t="s">
        <v>1498</v>
      </c>
      <c r="C359" s="34" t="s">
        <v>26</v>
      </c>
      <c r="D359" s="34" t="s">
        <v>69</v>
      </c>
      <c r="E359" s="34" t="s">
        <v>131</v>
      </c>
      <c r="F359" s="34" t="s">
        <v>57</v>
      </c>
      <c r="G359" s="36" t="n">
        <v>30759</v>
      </c>
      <c r="H359" s="36" t="n">
        <v>39396</v>
      </c>
      <c r="I359" s="37" t="n">
        <v>172000</v>
      </c>
      <c r="J359" s="38" t="n">
        <v>0.245</v>
      </c>
      <c r="K359" s="37" t="n">
        <f aca="false">J359*I359</f>
        <v>42140</v>
      </c>
      <c r="L359" s="37" t="n">
        <f aca="false">I359+K359</f>
        <v>214140</v>
      </c>
      <c r="M359" s="39" t="n">
        <v>17.1</v>
      </c>
      <c r="N359" s="40" t="n">
        <v>4.46</v>
      </c>
      <c r="O359" s="41" t="n">
        <v>0.96</v>
      </c>
      <c r="P359" s="42" t="n">
        <v>23</v>
      </c>
      <c r="Q359" s="42" t="n">
        <v>115</v>
      </c>
      <c r="R359" s="35" t="s">
        <v>1499</v>
      </c>
      <c r="S359" s="35" t="s">
        <v>1500</v>
      </c>
      <c r="T359" s="34" t="s">
        <v>66</v>
      </c>
    </row>
    <row r="360" customFormat="false" ht="15" hidden="false" customHeight="false" outlineLevel="0" collapsed="false">
      <c r="A360" s="43" t="s">
        <v>1501</v>
      </c>
      <c r="B360" s="44" t="s">
        <v>1502</v>
      </c>
      <c r="C360" s="43" t="s">
        <v>30</v>
      </c>
      <c r="D360" s="43" t="s">
        <v>142</v>
      </c>
      <c r="E360" s="43" t="s">
        <v>126</v>
      </c>
      <c r="F360" s="43" t="s">
        <v>79</v>
      </c>
      <c r="G360" s="45" t="n">
        <v>33932</v>
      </c>
      <c r="H360" s="45" t="n">
        <v>45101</v>
      </c>
      <c r="I360" s="46" t="n">
        <v>184000</v>
      </c>
      <c r="J360" s="47" t="n">
        <v>0.168</v>
      </c>
      <c r="K360" s="46" t="n">
        <f aca="false">J360*I360</f>
        <v>30912</v>
      </c>
      <c r="L360" s="46" t="n">
        <f aca="false">I360+K360</f>
        <v>214912</v>
      </c>
      <c r="M360" s="48" t="n">
        <v>1.5</v>
      </c>
      <c r="N360" s="49" t="n">
        <v>2.93</v>
      </c>
      <c r="O360" s="50" t="n">
        <v>0.821</v>
      </c>
      <c r="P360" s="51" t="n">
        <v>40</v>
      </c>
      <c r="Q360" s="51" t="n">
        <v>165</v>
      </c>
      <c r="R360" s="44" t="s">
        <v>1503</v>
      </c>
      <c r="S360" s="44" t="s">
        <v>1504</v>
      </c>
      <c r="T360" s="43" t="s">
        <v>82</v>
      </c>
    </row>
    <row r="361" customFormat="false" ht="15" hidden="false" customHeight="false" outlineLevel="0" collapsed="false">
      <c r="A361" s="34" t="s">
        <v>1505</v>
      </c>
      <c r="B361" s="35" t="s">
        <v>1506</v>
      </c>
      <c r="C361" s="34" t="s">
        <v>30</v>
      </c>
      <c r="D361" s="34" t="s">
        <v>55</v>
      </c>
      <c r="E361" s="34" t="s">
        <v>74</v>
      </c>
      <c r="F361" s="34" t="s">
        <v>137</v>
      </c>
      <c r="G361" s="36" t="n">
        <v>32347</v>
      </c>
      <c r="H361" s="36" t="n">
        <v>38639</v>
      </c>
      <c r="I361" s="37" t="n">
        <v>206000</v>
      </c>
      <c r="J361" s="38" t="n">
        <v>0.109</v>
      </c>
      <c r="K361" s="37" t="n">
        <f aca="false">J361*I361</f>
        <v>22454</v>
      </c>
      <c r="L361" s="37" t="n">
        <f aca="false">I361+K361</f>
        <v>228454</v>
      </c>
      <c r="M361" s="39" t="n">
        <v>19.2</v>
      </c>
      <c r="N361" s="40" t="n">
        <v>4.36</v>
      </c>
      <c r="O361" s="41" t="n">
        <v>0.976</v>
      </c>
      <c r="P361" s="42" t="n">
        <v>24</v>
      </c>
      <c r="Q361" s="42" t="n">
        <v>15</v>
      </c>
      <c r="R361" s="35" t="s">
        <v>1507</v>
      </c>
      <c r="S361" s="35" t="s">
        <v>1508</v>
      </c>
      <c r="T361" s="34" t="s">
        <v>66</v>
      </c>
    </row>
    <row r="362" customFormat="false" ht="15" hidden="false" customHeight="false" outlineLevel="0" collapsed="false">
      <c r="A362" s="43" t="s">
        <v>1509</v>
      </c>
      <c r="B362" s="44" t="s">
        <v>1510</v>
      </c>
      <c r="C362" s="43" t="s">
        <v>28</v>
      </c>
      <c r="D362" s="43" t="s">
        <v>95</v>
      </c>
      <c r="E362" s="43" t="s">
        <v>56</v>
      </c>
      <c r="F362" s="43" t="s">
        <v>137</v>
      </c>
      <c r="G362" s="45" t="n">
        <v>25533</v>
      </c>
      <c r="H362" s="45" t="n">
        <v>38671</v>
      </c>
      <c r="I362" s="46" t="n">
        <v>249000</v>
      </c>
      <c r="J362" s="47" t="n">
        <v>0.224</v>
      </c>
      <c r="K362" s="46" t="n">
        <f aca="false">J362*I362</f>
        <v>55776</v>
      </c>
      <c r="L362" s="46" t="n">
        <f aca="false">I362+K362</f>
        <v>304776</v>
      </c>
      <c r="M362" s="48" t="n">
        <v>19.1</v>
      </c>
      <c r="N362" s="49" t="n">
        <v>2.75</v>
      </c>
      <c r="O362" s="50" t="n">
        <v>0.961</v>
      </c>
      <c r="P362" s="51" t="n">
        <v>9</v>
      </c>
      <c r="Q362" s="51" t="n">
        <v>86</v>
      </c>
      <c r="R362" s="44" t="s">
        <v>1511</v>
      </c>
      <c r="S362" s="44" t="s">
        <v>1512</v>
      </c>
      <c r="T362" s="43" t="s">
        <v>82</v>
      </c>
    </row>
    <row r="363" customFormat="false" ht="15" hidden="false" customHeight="false" outlineLevel="0" collapsed="false">
      <c r="A363" s="34" t="s">
        <v>1513</v>
      </c>
      <c r="B363" s="35" t="s">
        <v>1514</v>
      </c>
      <c r="C363" s="34" t="s">
        <v>31</v>
      </c>
      <c r="D363" s="34" t="s">
        <v>85</v>
      </c>
      <c r="E363" s="34" t="s">
        <v>151</v>
      </c>
      <c r="F363" s="34" t="s">
        <v>137</v>
      </c>
      <c r="G363" s="36" t="n">
        <v>27766</v>
      </c>
      <c r="H363" s="36" t="n">
        <v>41168</v>
      </c>
      <c r="I363" s="37" t="n">
        <v>216000</v>
      </c>
      <c r="J363" s="38" t="n">
        <v>0.154</v>
      </c>
      <c r="K363" s="37" t="n">
        <f aca="false">J363*I363</f>
        <v>33264</v>
      </c>
      <c r="L363" s="37" t="n">
        <f aca="false">I363+K363</f>
        <v>249264</v>
      </c>
      <c r="M363" s="39" t="n">
        <v>12.3</v>
      </c>
      <c r="N363" s="40" t="n">
        <v>4.11</v>
      </c>
      <c r="O363" s="41" t="n">
        <v>0.756</v>
      </c>
      <c r="P363" s="42" t="n">
        <v>14</v>
      </c>
      <c r="Q363" s="42" t="n">
        <v>114</v>
      </c>
      <c r="R363" s="35" t="s">
        <v>1515</v>
      </c>
      <c r="S363" s="35" t="s">
        <v>1516</v>
      </c>
      <c r="T363" s="34" t="s">
        <v>82</v>
      </c>
    </row>
    <row r="364" customFormat="false" ht="15" hidden="false" customHeight="false" outlineLevel="0" collapsed="false">
      <c r="A364" s="43" t="s">
        <v>1517</v>
      </c>
      <c r="B364" s="44" t="s">
        <v>1518</v>
      </c>
      <c r="C364" s="43" t="s">
        <v>31</v>
      </c>
      <c r="D364" s="43" t="s">
        <v>85</v>
      </c>
      <c r="E364" s="43" t="s">
        <v>151</v>
      </c>
      <c r="F364" s="43" t="s">
        <v>57</v>
      </c>
      <c r="G364" s="45" t="n">
        <v>31413</v>
      </c>
      <c r="H364" s="45" t="n">
        <v>38485</v>
      </c>
      <c r="I364" s="46" t="n">
        <v>160000</v>
      </c>
      <c r="J364" s="47" t="n">
        <v>0.248</v>
      </c>
      <c r="K364" s="46" t="n">
        <f aca="false">J364*I364</f>
        <v>39680</v>
      </c>
      <c r="L364" s="46" t="n">
        <f aca="false">I364+K364</f>
        <v>199680</v>
      </c>
      <c r="M364" s="48" t="n">
        <v>19.6</v>
      </c>
      <c r="N364" s="49" t="n">
        <v>2.66</v>
      </c>
      <c r="O364" s="50" t="n">
        <v>0.913</v>
      </c>
      <c r="P364" s="51" t="n">
        <v>26</v>
      </c>
      <c r="Q364" s="51" t="n">
        <v>44</v>
      </c>
      <c r="R364" s="44" t="s">
        <v>1519</v>
      </c>
      <c r="S364" s="44" t="s">
        <v>1520</v>
      </c>
      <c r="T364" s="43" t="s">
        <v>60</v>
      </c>
    </row>
    <row r="365" customFormat="false" ht="15" hidden="false" customHeight="false" outlineLevel="0" collapsed="false">
      <c r="A365" s="34" t="s">
        <v>1521</v>
      </c>
      <c r="B365" s="35" t="s">
        <v>1522</v>
      </c>
      <c r="C365" s="34" t="s">
        <v>33</v>
      </c>
      <c r="D365" s="34" t="s">
        <v>55</v>
      </c>
      <c r="E365" s="34" t="s">
        <v>136</v>
      </c>
      <c r="F365" s="34" t="s">
        <v>57</v>
      </c>
      <c r="G365" s="36" t="n">
        <v>27059</v>
      </c>
      <c r="H365" s="36" t="n">
        <v>38524</v>
      </c>
      <c r="I365" s="37" t="n">
        <v>243000</v>
      </c>
      <c r="J365" s="38" t="n">
        <v>0.1</v>
      </c>
      <c r="K365" s="37" t="n">
        <f aca="false">J365*I365</f>
        <v>24300</v>
      </c>
      <c r="L365" s="37" t="n">
        <f aca="false">I365+K365</f>
        <v>267300</v>
      </c>
      <c r="M365" s="39" t="n">
        <v>19.5</v>
      </c>
      <c r="N365" s="40" t="n">
        <v>2.64</v>
      </c>
      <c r="O365" s="41" t="n">
        <v>0.71</v>
      </c>
      <c r="P365" s="42" t="n">
        <v>4</v>
      </c>
      <c r="Q365" s="42" t="n">
        <v>102</v>
      </c>
      <c r="R365" s="35" t="s">
        <v>1523</v>
      </c>
      <c r="S365" s="35" t="s">
        <v>1524</v>
      </c>
      <c r="T365" s="34" t="s">
        <v>82</v>
      </c>
    </row>
    <row r="366" customFormat="false" ht="15" hidden="false" customHeight="false" outlineLevel="0" collapsed="false">
      <c r="A366" s="43" t="s">
        <v>1525</v>
      </c>
      <c r="B366" s="44" t="s">
        <v>1526</v>
      </c>
      <c r="C366" s="43" t="s">
        <v>27</v>
      </c>
      <c r="D366" s="43" t="s">
        <v>95</v>
      </c>
      <c r="E366" s="43" t="s">
        <v>151</v>
      </c>
      <c r="F366" s="43" t="s">
        <v>137</v>
      </c>
      <c r="G366" s="45" t="n">
        <v>25954</v>
      </c>
      <c r="H366" s="45" t="n">
        <v>39367</v>
      </c>
      <c r="I366" s="46" t="n">
        <v>157000</v>
      </c>
      <c r="J366" s="47" t="n">
        <v>0.149</v>
      </c>
      <c r="K366" s="46" t="n">
        <f aca="false">J366*I366</f>
        <v>23393</v>
      </c>
      <c r="L366" s="46" t="n">
        <f aca="false">I366+K366</f>
        <v>180393</v>
      </c>
      <c r="M366" s="48" t="n">
        <v>17.2</v>
      </c>
      <c r="N366" s="49" t="n">
        <v>4.81</v>
      </c>
      <c r="O366" s="50" t="n">
        <v>0.904</v>
      </c>
      <c r="P366" s="51" t="n">
        <v>16</v>
      </c>
      <c r="Q366" s="51" t="n">
        <v>105</v>
      </c>
      <c r="R366" s="44" t="s">
        <v>1527</v>
      </c>
      <c r="S366" s="44" t="s">
        <v>1528</v>
      </c>
      <c r="T366" s="43" t="s">
        <v>66</v>
      </c>
    </row>
    <row r="367" customFormat="false" ht="15" hidden="false" customHeight="false" outlineLevel="0" collapsed="false">
      <c r="A367" s="34" t="s">
        <v>1529</v>
      </c>
      <c r="B367" s="35" t="s">
        <v>1530</v>
      </c>
      <c r="C367" s="34" t="s">
        <v>33</v>
      </c>
      <c r="D367" s="34" t="s">
        <v>113</v>
      </c>
      <c r="E367" s="34" t="s">
        <v>136</v>
      </c>
      <c r="F367" s="34" t="s">
        <v>137</v>
      </c>
      <c r="G367" s="36" t="n">
        <v>32095</v>
      </c>
      <c r="H367" s="36" t="n">
        <v>38819</v>
      </c>
      <c r="I367" s="37" t="n">
        <v>178000</v>
      </c>
      <c r="J367" s="38" t="n">
        <v>0.188</v>
      </c>
      <c r="K367" s="37" t="n">
        <f aca="false">J367*I367</f>
        <v>33464</v>
      </c>
      <c r="L367" s="37" t="n">
        <f aca="false">I367+K367</f>
        <v>211464</v>
      </c>
      <c r="M367" s="39" t="n">
        <v>18.7</v>
      </c>
      <c r="N367" s="40" t="n">
        <v>3.36</v>
      </c>
      <c r="O367" s="41" t="n">
        <v>0.951</v>
      </c>
      <c r="P367" s="42" t="n">
        <v>17</v>
      </c>
      <c r="Q367" s="42" t="n">
        <v>186</v>
      </c>
      <c r="R367" s="35" t="s">
        <v>1531</v>
      </c>
      <c r="S367" s="35" t="s">
        <v>1532</v>
      </c>
      <c r="T367" s="34" t="s">
        <v>66</v>
      </c>
    </row>
    <row r="368" customFormat="false" ht="15" hidden="false" customHeight="false" outlineLevel="0" collapsed="false">
      <c r="A368" s="43" t="s">
        <v>1533</v>
      </c>
      <c r="B368" s="44" t="s">
        <v>1534</v>
      </c>
      <c r="C368" s="43" t="s">
        <v>28</v>
      </c>
      <c r="D368" s="43" t="s">
        <v>55</v>
      </c>
      <c r="E368" s="43" t="s">
        <v>74</v>
      </c>
      <c r="F368" s="43" t="s">
        <v>57</v>
      </c>
      <c r="G368" s="45" t="n">
        <v>29665</v>
      </c>
      <c r="H368" s="45" t="n">
        <v>45368</v>
      </c>
      <c r="I368" s="46" t="n">
        <v>67000</v>
      </c>
      <c r="J368" s="47" t="n">
        <v>0.263</v>
      </c>
      <c r="K368" s="46" t="n">
        <f aca="false">J368*I368</f>
        <v>17621</v>
      </c>
      <c r="L368" s="46" t="n">
        <f aca="false">I368+K368</f>
        <v>84621</v>
      </c>
      <c r="M368" s="48" t="n">
        <v>0.8</v>
      </c>
      <c r="N368" s="49" t="n">
        <v>4.45</v>
      </c>
      <c r="O368" s="50" t="n">
        <v>0.764</v>
      </c>
      <c r="P368" s="51" t="n">
        <v>15</v>
      </c>
      <c r="Q368" s="51" t="n">
        <v>175</v>
      </c>
      <c r="R368" s="44" t="s">
        <v>1535</v>
      </c>
      <c r="S368" s="44" t="s">
        <v>1536</v>
      </c>
      <c r="T368" s="43" t="s">
        <v>66</v>
      </c>
    </row>
    <row r="369" customFormat="false" ht="15" hidden="false" customHeight="false" outlineLevel="0" collapsed="false">
      <c r="A369" s="34" t="s">
        <v>1537</v>
      </c>
      <c r="B369" s="35" t="s">
        <v>1538</v>
      </c>
      <c r="C369" s="34" t="s">
        <v>27</v>
      </c>
      <c r="D369" s="34" t="s">
        <v>95</v>
      </c>
      <c r="E369" s="34" t="s">
        <v>74</v>
      </c>
      <c r="F369" s="34" t="s">
        <v>79</v>
      </c>
      <c r="G369" s="36" t="n">
        <v>26801</v>
      </c>
      <c r="H369" s="36" t="n">
        <v>42155</v>
      </c>
      <c r="I369" s="37" t="n">
        <v>30000</v>
      </c>
      <c r="J369" s="38" t="n">
        <v>0.266</v>
      </c>
      <c r="K369" s="37" t="n">
        <f aca="false">J369*I369</f>
        <v>7980</v>
      </c>
      <c r="L369" s="37" t="n">
        <f aca="false">I369+K369</f>
        <v>37980</v>
      </c>
      <c r="M369" s="39" t="n">
        <v>9.6</v>
      </c>
      <c r="N369" s="40" t="n">
        <v>4.92</v>
      </c>
      <c r="O369" s="41" t="n">
        <v>0.905</v>
      </c>
      <c r="P369" s="42" t="n">
        <v>31</v>
      </c>
      <c r="Q369" s="42" t="n">
        <v>43</v>
      </c>
      <c r="R369" s="35" t="s">
        <v>1539</v>
      </c>
      <c r="S369" s="35" t="s">
        <v>1540</v>
      </c>
      <c r="T369" s="34" t="s">
        <v>82</v>
      </c>
    </row>
    <row r="370" customFormat="false" ht="15" hidden="false" customHeight="false" outlineLevel="0" collapsed="false">
      <c r="A370" s="43" t="s">
        <v>1541</v>
      </c>
      <c r="B370" s="44" t="s">
        <v>1542</v>
      </c>
      <c r="C370" s="43" t="s">
        <v>26</v>
      </c>
      <c r="D370" s="43" t="s">
        <v>69</v>
      </c>
      <c r="E370" s="43" t="s">
        <v>63</v>
      </c>
      <c r="F370" s="43" t="s">
        <v>57</v>
      </c>
      <c r="G370" s="45" t="n">
        <v>27466</v>
      </c>
      <c r="H370" s="45" t="n">
        <v>45181</v>
      </c>
      <c r="I370" s="46" t="n">
        <v>91000</v>
      </c>
      <c r="J370" s="47" t="n">
        <v>0.202</v>
      </c>
      <c r="K370" s="46" t="n">
        <f aca="false">J370*I370</f>
        <v>18382</v>
      </c>
      <c r="L370" s="46" t="n">
        <f aca="false">I370+K370</f>
        <v>109382</v>
      </c>
      <c r="M370" s="48" t="n">
        <v>1.3</v>
      </c>
      <c r="N370" s="49" t="n">
        <v>4.86</v>
      </c>
      <c r="O370" s="50" t="n">
        <v>0.914</v>
      </c>
      <c r="P370" s="51" t="n">
        <v>18</v>
      </c>
      <c r="Q370" s="51" t="n">
        <v>118</v>
      </c>
      <c r="R370" s="44" t="s">
        <v>1543</v>
      </c>
      <c r="S370" s="44" t="s">
        <v>1544</v>
      </c>
      <c r="T370" s="43" t="s">
        <v>66</v>
      </c>
    </row>
    <row r="371" customFormat="false" ht="15" hidden="false" customHeight="false" outlineLevel="0" collapsed="false">
      <c r="A371" s="34" t="s">
        <v>1545</v>
      </c>
      <c r="B371" s="35" t="s">
        <v>1546</v>
      </c>
      <c r="C371" s="34" t="s">
        <v>29</v>
      </c>
      <c r="D371" s="34" t="s">
        <v>113</v>
      </c>
      <c r="E371" s="34" t="s">
        <v>56</v>
      </c>
      <c r="F371" s="34" t="s">
        <v>57</v>
      </c>
      <c r="G371" s="36" t="n">
        <v>29846</v>
      </c>
      <c r="H371" s="36" t="n">
        <v>44327</v>
      </c>
      <c r="I371" s="37" t="n">
        <v>147000</v>
      </c>
      <c r="J371" s="38" t="n">
        <v>0.126</v>
      </c>
      <c r="K371" s="37" t="n">
        <f aca="false">J371*I371</f>
        <v>18522</v>
      </c>
      <c r="L371" s="37" t="n">
        <f aca="false">I371+K371</f>
        <v>165522</v>
      </c>
      <c r="M371" s="39" t="n">
        <v>3.6</v>
      </c>
      <c r="N371" s="40" t="n">
        <v>3.8</v>
      </c>
      <c r="O371" s="41" t="n">
        <v>0.887</v>
      </c>
      <c r="P371" s="42" t="n">
        <v>38</v>
      </c>
      <c r="Q371" s="42" t="n">
        <v>36</v>
      </c>
      <c r="R371" s="35" t="s">
        <v>1547</v>
      </c>
      <c r="S371" s="35" t="s">
        <v>1548</v>
      </c>
      <c r="T371" s="34" t="s">
        <v>66</v>
      </c>
    </row>
    <row r="372" customFormat="false" ht="15" hidden="false" customHeight="false" outlineLevel="0" collapsed="false">
      <c r="A372" s="43" t="s">
        <v>1549</v>
      </c>
      <c r="B372" s="44" t="s">
        <v>1550</v>
      </c>
      <c r="C372" s="43" t="s">
        <v>32</v>
      </c>
      <c r="D372" s="43" t="s">
        <v>142</v>
      </c>
      <c r="E372" s="43" t="s">
        <v>151</v>
      </c>
      <c r="F372" s="43" t="s">
        <v>79</v>
      </c>
      <c r="G372" s="45" t="n">
        <v>36844</v>
      </c>
      <c r="H372" s="45" t="n">
        <v>43386</v>
      </c>
      <c r="I372" s="46" t="n">
        <v>194000</v>
      </c>
      <c r="J372" s="47" t="n">
        <v>0.198</v>
      </c>
      <c r="K372" s="46" t="n">
        <f aca="false">J372*I372</f>
        <v>38412</v>
      </c>
      <c r="L372" s="46" t="n">
        <f aca="false">I372+K372</f>
        <v>232412</v>
      </c>
      <c r="M372" s="48" t="n">
        <v>6.2</v>
      </c>
      <c r="N372" s="49" t="n">
        <v>3.21</v>
      </c>
      <c r="O372" s="50" t="n">
        <v>0.905</v>
      </c>
      <c r="P372" s="51" t="n">
        <v>31</v>
      </c>
      <c r="Q372" s="51" t="n">
        <v>26</v>
      </c>
      <c r="R372" s="44" t="s">
        <v>1551</v>
      </c>
      <c r="S372" s="44" t="s">
        <v>1552</v>
      </c>
      <c r="T372" s="43" t="s">
        <v>66</v>
      </c>
    </row>
    <row r="373" customFormat="false" ht="15" hidden="false" customHeight="false" outlineLevel="0" collapsed="false">
      <c r="A373" s="34" t="s">
        <v>1553</v>
      </c>
      <c r="B373" s="35" t="s">
        <v>1554</v>
      </c>
      <c r="C373" s="34" t="s">
        <v>28</v>
      </c>
      <c r="D373" s="34" t="s">
        <v>142</v>
      </c>
      <c r="E373" s="34" t="s">
        <v>151</v>
      </c>
      <c r="F373" s="34" t="s">
        <v>137</v>
      </c>
      <c r="G373" s="36" t="n">
        <v>36526</v>
      </c>
      <c r="H373" s="36" t="n">
        <v>43542</v>
      </c>
      <c r="I373" s="37" t="n">
        <v>93000</v>
      </c>
      <c r="J373" s="38" t="n">
        <v>0.214</v>
      </c>
      <c r="K373" s="37" t="n">
        <f aca="false">J373*I373</f>
        <v>19902</v>
      </c>
      <c r="L373" s="37" t="n">
        <f aca="false">I373+K373</f>
        <v>112902</v>
      </c>
      <c r="M373" s="39" t="n">
        <v>5.8</v>
      </c>
      <c r="N373" s="40" t="n">
        <v>4.88</v>
      </c>
      <c r="O373" s="41" t="n">
        <v>0.895</v>
      </c>
      <c r="P373" s="42" t="n">
        <v>13</v>
      </c>
      <c r="Q373" s="42" t="n">
        <v>48</v>
      </c>
      <c r="R373" s="35" t="s">
        <v>1555</v>
      </c>
      <c r="S373" s="35" t="s">
        <v>1556</v>
      </c>
      <c r="T373" s="34" t="s">
        <v>60</v>
      </c>
    </row>
    <row r="374" customFormat="false" ht="15" hidden="false" customHeight="false" outlineLevel="0" collapsed="false">
      <c r="A374" s="43" t="s">
        <v>1557</v>
      </c>
      <c r="B374" s="44" t="s">
        <v>1558</v>
      </c>
      <c r="C374" s="43" t="s">
        <v>27</v>
      </c>
      <c r="D374" s="43" t="s">
        <v>55</v>
      </c>
      <c r="E374" s="43" t="s">
        <v>74</v>
      </c>
      <c r="F374" s="43" t="s">
        <v>79</v>
      </c>
      <c r="G374" s="45" t="n">
        <v>28376</v>
      </c>
      <c r="H374" s="45" t="n">
        <v>41343</v>
      </c>
      <c r="I374" s="46" t="n">
        <v>108000</v>
      </c>
      <c r="J374" s="47" t="n">
        <v>0.22</v>
      </c>
      <c r="K374" s="46" t="n">
        <f aca="false">J374*I374</f>
        <v>23760</v>
      </c>
      <c r="L374" s="46" t="n">
        <f aca="false">I374+K374</f>
        <v>131760</v>
      </c>
      <c r="M374" s="48" t="n">
        <v>11.8</v>
      </c>
      <c r="N374" s="49" t="n">
        <v>4.3</v>
      </c>
      <c r="O374" s="50" t="n">
        <v>0.897</v>
      </c>
      <c r="P374" s="51" t="n">
        <v>19</v>
      </c>
      <c r="Q374" s="51" t="n">
        <v>76</v>
      </c>
      <c r="R374" s="44" t="s">
        <v>1559</v>
      </c>
      <c r="S374" s="44" t="s">
        <v>1560</v>
      </c>
      <c r="T374" s="43" t="s">
        <v>66</v>
      </c>
    </row>
    <row r="375" customFormat="false" ht="15" hidden="false" customHeight="false" outlineLevel="0" collapsed="false">
      <c r="A375" s="34" t="s">
        <v>1561</v>
      </c>
      <c r="B375" s="35" t="s">
        <v>1562</v>
      </c>
      <c r="C375" s="34" t="s">
        <v>30</v>
      </c>
      <c r="D375" s="34" t="s">
        <v>113</v>
      </c>
      <c r="E375" s="34" t="s">
        <v>63</v>
      </c>
      <c r="F375" s="34" t="s">
        <v>79</v>
      </c>
      <c r="G375" s="36" t="n">
        <v>31106</v>
      </c>
      <c r="H375" s="36" t="n">
        <v>44106</v>
      </c>
      <c r="I375" s="37" t="n">
        <v>210000</v>
      </c>
      <c r="J375" s="38" t="n">
        <v>0.299</v>
      </c>
      <c r="K375" s="37" t="n">
        <f aca="false">J375*I375</f>
        <v>62790</v>
      </c>
      <c r="L375" s="37" t="n">
        <f aca="false">I375+K375</f>
        <v>272790</v>
      </c>
      <c r="M375" s="39" t="n">
        <v>4.2</v>
      </c>
      <c r="N375" s="40" t="n">
        <v>4.54</v>
      </c>
      <c r="O375" s="41" t="n">
        <v>0.803</v>
      </c>
      <c r="P375" s="42" t="n">
        <v>15</v>
      </c>
      <c r="Q375" s="42" t="n">
        <v>185</v>
      </c>
      <c r="R375" s="35" t="s">
        <v>1563</v>
      </c>
      <c r="S375" s="35" t="s">
        <v>1564</v>
      </c>
      <c r="T375" s="34" t="s">
        <v>60</v>
      </c>
    </row>
    <row r="376" customFormat="false" ht="15" hidden="false" customHeight="false" outlineLevel="0" collapsed="false">
      <c r="A376" s="43" t="s">
        <v>1565</v>
      </c>
      <c r="B376" s="44" t="s">
        <v>1566</v>
      </c>
      <c r="C376" s="43" t="s">
        <v>31</v>
      </c>
      <c r="D376" s="43" t="s">
        <v>142</v>
      </c>
      <c r="E376" s="43" t="s">
        <v>151</v>
      </c>
      <c r="F376" s="43" t="s">
        <v>79</v>
      </c>
      <c r="G376" s="45" t="n">
        <v>25776</v>
      </c>
      <c r="H376" s="45" t="n">
        <v>38785</v>
      </c>
      <c r="I376" s="46" t="n">
        <v>103000</v>
      </c>
      <c r="J376" s="47" t="n">
        <v>0.261</v>
      </c>
      <c r="K376" s="46" t="n">
        <f aca="false">J376*I376</f>
        <v>26883</v>
      </c>
      <c r="L376" s="46" t="n">
        <f aca="false">I376+K376</f>
        <v>129883</v>
      </c>
      <c r="M376" s="48" t="n">
        <v>18.8</v>
      </c>
      <c r="N376" s="49" t="n">
        <v>4.6</v>
      </c>
      <c r="O376" s="50" t="n">
        <v>0.963</v>
      </c>
      <c r="P376" s="51" t="n">
        <v>12</v>
      </c>
      <c r="Q376" s="51" t="n">
        <v>85</v>
      </c>
      <c r="R376" s="44" t="s">
        <v>1567</v>
      </c>
      <c r="S376" s="44" t="s">
        <v>1568</v>
      </c>
      <c r="T376" s="43" t="s">
        <v>66</v>
      </c>
    </row>
    <row r="377" customFormat="false" ht="15" hidden="false" customHeight="false" outlineLevel="0" collapsed="false">
      <c r="A377" s="34" t="s">
        <v>1569</v>
      </c>
      <c r="B377" s="35" t="s">
        <v>1570</v>
      </c>
      <c r="C377" s="34" t="s">
        <v>31</v>
      </c>
      <c r="D377" s="34" t="s">
        <v>90</v>
      </c>
      <c r="E377" s="34" t="s">
        <v>56</v>
      </c>
      <c r="F377" s="34" t="s">
        <v>79</v>
      </c>
      <c r="G377" s="36" t="n">
        <v>30048</v>
      </c>
      <c r="H377" s="36" t="n">
        <v>42748</v>
      </c>
      <c r="I377" s="37" t="n">
        <v>236000</v>
      </c>
      <c r="J377" s="38" t="n">
        <v>0.19</v>
      </c>
      <c r="K377" s="37" t="n">
        <f aca="false">J377*I377</f>
        <v>44840</v>
      </c>
      <c r="L377" s="37" t="n">
        <f aca="false">I377+K377</f>
        <v>280840</v>
      </c>
      <c r="M377" s="39" t="n">
        <v>8</v>
      </c>
      <c r="N377" s="40" t="n">
        <v>4.78</v>
      </c>
      <c r="O377" s="41" t="n">
        <v>0.984</v>
      </c>
      <c r="P377" s="42" t="n">
        <v>22</v>
      </c>
      <c r="Q377" s="42" t="n">
        <v>177</v>
      </c>
      <c r="R377" s="35" t="s">
        <v>1571</v>
      </c>
      <c r="S377" s="35" t="s">
        <v>1572</v>
      </c>
      <c r="T377" s="34" t="s">
        <v>66</v>
      </c>
    </row>
    <row r="378" customFormat="false" ht="15" hidden="false" customHeight="false" outlineLevel="0" collapsed="false">
      <c r="A378" s="43" t="s">
        <v>1573</v>
      </c>
      <c r="B378" s="44" t="s">
        <v>1574</v>
      </c>
      <c r="C378" s="43" t="s">
        <v>27</v>
      </c>
      <c r="D378" s="43" t="s">
        <v>95</v>
      </c>
      <c r="E378" s="43" t="s">
        <v>96</v>
      </c>
      <c r="F378" s="43" t="s">
        <v>79</v>
      </c>
      <c r="G378" s="45" t="n">
        <v>32632</v>
      </c>
      <c r="H378" s="45" t="n">
        <v>44339</v>
      </c>
      <c r="I378" s="46" t="n">
        <v>105000</v>
      </c>
      <c r="J378" s="47" t="n">
        <v>0.155</v>
      </c>
      <c r="K378" s="46" t="n">
        <f aca="false">J378*I378</f>
        <v>16275</v>
      </c>
      <c r="L378" s="46" t="n">
        <f aca="false">I378+K378</f>
        <v>121275</v>
      </c>
      <c r="M378" s="48" t="n">
        <v>3.6</v>
      </c>
      <c r="N378" s="49" t="n">
        <v>4.72</v>
      </c>
      <c r="O378" s="50" t="n">
        <v>0.812</v>
      </c>
      <c r="P378" s="51" t="n">
        <v>38</v>
      </c>
      <c r="Q378" s="51" t="n">
        <v>85</v>
      </c>
      <c r="R378" s="44" t="s">
        <v>1575</v>
      </c>
      <c r="S378" s="44" t="s">
        <v>1576</v>
      </c>
      <c r="T378" s="43" t="s">
        <v>66</v>
      </c>
    </row>
    <row r="379" customFormat="false" ht="15" hidden="false" customHeight="false" outlineLevel="0" collapsed="false">
      <c r="A379" s="34" t="s">
        <v>1577</v>
      </c>
      <c r="B379" s="35" t="s">
        <v>1578</v>
      </c>
      <c r="C379" s="34" t="s">
        <v>25</v>
      </c>
      <c r="D379" s="34" t="s">
        <v>113</v>
      </c>
      <c r="E379" s="34" t="s">
        <v>63</v>
      </c>
      <c r="F379" s="34" t="s">
        <v>79</v>
      </c>
      <c r="G379" s="36" t="n">
        <v>32508</v>
      </c>
      <c r="H379" s="36" t="n">
        <v>42205</v>
      </c>
      <c r="I379" s="37" t="n">
        <v>177000</v>
      </c>
      <c r="J379" s="38" t="n">
        <v>0.195</v>
      </c>
      <c r="K379" s="37" t="n">
        <f aca="false">J379*I379</f>
        <v>34515</v>
      </c>
      <c r="L379" s="37" t="n">
        <f aca="false">I379+K379</f>
        <v>211515</v>
      </c>
      <c r="M379" s="39" t="n">
        <v>9.5</v>
      </c>
      <c r="N379" s="40" t="n">
        <v>4.05</v>
      </c>
      <c r="O379" s="41" t="n">
        <v>0.842</v>
      </c>
      <c r="P379" s="42" t="n">
        <v>13</v>
      </c>
      <c r="Q379" s="42" t="n">
        <v>138</v>
      </c>
      <c r="R379" s="35" t="s">
        <v>1579</v>
      </c>
      <c r="S379" s="35" t="s">
        <v>1580</v>
      </c>
      <c r="T379" s="34" t="s">
        <v>66</v>
      </c>
    </row>
    <row r="380" customFormat="false" ht="15" hidden="false" customHeight="false" outlineLevel="0" collapsed="false">
      <c r="A380" s="43" t="s">
        <v>1581</v>
      </c>
      <c r="B380" s="44" t="s">
        <v>1582</v>
      </c>
      <c r="C380" s="43" t="s">
        <v>30</v>
      </c>
      <c r="D380" s="43" t="s">
        <v>69</v>
      </c>
      <c r="E380" s="43" t="s">
        <v>56</v>
      </c>
      <c r="F380" s="43" t="s">
        <v>137</v>
      </c>
      <c r="G380" s="45" t="n">
        <v>34009</v>
      </c>
      <c r="H380" s="45" t="n">
        <v>45344</v>
      </c>
      <c r="I380" s="46" t="n">
        <v>39000</v>
      </c>
      <c r="J380" s="47" t="n">
        <v>0.268</v>
      </c>
      <c r="K380" s="46" t="n">
        <f aca="false">J380*I380</f>
        <v>10452</v>
      </c>
      <c r="L380" s="46" t="n">
        <f aca="false">I380+K380</f>
        <v>49452</v>
      </c>
      <c r="M380" s="48" t="n">
        <v>0.9</v>
      </c>
      <c r="N380" s="49" t="n">
        <v>2.88</v>
      </c>
      <c r="O380" s="50" t="n">
        <v>0.998</v>
      </c>
      <c r="P380" s="51" t="n">
        <v>22</v>
      </c>
      <c r="Q380" s="51" t="n">
        <v>114</v>
      </c>
      <c r="R380" s="44" t="s">
        <v>1583</v>
      </c>
      <c r="S380" s="44" t="s">
        <v>1584</v>
      </c>
      <c r="T380" s="43" t="s">
        <v>60</v>
      </c>
    </row>
    <row r="381" customFormat="false" ht="15" hidden="false" customHeight="false" outlineLevel="0" collapsed="false">
      <c r="A381" s="34" t="s">
        <v>1585</v>
      </c>
      <c r="B381" s="35" t="s">
        <v>1586</v>
      </c>
      <c r="C381" s="34" t="s">
        <v>31</v>
      </c>
      <c r="D381" s="34" t="s">
        <v>90</v>
      </c>
      <c r="E381" s="34" t="s">
        <v>151</v>
      </c>
      <c r="F381" s="34" t="s">
        <v>79</v>
      </c>
      <c r="G381" s="36" t="n">
        <v>31117</v>
      </c>
      <c r="H381" s="36" t="n">
        <v>43823</v>
      </c>
      <c r="I381" s="37" t="n">
        <v>72000</v>
      </c>
      <c r="J381" s="38" t="n">
        <v>0.245</v>
      </c>
      <c r="K381" s="37" t="n">
        <f aca="false">J381*I381</f>
        <v>17640</v>
      </c>
      <c r="L381" s="37" t="n">
        <f aca="false">I381+K381</f>
        <v>89640</v>
      </c>
      <c r="M381" s="39" t="n">
        <v>5</v>
      </c>
      <c r="N381" s="40" t="n">
        <v>3.72</v>
      </c>
      <c r="O381" s="41" t="n">
        <v>0.889</v>
      </c>
      <c r="P381" s="42" t="n">
        <v>12</v>
      </c>
      <c r="Q381" s="42" t="n">
        <v>90</v>
      </c>
      <c r="R381" s="35" t="s">
        <v>1587</v>
      </c>
      <c r="S381" s="35" t="s">
        <v>1588</v>
      </c>
      <c r="T381" s="34" t="s">
        <v>82</v>
      </c>
    </row>
    <row r="382" customFormat="false" ht="15" hidden="false" customHeight="false" outlineLevel="0" collapsed="false">
      <c r="A382" s="43" t="s">
        <v>1589</v>
      </c>
      <c r="B382" s="44" t="s">
        <v>1590</v>
      </c>
      <c r="C382" s="43" t="s">
        <v>24</v>
      </c>
      <c r="D382" s="43" t="s">
        <v>55</v>
      </c>
      <c r="E382" s="43" t="s">
        <v>126</v>
      </c>
      <c r="F382" s="43" t="s">
        <v>137</v>
      </c>
      <c r="G382" s="45" t="n">
        <v>25213</v>
      </c>
      <c r="H382" s="45" t="n">
        <v>38564</v>
      </c>
      <c r="I382" s="46" t="n">
        <v>79000</v>
      </c>
      <c r="J382" s="47" t="n">
        <v>0.24</v>
      </c>
      <c r="K382" s="46" t="n">
        <f aca="false">J382*I382</f>
        <v>18960</v>
      </c>
      <c r="L382" s="46" t="n">
        <f aca="false">I382+K382</f>
        <v>97960</v>
      </c>
      <c r="M382" s="48" t="n">
        <v>19.4</v>
      </c>
      <c r="N382" s="49" t="n">
        <v>2.92</v>
      </c>
      <c r="O382" s="50" t="n">
        <v>0.929</v>
      </c>
      <c r="P382" s="51" t="n">
        <v>32</v>
      </c>
      <c r="Q382" s="51" t="n">
        <v>32</v>
      </c>
      <c r="R382" s="44" t="s">
        <v>1591</v>
      </c>
      <c r="S382" s="44" t="s">
        <v>1592</v>
      </c>
      <c r="T382" s="43" t="s">
        <v>66</v>
      </c>
    </row>
    <row r="383" customFormat="false" ht="15" hidden="false" customHeight="false" outlineLevel="0" collapsed="false">
      <c r="A383" s="34" t="s">
        <v>1593</v>
      </c>
      <c r="B383" s="35" t="s">
        <v>1594</v>
      </c>
      <c r="C383" s="34" t="s">
        <v>33</v>
      </c>
      <c r="D383" s="34" t="s">
        <v>113</v>
      </c>
      <c r="E383" s="34" t="s">
        <v>74</v>
      </c>
      <c r="F383" s="34" t="s">
        <v>137</v>
      </c>
      <c r="G383" s="36" t="n">
        <v>28743</v>
      </c>
      <c r="H383" s="36" t="n">
        <v>40062</v>
      </c>
      <c r="I383" s="37" t="n">
        <v>137000</v>
      </c>
      <c r="J383" s="38" t="n">
        <v>0.291</v>
      </c>
      <c r="K383" s="37" t="n">
        <f aca="false">J383*I383</f>
        <v>39867</v>
      </c>
      <c r="L383" s="37" t="n">
        <f aca="false">I383+K383</f>
        <v>176867</v>
      </c>
      <c r="M383" s="39" t="n">
        <v>15.3</v>
      </c>
      <c r="N383" s="40" t="n">
        <v>3.46</v>
      </c>
      <c r="O383" s="41" t="n">
        <v>0.711</v>
      </c>
      <c r="P383" s="42" t="n">
        <v>13</v>
      </c>
      <c r="Q383" s="42" t="n">
        <v>197</v>
      </c>
      <c r="R383" s="35" t="s">
        <v>1595</v>
      </c>
      <c r="S383" s="35" t="s">
        <v>1596</v>
      </c>
      <c r="T383" s="34" t="s">
        <v>66</v>
      </c>
    </row>
    <row r="384" customFormat="false" ht="15" hidden="false" customHeight="false" outlineLevel="0" collapsed="false">
      <c r="A384" s="43" t="s">
        <v>1597</v>
      </c>
      <c r="B384" s="44" t="s">
        <v>1598</v>
      </c>
      <c r="C384" s="43" t="s">
        <v>24</v>
      </c>
      <c r="D384" s="43" t="s">
        <v>95</v>
      </c>
      <c r="E384" s="43" t="s">
        <v>96</v>
      </c>
      <c r="F384" s="43" t="s">
        <v>57</v>
      </c>
      <c r="G384" s="45" t="n">
        <v>37067</v>
      </c>
      <c r="H384" s="45" t="n">
        <v>43786</v>
      </c>
      <c r="I384" s="46" t="n">
        <v>202000</v>
      </c>
      <c r="J384" s="47" t="n">
        <v>0.051</v>
      </c>
      <c r="K384" s="46" t="n">
        <f aca="false">J384*I384</f>
        <v>10302</v>
      </c>
      <c r="L384" s="46" t="n">
        <f aca="false">I384+K384</f>
        <v>212302</v>
      </c>
      <c r="M384" s="48" t="n">
        <v>5.1</v>
      </c>
      <c r="N384" s="49" t="n">
        <v>4.33</v>
      </c>
      <c r="O384" s="50" t="n">
        <v>0.768</v>
      </c>
      <c r="P384" s="51" t="n">
        <v>23</v>
      </c>
      <c r="Q384" s="51" t="n">
        <v>89</v>
      </c>
      <c r="R384" s="44" t="s">
        <v>1599</v>
      </c>
      <c r="S384" s="44" t="s">
        <v>1600</v>
      </c>
      <c r="T384" s="43" t="s">
        <v>66</v>
      </c>
    </row>
    <row r="385" customFormat="false" ht="15" hidden="false" customHeight="false" outlineLevel="0" collapsed="false">
      <c r="A385" s="34" t="s">
        <v>1601</v>
      </c>
      <c r="B385" s="35" t="s">
        <v>1602</v>
      </c>
      <c r="C385" s="34" t="s">
        <v>25</v>
      </c>
      <c r="D385" s="34" t="s">
        <v>113</v>
      </c>
      <c r="E385" s="34" t="s">
        <v>56</v>
      </c>
      <c r="F385" s="34" t="s">
        <v>57</v>
      </c>
      <c r="G385" s="36" t="n">
        <v>34773</v>
      </c>
      <c r="H385" s="36" t="n">
        <v>42945</v>
      </c>
      <c r="I385" s="37" t="n">
        <v>42000</v>
      </c>
      <c r="J385" s="38" t="n">
        <v>0.256</v>
      </c>
      <c r="K385" s="37" t="n">
        <f aca="false">J385*I385</f>
        <v>10752</v>
      </c>
      <c r="L385" s="37" t="n">
        <f aca="false">I385+K385</f>
        <v>52752</v>
      </c>
      <c r="M385" s="39" t="n">
        <v>7.4</v>
      </c>
      <c r="N385" s="40" t="n">
        <v>3.25</v>
      </c>
      <c r="O385" s="41" t="n">
        <v>0.787</v>
      </c>
      <c r="P385" s="42" t="n">
        <v>34</v>
      </c>
      <c r="Q385" s="42" t="n">
        <v>162</v>
      </c>
      <c r="R385" s="35" t="s">
        <v>1603</v>
      </c>
      <c r="S385" s="35" t="s">
        <v>1604</v>
      </c>
      <c r="T385" s="34" t="s">
        <v>60</v>
      </c>
    </row>
    <row r="386" customFormat="false" ht="15" hidden="false" customHeight="false" outlineLevel="0" collapsed="false">
      <c r="A386" s="43" t="s">
        <v>1605</v>
      </c>
      <c r="B386" s="44" t="s">
        <v>1606</v>
      </c>
      <c r="C386" s="43" t="s">
        <v>29</v>
      </c>
      <c r="D386" s="43" t="s">
        <v>113</v>
      </c>
      <c r="E386" s="43" t="s">
        <v>136</v>
      </c>
      <c r="F386" s="43" t="s">
        <v>137</v>
      </c>
      <c r="G386" s="45" t="n">
        <v>30364</v>
      </c>
      <c r="H386" s="45" t="n">
        <v>41037</v>
      </c>
      <c r="I386" s="46" t="n">
        <v>153000</v>
      </c>
      <c r="J386" s="47" t="n">
        <v>0.14</v>
      </c>
      <c r="K386" s="46" t="n">
        <f aca="false">J386*I386</f>
        <v>21420</v>
      </c>
      <c r="L386" s="46" t="n">
        <f aca="false">I386+K386</f>
        <v>174420</v>
      </c>
      <c r="M386" s="48" t="n">
        <v>12.6</v>
      </c>
      <c r="N386" s="49" t="n">
        <v>2.97</v>
      </c>
      <c r="O386" s="50" t="n">
        <v>0.984</v>
      </c>
      <c r="P386" s="51" t="n">
        <v>26</v>
      </c>
      <c r="Q386" s="51" t="n">
        <v>14</v>
      </c>
      <c r="R386" s="44" t="s">
        <v>1607</v>
      </c>
      <c r="S386" s="44" t="s">
        <v>1608</v>
      </c>
      <c r="T386" s="43" t="s">
        <v>66</v>
      </c>
    </row>
    <row r="387" customFormat="false" ht="15" hidden="false" customHeight="false" outlineLevel="0" collapsed="false">
      <c r="A387" s="34" t="s">
        <v>1609</v>
      </c>
      <c r="B387" s="35" t="s">
        <v>1610</v>
      </c>
      <c r="C387" s="34" t="s">
        <v>27</v>
      </c>
      <c r="D387" s="34" t="s">
        <v>142</v>
      </c>
      <c r="E387" s="34" t="s">
        <v>136</v>
      </c>
      <c r="F387" s="34" t="s">
        <v>57</v>
      </c>
      <c r="G387" s="36" t="n">
        <v>28904</v>
      </c>
      <c r="H387" s="36" t="n">
        <v>41075</v>
      </c>
      <c r="I387" s="37" t="n">
        <v>217000</v>
      </c>
      <c r="J387" s="38" t="n">
        <v>0.055</v>
      </c>
      <c r="K387" s="37" t="n">
        <f aca="false">J387*I387</f>
        <v>11935</v>
      </c>
      <c r="L387" s="37" t="n">
        <f aca="false">I387+K387</f>
        <v>228935</v>
      </c>
      <c r="M387" s="39" t="n">
        <v>12.5</v>
      </c>
      <c r="N387" s="40" t="n">
        <v>3.76</v>
      </c>
      <c r="O387" s="41" t="n">
        <v>0.737</v>
      </c>
      <c r="P387" s="42" t="n">
        <v>3</v>
      </c>
      <c r="Q387" s="42" t="n">
        <v>106</v>
      </c>
      <c r="R387" s="35" t="s">
        <v>1611</v>
      </c>
      <c r="S387" s="35" t="s">
        <v>1612</v>
      </c>
      <c r="T387" s="34" t="s">
        <v>82</v>
      </c>
    </row>
    <row r="388" customFormat="false" ht="15" hidden="false" customHeight="false" outlineLevel="0" collapsed="false">
      <c r="A388" s="43" t="s">
        <v>1613</v>
      </c>
      <c r="B388" s="44" t="s">
        <v>1614</v>
      </c>
      <c r="C388" s="43" t="s">
        <v>28</v>
      </c>
      <c r="D388" s="43" t="s">
        <v>85</v>
      </c>
      <c r="E388" s="43" t="s">
        <v>63</v>
      </c>
      <c r="F388" s="43" t="s">
        <v>79</v>
      </c>
      <c r="G388" s="45" t="n">
        <v>27277</v>
      </c>
      <c r="H388" s="45" t="n">
        <v>40697</v>
      </c>
      <c r="I388" s="46" t="n">
        <v>37000</v>
      </c>
      <c r="J388" s="47" t="n">
        <v>0.215</v>
      </c>
      <c r="K388" s="46" t="n">
        <f aca="false">J388*I388</f>
        <v>7955</v>
      </c>
      <c r="L388" s="46" t="n">
        <f aca="false">I388+K388</f>
        <v>44955</v>
      </c>
      <c r="M388" s="48" t="n">
        <v>13.6</v>
      </c>
      <c r="N388" s="49" t="n">
        <v>4.13</v>
      </c>
      <c r="O388" s="50" t="n">
        <v>0.706</v>
      </c>
      <c r="P388" s="51" t="n">
        <v>8</v>
      </c>
      <c r="Q388" s="51" t="n">
        <v>116</v>
      </c>
      <c r="R388" s="44" t="s">
        <v>1615</v>
      </c>
      <c r="S388" s="44" t="s">
        <v>1616</v>
      </c>
      <c r="T388" s="43" t="s">
        <v>66</v>
      </c>
    </row>
    <row r="389" customFormat="false" ht="15" hidden="false" customHeight="false" outlineLevel="0" collapsed="false">
      <c r="A389" s="34" t="s">
        <v>1617</v>
      </c>
      <c r="B389" s="35" t="s">
        <v>1618</v>
      </c>
      <c r="C389" s="34" t="s">
        <v>30</v>
      </c>
      <c r="D389" s="34" t="s">
        <v>55</v>
      </c>
      <c r="E389" s="34" t="s">
        <v>56</v>
      </c>
      <c r="F389" s="34" t="s">
        <v>137</v>
      </c>
      <c r="G389" s="36" t="n">
        <v>27695</v>
      </c>
      <c r="H389" s="36" t="n">
        <v>43503</v>
      </c>
      <c r="I389" s="37" t="n">
        <v>208000</v>
      </c>
      <c r="J389" s="38" t="n">
        <v>0.088</v>
      </c>
      <c r="K389" s="37" t="n">
        <f aca="false">J389*I389</f>
        <v>18304</v>
      </c>
      <c r="L389" s="37" t="n">
        <f aca="false">I389+K389</f>
        <v>226304</v>
      </c>
      <c r="M389" s="39" t="n">
        <v>5.9</v>
      </c>
      <c r="N389" s="40" t="n">
        <v>4.24</v>
      </c>
      <c r="O389" s="41" t="n">
        <v>0.889</v>
      </c>
      <c r="P389" s="42" t="n">
        <v>20</v>
      </c>
      <c r="Q389" s="42" t="n">
        <v>117</v>
      </c>
      <c r="R389" s="35" t="s">
        <v>1619</v>
      </c>
      <c r="S389" s="35" t="s">
        <v>1620</v>
      </c>
      <c r="T389" s="34" t="s">
        <v>82</v>
      </c>
    </row>
    <row r="390" customFormat="false" ht="15" hidden="false" customHeight="false" outlineLevel="0" collapsed="false">
      <c r="A390" s="43" t="s">
        <v>1621</v>
      </c>
      <c r="B390" s="44" t="s">
        <v>1622</v>
      </c>
      <c r="C390" s="43" t="s">
        <v>25</v>
      </c>
      <c r="D390" s="43" t="s">
        <v>142</v>
      </c>
      <c r="E390" s="43" t="s">
        <v>56</v>
      </c>
      <c r="F390" s="43" t="s">
        <v>79</v>
      </c>
      <c r="G390" s="45" t="n">
        <v>26497</v>
      </c>
      <c r="H390" s="45" t="n">
        <v>44574</v>
      </c>
      <c r="I390" s="46" t="n">
        <v>183000</v>
      </c>
      <c r="J390" s="47" t="n">
        <v>0.225</v>
      </c>
      <c r="K390" s="46" t="n">
        <f aca="false">J390*I390</f>
        <v>41175</v>
      </c>
      <c r="L390" s="46" t="n">
        <f aca="false">I390+K390</f>
        <v>224175</v>
      </c>
      <c r="M390" s="48" t="n">
        <v>3</v>
      </c>
      <c r="N390" s="49" t="n">
        <v>3.55</v>
      </c>
      <c r="O390" s="50" t="n">
        <v>0.97</v>
      </c>
      <c r="P390" s="51" t="n">
        <v>33</v>
      </c>
      <c r="Q390" s="51" t="n">
        <v>194</v>
      </c>
      <c r="R390" s="44" t="s">
        <v>1623</v>
      </c>
      <c r="S390" s="44" t="s">
        <v>1624</v>
      </c>
      <c r="T390" s="43" t="s">
        <v>60</v>
      </c>
    </row>
    <row r="391" customFormat="false" ht="15" hidden="false" customHeight="false" outlineLevel="0" collapsed="false">
      <c r="A391" s="34" t="s">
        <v>1625</v>
      </c>
      <c r="B391" s="35" t="s">
        <v>1626</v>
      </c>
      <c r="C391" s="34" t="s">
        <v>25</v>
      </c>
      <c r="D391" s="34" t="s">
        <v>95</v>
      </c>
      <c r="E391" s="34" t="s">
        <v>131</v>
      </c>
      <c r="F391" s="34" t="s">
        <v>57</v>
      </c>
      <c r="G391" s="36" t="n">
        <v>27379</v>
      </c>
      <c r="H391" s="36" t="n">
        <v>41134</v>
      </c>
      <c r="I391" s="37" t="n">
        <v>155000</v>
      </c>
      <c r="J391" s="38" t="n">
        <v>0.1</v>
      </c>
      <c r="K391" s="37" t="n">
        <f aca="false">J391*I391</f>
        <v>15500</v>
      </c>
      <c r="L391" s="37" t="n">
        <f aca="false">I391+K391</f>
        <v>170500</v>
      </c>
      <c r="M391" s="39" t="n">
        <v>12.4</v>
      </c>
      <c r="N391" s="40" t="n">
        <v>3</v>
      </c>
      <c r="O391" s="41" t="n">
        <v>0.779</v>
      </c>
      <c r="P391" s="42" t="n">
        <v>34</v>
      </c>
      <c r="Q391" s="42" t="n">
        <v>61</v>
      </c>
      <c r="R391" s="35" t="s">
        <v>1627</v>
      </c>
      <c r="S391" s="35" t="s">
        <v>1628</v>
      </c>
      <c r="T391" s="34" t="s">
        <v>66</v>
      </c>
    </row>
    <row r="392" customFormat="false" ht="15" hidden="false" customHeight="false" outlineLevel="0" collapsed="false">
      <c r="A392" s="43" t="s">
        <v>1629</v>
      </c>
      <c r="B392" s="44" t="s">
        <v>1630</v>
      </c>
      <c r="C392" s="43" t="s">
        <v>30</v>
      </c>
      <c r="D392" s="43" t="s">
        <v>95</v>
      </c>
      <c r="E392" s="43" t="s">
        <v>136</v>
      </c>
      <c r="F392" s="43" t="s">
        <v>57</v>
      </c>
      <c r="G392" s="45" t="n">
        <v>36936</v>
      </c>
      <c r="H392" s="45" t="n">
        <v>41100</v>
      </c>
      <c r="I392" s="46" t="n">
        <v>168000</v>
      </c>
      <c r="J392" s="47" t="n">
        <v>0.174</v>
      </c>
      <c r="K392" s="46" t="n">
        <f aca="false">J392*I392</f>
        <v>29232</v>
      </c>
      <c r="L392" s="46" t="n">
        <f aca="false">I392+K392</f>
        <v>197232</v>
      </c>
      <c r="M392" s="48" t="n">
        <v>12.5</v>
      </c>
      <c r="N392" s="49" t="n">
        <v>3.02</v>
      </c>
      <c r="O392" s="50" t="n">
        <v>0.98</v>
      </c>
      <c r="P392" s="51" t="n">
        <v>22</v>
      </c>
      <c r="Q392" s="51" t="n">
        <v>70</v>
      </c>
      <c r="R392" s="44" t="s">
        <v>1631</v>
      </c>
      <c r="S392" s="44" t="s">
        <v>1632</v>
      </c>
      <c r="T392" s="43" t="s">
        <v>66</v>
      </c>
    </row>
    <row r="393" customFormat="false" ht="15" hidden="false" customHeight="false" outlineLevel="0" collapsed="false">
      <c r="A393" s="34" t="s">
        <v>1633</v>
      </c>
      <c r="B393" s="35" t="s">
        <v>1634</v>
      </c>
      <c r="C393" s="34" t="s">
        <v>24</v>
      </c>
      <c r="D393" s="34" t="s">
        <v>142</v>
      </c>
      <c r="E393" s="34" t="s">
        <v>131</v>
      </c>
      <c r="F393" s="34" t="s">
        <v>57</v>
      </c>
      <c r="G393" s="36" t="n">
        <v>29877</v>
      </c>
      <c r="H393" s="36" t="n">
        <v>44786</v>
      </c>
      <c r="I393" s="37" t="n">
        <v>243000</v>
      </c>
      <c r="J393" s="38" t="n">
        <v>0.194</v>
      </c>
      <c r="K393" s="37" t="n">
        <f aca="false">J393*I393</f>
        <v>47142</v>
      </c>
      <c r="L393" s="37" t="n">
        <f aca="false">I393+K393</f>
        <v>290142</v>
      </c>
      <c r="M393" s="39" t="n">
        <v>2.4</v>
      </c>
      <c r="N393" s="40" t="n">
        <v>3.74</v>
      </c>
      <c r="O393" s="41" t="n">
        <v>0.985</v>
      </c>
      <c r="P393" s="42" t="n">
        <v>33</v>
      </c>
      <c r="Q393" s="42" t="n">
        <v>29</v>
      </c>
      <c r="R393" s="35" t="s">
        <v>1635</v>
      </c>
      <c r="S393" s="35" t="s">
        <v>1636</v>
      </c>
      <c r="T393" s="34" t="s">
        <v>82</v>
      </c>
    </row>
    <row r="394" customFormat="false" ht="15" hidden="false" customHeight="false" outlineLevel="0" collapsed="false">
      <c r="A394" s="43" t="s">
        <v>1637</v>
      </c>
      <c r="B394" s="44" t="s">
        <v>1638</v>
      </c>
      <c r="C394" s="43" t="s">
        <v>25</v>
      </c>
      <c r="D394" s="43" t="s">
        <v>95</v>
      </c>
      <c r="E394" s="43" t="s">
        <v>96</v>
      </c>
      <c r="F394" s="43" t="s">
        <v>137</v>
      </c>
      <c r="G394" s="45" t="n">
        <v>32794</v>
      </c>
      <c r="H394" s="45" t="n">
        <v>40110</v>
      </c>
      <c r="I394" s="46" t="n">
        <v>102000</v>
      </c>
      <c r="J394" s="47" t="n">
        <v>0.116</v>
      </c>
      <c r="K394" s="46" t="n">
        <f aca="false">J394*I394</f>
        <v>11832</v>
      </c>
      <c r="L394" s="46" t="n">
        <f aca="false">I394+K394</f>
        <v>113832</v>
      </c>
      <c r="M394" s="48" t="n">
        <v>15.2</v>
      </c>
      <c r="N394" s="49" t="n">
        <v>2.63</v>
      </c>
      <c r="O394" s="50" t="n">
        <v>0.944</v>
      </c>
      <c r="P394" s="51" t="n">
        <v>3</v>
      </c>
      <c r="Q394" s="51" t="n">
        <v>84</v>
      </c>
      <c r="R394" s="44" t="s">
        <v>1639</v>
      </c>
      <c r="S394" s="44" t="s">
        <v>1640</v>
      </c>
      <c r="T394" s="43" t="s">
        <v>66</v>
      </c>
    </row>
    <row r="395" customFormat="false" ht="15" hidden="false" customHeight="false" outlineLevel="0" collapsed="false">
      <c r="A395" s="34" t="s">
        <v>1641</v>
      </c>
      <c r="B395" s="35" t="s">
        <v>1642</v>
      </c>
      <c r="C395" s="34" t="s">
        <v>29</v>
      </c>
      <c r="D395" s="34" t="s">
        <v>113</v>
      </c>
      <c r="E395" s="34" t="s">
        <v>131</v>
      </c>
      <c r="F395" s="34" t="s">
        <v>57</v>
      </c>
      <c r="G395" s="36" t="n">
        <v>34060</v>
      </c>
      <c r="H395" s="36" t="n">
        <v>39033</v>
      </c>
      <c r="I395" s="37" t="n">
        <v>248000</v>
      </c>
      <c r="J395" s="38" t="n">
        <v>0.24</v>
      </c>
      <c r="K395" s="37" t="n">
        <f aca="false">J395*I395</f>
        <v>59520</v>
      </c>
      <c r="L395" s="37" t="n">
        <f aca="false">I395+K395</f>
        <v>307520</v>
      </c>
      <c r="M395" s="39" t="n">
        <v>18.1</v>
      </c>
      <c r="N395" s="40" t="n">
        <v>2.61</v>
      </c>
      <c r="O395" s="41" t="n">
        <v>0.956</v>
      </c>
      <c r="P395" s="42" t="n">
        <v>11</v>
      </c>
      <c r="Q395" s="42" t="n">
        <v>94</v>
      </c>
      <c r="R395" s="35" t="s">
        <v>1643</v>
      </c>
      <c r="S395" s="35" t="s">
        <v>1644</v>
      </c>
      <c r="T395" s="34" t="s">
        <v>66</v>
      </c>
    </row>
    <row r="396" customFormat="false" ht="15" hidden="false" customHeight="false" outlineLevel="0" collapsed="false">
      <c r="A396" s="43" t="s">
        <v>1645</v>
      </c>
      <c r="B396" s="44" t="s">
        <v>1646</v>
      </c>
      <c r="C396" s="43" t="s">
        <v>31</v>
      </c>
      <c r="D396" s="43" t="s">
        <v>69</v>
      </c>
      <c r="E396" s="43" t="s">
        <v>56</v>
      </c>
      <c r="F396" s="43" t="s">
        <v>79</v>
      </c>
      <c r="G396" s="45" t="n">
        <v>27422</v>
      </c>
      <c r="H396" s="45" t="n">
        <v>38670</v>
      </c>
      <c r="I396" s="46" t="n">
        <v>49000</v>
      </c>
      <c r="J396" s="47" t="n">
        <v>0.143</v>
      </c>
      <c r="K396" s="46" t="n">
        <f aca="false">J396*I396</f>
        <v>7007</v>
      </c>
      <c r="L396" s="46" t="n">
        <f aca="false">I396+K396</f>
        <v>56007</v>
      </c>
      <c r="M396" s="48" t="n">
        <v>19.1</v>
      </c>
      <c r="N396" s="49" t="n">
        <v>3.36</v>
      </c>
      <c r="O396" s="50" t="n">
        <v>0.734</v>
      </c>
      <c r="P396" s="51" t="n">
        <v>26</v>
      </c>
      <c r="Q396" s="51" t="n">
        <v>126</v>
      </c>
      <c r="R396" s="44" t="s">
        <v>1647</v>
      </c>
      <c r="S396" s="44" t="s">
        <v>1648</v>
      </c>
      <c r="T396" s="43" t="s">
        <v>66</v>
      </c>
    </row>
    <row r="397" customFormat="false" ht="15" hidden="false" customHeight="false" outlineLevel="0" collapsed="false">
      <c r="A397" s="34" t="s">
        <v>1649</v>
      </c>
      <c r="B397" s="35" t="s">
        <v>1650</v>
      </c>
      <c r="C397" s="34" t="s">
        <v>30</v>
      </c>
      <c r="D397" s="34" t="s">
        <v>142</v>
      </c>
      <c r="E397" s="34" t="s">
        <v>126</v>
      </c>
      <c r="F397" s="34" t="s">
        <v>137</v>
      </c>
      <c r="G397" s="36" t="n">
        <v>25542</v>
      </c>
      <c r="H397" s="36" t="n">
        <v>42257</v>
      </c>
      <c r="I397" s="37" t="n">
        <v>195000</v>
      </c>
      <c r="J397" s="38" t="n">
        <v>0.272</v>
      </c>
      <c r="K397" s="37" t="n">
        <f aca="false">J397*I397</f>
        <v>53040</v>
      </c>
      <c r="L397" s="37" t="n">
        <f aca="false">I397+K397</f>
        <v>248040</v>
      </c>
      <c r="M397" s="39" t="n">
        <v>9.3</v>
      </c>
      <c r="N397" s="40" t="n">
        <v>2.92</v>
      </c>
      <c r="O397" s="41" t="n">
        <v>0.74</v>
      </c>
      <c r="P397" s="42" t="n">
        <v>4</v>
      </c>
      <c r="Q397" s="42" t="n">
        <v>50</v>
      </c>
      <c r="R397" s="35" t="s">
        <v>1651</v>
      </c>
      <c r="S397" s="35" t="s">
        <v>1652</v>
      </c>
      <c r="T397" s="34" t="s">
        <v>66</v>
      </c>
    </row>
    <row r="398" customFormat="false" ht="15" hidden="false" customHeight="false" outlineLevel="0" collapsed="false">
      <c r="A398" s="43" t="s">
        <v>1653</v>
      </c>
      <c r="B398" s="44" t="s">
        <v>1654</v>
      </c>
      <c r="C398" s="43" t="s">
        <v>30</v>
      </c>
      <c r="D398" s="43" t="s">
        <v>69</v>
      </c>
      <c r="E398" s="43" t="s">
        <v>126</v>
      </c>
      <c r="F398" s="43" t="s">
        <v>79</v>
      </c>
      <c r="G398" s="45" t="n">
        <v>30575</v>
      </c>
      <c r="H398" s="45" t="n">
        <v>39619</v>
      </c>
      <c r="I398" s="46" t="n">
        <v>202000</v>
      </c>
      <c r="J398" s="47" t="n">
        <v>0.16</v>
      </c>
      <c r="K398" s="46" t="n">
        <f aca="false">J398*I398</f>
        <v>32320</v>
      </c>
      <c r="L398" s="46" t="n">
        <f aca="false">I398+K398</f>
        <v>234320</v>
      </c>
      <c r="M398" s="48" t="n">
        <v>16.5</v>
      </c>
      <c r="N398" s="49" t="n">
        <v>4.03</v>
      </c>
      <c r="O398" s="50" t="n">
        <v>0.934</v>
      </c>
      <c r="P398" s="51" t="n">
        <v>40</v>
      </c>
      <c r="Q398" s="51" t="n">
        <v>17</v>
      </c>
      <c r="R398" s="44" t="s">
        <v>1655</v>
      </c>
      <c r="S398" s="44" t="s">
        <v>1656</v>
      </c>
      <c r="T398" s="43" t="s">
        <v>82</v>
      </c>
    </row>
    <row r="399" customFormat="false" ht="15" hidden="false" customHeight="false" outlineLevel="0" collapsed="false">
      <c r="A399" s="34" t="s">
        <v>1657</v>
      </c>
      <c r="B399" s="35" t="s">
        <v>1658</v>
      </c>
      <c r="C399" s="34" t="s">
        <v>26</v>
      </c>
      <c r="D399" s="34" t="s">
        <v>113</v>
      </c>
      <c r="E399" s="34" t="s">
        <v>126</v>
      </c>
      <c r="F399" s="34" t="s">
        <v>57</v>
      </c>
      <c r="G399" s="36" t="n">
        <v>25855</v>
      </c>
      <c r="H399" s="36" t="n">
        <v>41355</v>
      </c>
      <c r="I399" s="37" t="n">
        <v>132000</v>
      </c>
      <c r="J399" s="38" t="n">
        <v>0.16</v>
      </c>
      <c r="K399" s="37" t="n">
        <f aca="false">J399*I399</f>
        <v>21120</v>
      </c>
      <c r="L399" s="37" t="n">
        <f aca="false">I399+K399</f>
        <v>153120</v>
      </c>
      <c r="M399" s="39" t="n">
        <v>11.8</v>
      </c>
      <c r="N399" s="40" t="n">
        <v>2.66</v>
      </c>
      <c r="O399" s="41" t="n">
        <v>0.896</v>
      </c>
      <c r="P399" s="42" t="n">
        <v>1</v>
      </c>
      <c r="Q399" s="42" t="n">
        <v>190</v>
      </c>
      <c r="R399" s="35" t="s">
        <v>1659</v>
      </c>
      <c r="S399" s="35" t="s">
        <v>1660</v>
      </c>
      <c r="T399" s="34" t="s">
        <v>82</v>
      </c>
    </row>
    <row r="400" customFormat="false" ht="15" hidden="false" customHeight="false" outlineLevel="0" collapsed="false">
      <c r="A400" s="43" t="s">
        <v>1661</v>
      </c>
      <c r="B400" s="44" t="s">
        <v>1662</v>
      </c>
      <c r="C400" s="43" t="s">
        <v>32</v>
      </c>
      <c r="D400" s="43" t="s">
        <v>85</v>
      </c>
      <c r="E400" s="43" t="s">
        <v>96</v>
      </c>
      <c r="F400" s="43" t="s">
        <v>79</v>
      </c>
      <c r="G400" s="45" t="n">
        <v>37247</v>
      </c>
      <c r="H400" s="45" t="n">
        <v>41165</v>
      </c>
      <c r="I400" s="46" t="n">
        <v>113000</v>
      </c>
      <c r="J400" s="47" t="n">
        <v>0.18</v>
      </c>
      <c r="K400" s="46" t="n">
        <f aca="false">J400*I400</f>
        <v>20340</v>
      </c>
      <c r="L400" s="46" t="n">
        <f aca="false">I400+K400</f>
        <v>133340</v>
      </c>
      <c r="M400" s="48" t="n">
        <v>12.3</v>
      </c>
      <c r="N400" s="49" t="n">
        <v>4.22</v>
      </c>
      <c r="O400" s="50" t="n">
        <v>0.885</v>
      </c>
      <c r="P400" s="51" t="n">
        <v>28</v>
      </c>
      <c r="Q400" s="51" t="n">
        <v>179</v>
      </c>
      <c r="R400" s="44" t="s">
        <v>1663</v>
      </c>
      <c r="S400" s="44" t="s">
        <v>1664</v>
      </c>
      <c r="T400" s="43" t="s">
        <v>82</v>
      </c>
    </row>
    <row r="401" customFormat="false" ht="15" hidden="false" customHeight="false" outlineLevel="0" collapsed="false">
      <c r="A401" s="34" t="s">
        <v>1665</v>
      </c>
      <c r="B401" s="35" t="s">
        <v>1666</v>
      </c>
      <c r="C401" s="34" t="s">
        <v>27</v>
      </c>
      <c r="D401" s="34" t="s">
        <v>113</v>
      </c>
      <c r="E401" s="34" t="s">
        <v>151</v>
      </c>
      <c r="F401" s="34" t="s">
        <v>79</v>
      </c>
      <c r="G401" s="36" t="n">
        <v>34249</v>
      </c>
      <c r="H401" s="36" t="n">
        <v>43986</v>
      </c>
      <c r="I401" s="37" t="n">
        <v>202000</v>
      </c>
      <c r="J401" s="38" t="n">
        <v>0.21</v>
      </c>
      <c r="K401" s="37" t="n">
        <f aca="false">J401*I401</f>
        <v>42420</v>
      </c>
      <c r="L401" s="37" t="n">
        <f aca="false">I401+K401</f>
        <v>244420</v>
      </c>
      <c r="M401" s="39" t="n">
        <v>4.6</v>
      </c>
      <c r="N401" s="40" t="n">
        <v>2.87</v>
      </c>
      <c r="O401" s="41" t="n">
        <v>0.948</v>
      </c>
      <c r="P401" s="42" t="n">
        <v>40</v>
      </c>
      <c r="Q401" s="42" t="n">
        <v>23</v>
      </c>
      <c r="R401" s="35" t="s">
        <v>1667</v>
      </c>
      <c r="S401" s="35" t="s">
        <v>1668</v>
      </c>
      <c r="T401" s="34" t="s">
        <v>66</v>
      </c>
    </row>
    <row r="402" customFormat="false" ht="15" hidden="false" customHeight="false" outlineLevel="0" collapsed="false">
      <c r="A402" s="43" t="s">
        <v>1669</v>
      </c>
      <c r="B402" s="44" t="s">
        <v>1670</v>
      </c>
      <c r="C402" s="43" t="s">
        <v>26</v>
      </c>
      <c r="D402" s="43" t="s">
        <v>69</v>
      </c>
      <c r="E402" s="43" t="s">
        <v>126</v>
      </c>
      <c r="F402" s="43" t="s">
        <v>137</v>
      </c>
      <c r="G402" s="45" t="n">
        <v>27763</v>
      </c>
      <c r="H402" s="45" t="n">
        <v>42741</v>
      </c>
      <c r="I402" s="46" t="n">
        <v>68000</v>
      </c>
      <c r="J402" s="47" t="n">
        <v>0.069</v>
      </c>
      <c r="K402" s="46" t="n">
        <f aca="false">J402*I402</f>
        <v>4692</v>
      </c>
      <c r="L402" s="46" t="n">
        <f aca="false">I402+K402</f>
        <v>72692</v>
      </c>
      <c r="M402" s="48" t="n">
        <v>8</v>
      </c>
      <c r="N402" s="49" t="n">
        <v>3.73</v>
      </c>
      <c r="O402" s="50" t="n">
        <v>0.772</v>
      </c>
      <c r="P402" s="51" t="n">
        <v>18</v>
      </c>
      <c r="Q402" s="51" t="n">
        <v>22</v>
      </c>
      <c r="R402" s="44" t="s">
        <v>1671</v>
      </c>
      <c r="S402" s="44" t="s">
        <v>1672</v>
      </c>
      <c r="T402" s="43" t="s">
        <v>60</v>
      </c>
    </row>
    <row r="403" customFormat="false" ht="15" hidden="false" customHeight="false" outlineLevel="0" collapsed="false">
      <c r="A403" s="34" t="s">
        <v>1673</v>
      </c>
      <c r="B403" s="35" t="s">
        <v>1674</v>
      </c>
      <c r="C403" s="34" t="s">
        <v>27</v>
      </c>
      <c r="D403" s="34" t="s">
        <v>69</v>
      </c>
      <c r="E403" s="34" t="s">
        <v>74</v>
      </c>
      <c r="F403" s="34" t="s">
        <v>137</v>
      </c>
      <c r="G403" s="36" t="n">
        <v>31659</v>
      </c>
      <c r="H403" s="36" t="n">
        <v>45313</v>
      </c>
      <c r="I403" s="37" t="n">
        <v>239000</v>
      </c>
      <c r="J403" s="38" t="n">
        <v>0.109</v>
      </c>
      <c r="K403" s="37" t="n">
        <f aca="false">J403*I403</f>
        <v>26051</v>
      </c>
      <c r="L403" s="37" t="n">
        <f aca="false">I403+K403</f>
        <v>265051</v>
      </c>
      <c r="M403" s="39" t="n">
        <v>0.9</v>
      </c>
      <c r="N403" s="40" t="n">
        <v>3.65</v>
      </c>
      <c r="O403" s="41" t="n">
        <v>0.94</v>
      </c>
      <c r="P403" s="42" t="n">
        <v>29</v>
      </c>
      <c r="Q403" s="42" t="n">
        <v>32</v>
      </c>
      <c r="R403" s="35" t="s">
        <v>1675</v>
      </c>
      <c r="S403" s="35" t="s">
        <v>1676</v>
      </c>
      <c r="T403" s="34" t="s">
        <v>66</v>
      </c>
    </row>
    <row r="404" customFormat="false" ht="15" hidden="false" customHeight="false" outlineLevel="0" collapsed="false">
      <c r="A404" s="43" t="s">
        <v>1677</v>
      </c>
      <c r="B404" s="44" t="s">
        <v>1678</v>
      </c>
      <c r="C404" s="43" t="s">
        <v>31</v>
      </c>
      <c r="D404" s="43" t="s">
        <v>95</v>
      </c>
      <c r="E404" s="43" t="s">
        <v>131</v>
      </c>
      <c r="F404" s="43" t="s">
        <v>137</v>
      </c>
      <c r="G404" s="45" t="n">
        <v>37300</v>
      </c>
      <c r="H404" s="45" t="n">
        <v>39246</v>
      </c>
      <c r="I404" s="46" t="n">
        <v>220000</v>
      </c>
      <c r="J404" s="47" t="n">
        <v>0.213</v>
      </c>
      <c r="K404" s="46" t="n">
        <f aca="false">J404*I404</f>
        <v>46860</v>
      </c>
      <c r="L404" s="46" t="n">
        <f aca="false">I404+K404</f>
        <v>266860</v>
      </c>
      <c r="M404" s="48" t="n">
        <v>17.6</v>
      </c>
      <c r="N404" s="49" t="n">
        <v>2.76</v>
      </c>
      <c r="O404" s="50" t="n">
        <v>0.824</v>
      </c>
      <c r="P404" s="51" t="n">
        <v>36</v>
      </c>
      <c r="Q404" s="51" t="n">
        <v>150</v>
      </c>
      <c r="R404" s="44" t="s">
        <v>1679</v>
      </c>
      <c r="S404" s="44" t="s">
        <v>1680</v>
      </c>
      <c r="T404" s="43" t="s">
        <v>66</v>
      </c>
    </row>
    <row r="405" customFormat="false" ht="15" hidden="false" customHeight="false" outlineLevel="0" collapsed="false">
      <c r="A405" s="34" t="s">
        <v>1681</v>
      </c>
      <c r="B405" s="35" t="s">
        <v>1682</v>
      </c>
      <c r="C405" s="34" t="s">
        <v>25</v>
      </c>
      <c r="D405" s="34" t="s">
        <v>85</v>
      </c>
      <c r="E405" s="34" t="s">
        <v>56</v>
      </c>
      <c r="F405" s="34" t="s">
        <v>79</v>
      </c>
      <c r="G405" s="36" t="n">
        <v>28294</v>
      </c>
      <c r="H405" s="36" t="n">
        <v>43915</v>
      </c>
      <c r="I405" s="37" t="n">
        <v>172000</v>
      </c>
      <c r="J405" s="38" t="n">
        <v>0.102</v>
      </c>
      <c r="K405" s="37" t="n">
        <f aca="false">J405*I405</f>
        <v>17544</v>
      </c>
      <c r="L405" s="37" t="n">
        <f aca="false">I405+K405</f>
        <v>189544</v>
      </c>
      <c r="M405" s="39" t="n">
        <v>4.8</v>
      </c>
      <c r="N405" s="40" t="n">
        <v>4.18</v>
      </c>
      <c r="O405" s="41" t="n">
        <v>0.985</v>
      </c>
      <c r="P405" s="42" t="n">
        <v>24</v>
      </c>
      <c r="Q405" s="42" t="n">
        <v>23</v>
      </c>
      <c r="R405" s="35" t="s">
        <v>1683</v>
      </c>
      <c r="S405" s="35" t="s">
        <v>1684</v>
      </c>
      <c r="T405" s="34" t="s">
        <v>66</v>
      </c>
    </row>
    <row r="406" customFormat="false" ht="15" hidden="false" customHeight="false" outlineLevel="0" collapsed="false">
      <c r="A406" s="43" t="s">
        <v>1685</v>
      </c>
      <c r="B406" s="44" t="s">
        <v>1686</v>
      </c>
      <c r="C406" s="43" t="s">
        <v>31</v>
      </c>
      <c r="D406" s="43" t="s">
        <v>95</v>
      </c>
      <c r="E406" s="43" t="s">
        <v>126</v>
      </c>
      <c r="F406" s="43" t="s">
        <v>79</v>
      </c>
      <c r="G406" s="45" t="n">
        <v>29761</v>
      </c>
      <c r="H406" s="45" t="n">
        <v>40530</v>
      </c>
      <c r="I406" s="46" t="n">
        <v>197000</v>
      </c>
      <c r="J406" s="47" t="n">
        <v>0.141</v>
      </c>
      <c r="K406" s="46" t="n">
        <f aca="false">J406*I406</f>
        <v>27777</v>
      </c>
      <c r="L406" s="46" t="n">
        <f aca="false">I406+K406</f>
        <v>224777</v>
      </c>
      <c r="M406" s="48" t="n">
        <v>14</v>
      </c>
      <c r="N406" s="49" t="n">
        <v>3.63</v>
      </c>
      <c r="O406" s="50" t="n">
        <v>0.729</v>
      </c>
      <c r="P406" s="51" t="n">
        <v>15</v>
      </c>
      <c r="Q406" s="51" t="n">
        <v>10</v>
      </c>
      <c r="R406" s="44" t="s">
        <v>1687</v>
      </c>
      <c r="S406" s="44" t="s">
        <v>1688</v>
      </c>
      <c r="T406" s="43" t="s">
        <v>66</v>
      </c>
    </row>
    <row r="407" customFormat="false" ht="15" hidden="false" customHeight="false" outlineLevel="0" collapsed="false">
      <c r="A407" s="34" t="s">
        <v>1689</v>
      </c>
      <c r="B407" s="35" t="s">
        <v>1690</v>
      </c>
      <c r="C407" s="34" t="s">
        <v>29</v>
      </c>
      <c r="D407" s="34" t="s">
        <v>85</v>
      </c>
      <c r="E407" s="34" t="s">
        <v>56</v>
      </c>
      <c r="F407" s="34" t="s">
        <v>79</v>
      </c>
      <c r="G407" s="36" t="n">
        <v>31236</v>
      </c>
      <c r="H407" s="36" t="n">
        <v>42917</v>
      </c>
      <c r="I407" s="37" t="n">
        <v>161000</v>
      </c>
      <c r="J407" s="38" t="n">
        <v>0.143</v>
      </c>
      <c r="K407" s="37" t="n">
        <f aca="false">J407*I407</f>
        <v>23023</v>
      </c>
      <c r="L407" s="37" t="n">
        <f aca="false">I407+K407</f>
        <v>184023</v>
      </c>
      <c r="M407" s="39" t="n">
        <v>7.5</v>
      </c>
      <c r="N407" s="40" t="n">
        <v>2.77</v>
      </c>
      <c r="O407" s="41" t="n">
        <v>0.969</v>
      </c>
      <c r="P407" s="42" t="n">
        <v>32</v>
      </c>
      <c r="Q407" s="42" t="n">
        <v>45</v>
      </c>
      <c r="R407" s="35" t="s">
        <v>1691</v>
      </c>
      <c r="S407" s="35" t="s">
        <v>1692</v>
      </c>
      <c r="T407" s="34" t="s">
        <v>82</v>
      </c>
    </row>
    <row r="408" customFormat="false" ht="15" hidden="false" customHeight="false" outlineLevel="0" collapsed="false">
      <c r="A408" s="43" t="s">
        <v>1693</v>
      </c>
      <c r="B408" s="44" t="s">
        <v>1694</v>
      </c>
      <c r="C408" s="43" t="s">
        <v>30</v>
      </c>
      <c r="D408" s="43" t="s">
        <v>55</v>
      </c>
      <c r="E408" s="43" t="s">
        <v>56</v>
      </c>
      <c r="F408" s="43" t="s">
        <v>79</v>
      </c>
      <c r="G408" s="45" t="n">
        <v>34046</v>
      </c>
      <c r="H408" s="45" t="n">
        <v>42947</v>
      </c>
      <c r="I408" s="46" t="n">
        <v>76000</v>
      </c>
      <c r="J408" s="47" t="n">
        <v>0.097</v>
      </c>
      <c r="K408" s="46" t="n">
        <f aca="false">J408*I408</f>
        <v>7372</v>
      </c>
      <c r="L408" s="46" t="n">
        <f aca="false">I408+K408</f>
        <v>83372</v>
      </c>
      <c r="M408" s="48" t="n">
        <v>7.4</v>
      </c>
      <c r="N408" s="49" t="n">
        <v>4.83</v>
      </c>
      <c r="O408" s="50" t="n">
        <v>0.818</v>
      </c>
      <c r="P408" s="51" t="n">
        <v>30</v>
      </c>
      <c r="Q408" s="51" t="n">
        <v>58</v>
      </c>
      <c r="R408" s="44" t="s">
        <v>1695</v>
      </c>
      <c r="S408" s="44" t="s">
        <v>1696</v>
      </c>
      <c r="T408" s="43" t="s">
        <v>82</v>
      </c>
    </row>
    <row r="409" customFormat="false" ht="15" hidden="false" customHeight="false" outlineLevel="0" collapsed="false">
      <c r="A409" s="34" t="s">
        <v>1697</v>
      </c>
      <c r="B409" s="35" t="s">
        <v>1698</v>
      </c>
      <c r="C409" s="34" t="s">
        <v>29</v>
      </c>
      <c r="D409" s="34" t="s">
        <v>55</v>
      </c>
      <c r="E409" s="34" t="s">
        <v>74</v>
      </c>
      <c r="F409" s="34" t="s">
        <v>57</v>
      </c>
      <c r="G409" s="36" t="n">
        <v>28037</v>
      </c>
      <c r="H409" s="36" t="n">
        <v>40504</v>
      </c>
      <c r="I409" s="37" t="n">
        <v>191000</v>
      </c>
      <c r="J409" s="38" t="n">
        <v>0.259</v>
      </c>
      <c r="K409" s="37" t="n">
        <f aca="false">J409*I409</f>
        <v>49469</v>
      </c>
      <c r="L409" s="37" t="n">
        <f aca="false">I409+K409</f>
        <v>240469</v>
      </c>
      <c r="M409" s="39" t="n">
        <v>14.1</v>
      </c>
      <c r="N409" s="40" t="n">
        <v>3.97</v>
      </c>
      <c r="O409" s="41" t="n">
        <v>0.932</v>
      </c>
      <c r="P409" s="42" t="n">
        <v>29</v>
      </c>
      <c r="Q409" s="42" t="n">
        <v>127</v>
      </c>
      <c r="R409" s="35" t="s">
        <v>1699</v>
      </c>
      <c r="S409" s="35" t="s">
        <v>1700</v>
      </c>
      <c r="T409" s="34" t="s">
        <v>82</v>
      </c>
    </row>
    <row r="410" customFormat="false" ht="15" hidden="false" customHeight="false" outlineLevel="0" collapsed="false">
      <c r="A410" s="43" t="s">
        <v>1701</v>
      </c>
      <c r="B410" s="44" t="s">
        <v>1702</v>
      </c>
      <c r="C410" s="43" t="s">
        <v>33</v>
      </c>
      <c r="D410" s="43" t="s">
        <v>69</v>
      </c>
      <c r="E410" s="43" t="s">
        <v>136</v>
      </c>
      <c r="F410" s="43" t="s">
        <v>137</v>
      </c>
      <c r="G410" s="45" t="n">
        <v>25929</v>
      </c>
      <c r="H410" s="45" t="n">
        <v>43862</v>
      </c>
      <c r="I410" s="46" t="n">
        <v>26000</v>
      </c>
      <c r="J410" s="47" t="n">
        <v>0.183</v>
      </c>
      <c r="K410" s="46" t="n">
        <f aca="false">J410*I410</f>
        <v>4758</v>
      </c>
      <c r="L410" s="46" t="n">
        <f aca="false">I410+K410</f>
        <v>30758</v>
      </c>
      <c r="M410" s="48" t="n">
        <v>4.9</v>
      </c>
      <c r="N410" s="49" t="n">
        <v>2.62</v>
      </c>
      <c r="O410" s="50" t="n">
        <v>0.981</v>
      </c>
      <c r="P410" s="51" t="n">
        <v>38</v>
      </c>
      <c r="Q410" s="51" t="n">
        <v>133</v>
      </c>
      <c r="R410" s="44" t="s">
        <v>1703</v>
      </c>
      <c r="S410" s="44" t="s">
        <v>1704</v>
      </c>
      <c r="T410" s="43" t="s">
        <v>60</v>
      </c>
    </row>
    <row r="411" customFormat="false" ht="15" hidden="false" customHeight="false" outlineLevel="0" collapsed="false">
      <c r="A411" s="34" t="s">
        <v>1705</v>
      </c>
      <c r="B411" s="35" t="s">
        <v>1706</v>
      </c>
      <c r="C411" s="34" t="s">
        <v>26</v>
      </c>
      <c r="D411" s="34" t="s">
        <v>142</v>
      </c>
      <c r="E411" s="34" t="s">
        <v>136</v>
      </c>
      <c r="F411" s="34" t="s">
        <v>79</v>
      </c>
      <c r="G411" s="36" t="n">
        <v>35556</v>
      </c>
      <c r="H411" s="36" t="n">
        <v>39719</v>
      </c>
      <c r="I411" s="37" t="n">
        <v>238000</v>
      </c>
      <c r="J411" s="38" t="n">
        <v>0.082</v>
      </c>
      <c r="K411" s="37" t="n">
        <f aca="false">J411*I411</f>
        <v>19516</v>
      </c>
      <c r="L411" s="37" t="n">
        <f aca="false">I411+K411</f>
        <v>257516</v>
      </c>
      <c r="M411" s="39" t="n">
        <v>16.3</v>
      </c>
      <c r="N411" s="40" t="n">
        <v>3.47</v>
      </c>
      <c r="O411" s="41" t="n">
        <v>0.88</v>
      </c>
      <c r="P411" s="42" t="n">
        <v>21</v>
      </c>
      <c r="Q411" s="42" t="n">
        <v>139</v>
      </c>
      <c r="R411" s="35" t="s">
        <v>1707</v>
      </c>
      <c r="S411" s="35" t="s">
        <v>1708</v>
      </c>
      <c r="T411" s="34" t="s">
        <v>66</v>
      </c>
    </row>
    <row r="412" customFormat="false" ht="15" hidden="false" customHeight="false" outlineLevel="0" collapsed="false">
      <c r="A412" s="43" t="s">
        <v>1709</v>
      </c>
      <c r="B412" s="44" t="s">
        <v>1710</v>
      </c>
      <c r="C412" s="43" t="s">
        <v>30</v>
      </c>
      <c r="D412" s="43" t="s">
        <v>69</v>
      </c>
      <c r="E412" s="43" t="s">
        <v>96</v>
      </c>
      <c r="F412" s="43" t="s">
        <v>137</v>
      </c>
      <c r="G412" s="45" t="n">
        <v>33712</v>
      </c>
      <c r="H412" s="45" t="n">
        <v>39070</v>
      </c>
      <c r="I412" s="46" t="n">
        <v>129000</v>
      </c>
      <c r="J412" s="47" t="n">
        <v>0.291</v>
      </c>
      <c r="K412" s="46" t="n">
        <f aca="false">J412*I412</f>
        <v>37539</v>
      </c>
      <c r="L412" s="46" t="n">
        <f aca="false">I412+K412</f>
        <v>166539</v>
      </c>
      <c r="M412" s="48" t="n">
        <v>18</v>
      </c>
      <c r="N412" s="49" t="n">
        <v>4.93</v>
      </c>
      <c r="O412" s="50" t="n">
        <v>0.836</v>
      </c>
      <c r="P412" s="51" t="n">
        <v>9</v>
      </c>
      <c r="Q412" s="51" t="n">
        <v>45</v>
      </c>
      <c r="R412" s="44" t="s">
        <v>1711</v>
      </c>
      <c r="S412" s="44" t="s">
        <v>1712</v>
      </c>
      <c r="T412" s="43" t="s">
        <v>66</v>
      </c>
    </row>
    <row r="413" customFormat="false" ht="15" hidden="false" customHeight="false" outlineLevel="0" collapsed="false">
      <c r="A413" s="34" t="s">
        <v>1713</v>
      </c>
      <c r="B413" s="35" t="s">
        <v>1714</v>
      </c>
      <c r="C413" s="34" t="s">
        <v>33</v>
      </c>
      <c r="D413" s="34" t="s">
        <v>142</v>
      </c>
      <c r="E413" s="34" t="s">
        <v>56</v>
      </c>
      <c r="F413" s="34" t="s">
        <v>79</v>
      </c>
      <c r="G413" s="36" t="n">
        <v>33608</v>
      </c>
      <c r="H413" s="36" t="n">
        <v>41047</v>
      </c>
      <c r="I413" s="37" t="n">
        <v>168000</v>
      </c>
      <c r="J413" s="38" t="n">
        <v>0.265</v>
      </c>
      <c r="K413" s="37" t="n">
        <f aca="false">J413*I413</f>
        <v>44520</v>
      </c>
      <c r="L413" s="37" t="n">
        <f aca="false">I413+K413</f>
        <v>212520</v>
      </c>
      <c r="M413" s="39" t="n">
        <v>12.6</v>
      </c>
      <c r="N413" s="40" t="n">
        <v>4.28</v>
      </c>
      <c r="O413" s="41" t="n">
        <v>0.981</v>
      </c>
      <c r="P413" s="42" t="n">
        <v>14</v>
      </c>
      <c r="Q413" s="42" t="n">
        <v>61</v>
      </c>
      <c r="R413" s="35" t="s">
        <v>1715</v>
      </c>
      <c r="S413" s="35" t="s">
        <v>1716</v>
      </c>
      <c r="T413" s="34" t="s">
        <v>66</v>
      </c>
    </row>
    <row r="414" customFormat="false" ht="15" hidden="false" customHeight="false" outlineLevel="0" collapsed="false">
      <c r="A414" s="43" t="s">
        <v>1717</v>
      </c>
      <c r="B414" s="44" t="s">
        <v>1718</v>
      </c>
      <c r="C414" s="43" t="s">
        <v>33</v>
      </c>
      <c r="D414" s="43" t="s">
        <v>142</v>
      </c>
      <c r="E414" s="43" t="s">
        <v>56</v>
      </c>
      <c r="F414" s="43" t="s">
        <v>79</v>
      </c>
      <c r="G414" s="45" t="n">
        <v>24662</v>
      </c>
      <c r="H414" s="45" t="n">
        <v>42896</v>
      </c>
      <c r="I414" s="46" t="n">
        <v>115000</v>
      </c>
      <c r="J414" s="47" t="n">
        <v>0.28</v>
      </c>
      <c r="K414" s="46" t="n">
        <f aca="false">J414*I414</f>
        <v>32200</v>
      </c>
      <c r="L414" s="46" t="n">
        <f aca="false">I414+K414</f>
        <v>147200</v>
      </c>
      <c r="M414" s="48" t="n">
        <v>7.6</v>
      </c>
      <c r="N414" s="49" t="n">
        <v>2.83</v>
      </c>
      <c r="O414" s="50" t="n">
        <v>0.913</v>
      </c>
      <c r="P414" s="51" t="n">
        <v>12</v>
      </c>
      <c r="Q414" s="51" t="n">
        <v>138</v>
      </c>
      <c r="R414" s="44" t="s">
        <v>1719</v>
      </c>
      <c r="S414" s="44" t="s">
        <v>1720</v>
      </c>
      <c r="T414" s="43" t="s">
        <v>60</v>
      </c>
    </row>
    <row r="415" customFormat="false" ht="15" hidden="false" customHeight="false" outlineLevel="0" collapsed="false">
      <c r="A415" s="34" t="s">
        <v>1721</v>
      </c>
      <c r="B415" s="35" t="s">
        <v>1722</v>
      </c>
      <c r="C415" s="34" t="s">
        <v>29</v>
      </c>
      <c r="D415" s="34" t="s">
        <v>142</v>
      </c>
      <c r="E415" s="34" t="s">
        <v>131</v>
      </c>
      <c r="F415" s="34" t="s">
        <v>137</v>
      </c>
      <c r="G415" s="36" t="n">
        <v>34241</v>
      </c>
      <c r="H415" s="36" t="n">
        <v>44546</v>
      </c>
      <c r="I415" s="37" t="n">
        <v>172000</v>
      </c>
      <c r="J415" s="38" t="n">
        <v>0.17</v>
      </c>
      <c r="K415" s="37" t="n">
        <f aca="false">J415*I415</f>
        <v>29240</v>
      </c>
      <c r="L415" s="37" t="n">
        <f aca="false">I415+K415</f>
        <v>201240</v>
      </c>
      <c r="M415" s="39" t="n">
        <v>3</v>
      </c>
      <c r="N415" s="40" t="n">
        <v>3.93</v>
      </c>
      <c r="O415" s="41" t="n">
        <v>0.9</v>
      </c>
      <c r="P415" s="42" t="n">
        <v>27</v>
      </c>
      <c r="Q415" s="42" t="n">
        <v>182</v>
      </c>
      <c r="R415" s="35" t="s">
        <v>1723</v>
      </c>
      <c r="S415" s="35" t="s">
        <v>1724</v>
      </c>
      <c r="T415" s="34" t="s">
        <v>82</v>
      </c>
    </row>
    <row r="416" customFormat="false" ht="15" hidden="false" customHeight="false" outlineLevel="0" collapsed="false">
      <c r="A416" s="43" t="s">
        <v>1725</v>
      </c>
      <c r="B416" s="44" t="s">
        <v>1726</v>
      </c>
      <c r="C416" s="43" t="s">
        <v>32</v>
      </c>
      <c r="D416" s="43" t="s">
        <v>95</v>
      </c>
      <c r="E416" s="43" t="s">
        <v>74</v>
      </c>
      <c r="F416" s="43" t="s">
        <v>57</v>
      </c>
      <c r="G416" s="45" t="n">
        <v>26785</v>
      </c>
      <c r="H416" s="45" t="n">
        <v>44967</v>
      </c>
      <c r="I416" s="46" t="n">
        <v>162000</v>
      </c>
      <c r="J416" s="47" t="n">
        <v>0.077</v>
      </c>
      <c r="K416" s="46" t="n">
        <f aca="false">J416*I416</f>
        <v>12474</v>
      </c>
      <c r="L416" s="46" t="n">
        <f aca="false">I416+K416</f>
        <v>174474</v>
      </c>
      <c r="M416" s="48" t="n">
        <v>1.9</v>
      </c>
      <c r="N416" s="49" t="n">
        <v>3.45</v>
      </c>
      <c r="O416" s="50" t="n">
        <v>0.716</v>
      </c>
      <c r="P416" s="51" t="n">
        <v>4</v>
      </c>
      <c r="Q416" s="51" t="n">
        <v>61</v>
      </c>
      <c r="R416" s="44" t="s">
        <v>1727</v>
      </c>
      <c r="S416" s="44" t="s">
        <v>1728</v>
      </c>
      <c r="T416" s="43" t="s">
        <v>66</v>
      </c>
    </row>
    <row r="417" customFormat="false" ht="15" hidden="false" customHeight="false" outlineLevel="0" collapsed="false">
      <c r="A417" s="34" t="s">
        <v>1729</v>
      </c>
      <c r="B417" s="35" t="s">
        <v>1730</v>
      </c>
      <c r="C417" s="34" t="s">
        <v>26</v>
      </c>
      <c r="D417" s="34" t="s">
        <v>95</v>
      </c>
      <c r="E417" s="34" t="s">
        <v>56</v>
      </c>
      <c r="F417" s="34" t="s">
        <v>57</v>
      </c>
      <c r="G417" s="36" t="n">
        <v>28121</v>
      </c>
      <c r="H417" s="36" t="n">
        <v>40424</v>
      </c>
      <c r="I417" s="37" t="n">
        <v>245000</v>
      </c>
      <c r="J417" s="38" t="n">
        <v>0.066</v>
      </c>
      <c r="K417" s="37" t="n">
        <f aca="false">J417*I417</f>
        <v>16170</v>
      </c>
      <c r="L417" s="37" t="n">
        <f aca="false">I417+K417</f>
        <v>261170</v>
      </c>
      <c r="M417" s="39" t="n">
        <v>14.3</v>
      </c>
      <c r="N417" s="40" t="n">
        <v>4.46</v>
      </c>
      <c r="O417" s="41" t="n">
        <v>0.761</v>
      </c>
      <c r="P417" s="42" t="n">
        <v>35</v>
      </c>
      <c r="Q417" s="42" t="n">
        <v>18</v>
      </c>
      <c r="R417" s="35" t="s">
        <v>1731</v>
      </c>
      <c r="S417" s="35" t="s">
        <v>1732</v>
      </c>
      <c r="T417" s="34" t="s">
        <v>66</v>
      </c>
    </row>
    <row r="418" customFormat="false" ht="15" hidden="false" customHeight="false" outlineLevel="0" collapsed="false">
      <c r="A418" s="43" t="s">
        <v>1733</v>
      </c>
      <c r="B418" s="44" t="s">
        <v>1734</v>
      </c>
      <c r="C418" s="43" t="s">
        <v>31</v>
      </c>
      <c r="D418" s="43" t="s">
        <v>55</v>
      </c>
      <c r="E418" s="43" t="s">
        <v>96</v>
      </c>
      <c r="F418" s="43" t="s">
        <v>79</v>
      </c>
      <c r="G418" s="45" t="n">
        <v>37862</v>
      </c>
      <c r="H418" s="45" t="n">
        <v>40628</v>
      </c>
      <c r="I418" s="46" t="n">
        <v>194000</v>
      </c>
      <c r="J418" s="47" t="n">
        <v>0.19</v>
      </c>
      <c r="K418" s="46" t="n">
        <f aca="false">J418*I418</f>
        <v>36860</v>
      </c>
      <c r="L418" s="46" t="n">
        <f aca="false">I418+K418</f>
        <v>230860</v>
      </c>
      <c r="M418" s="48" t="n">
        <v>13.8</v>
      </c>
      <c r="N418" s="49" t="n">
        <v>3.09</v>
      </c>
      <c r="O418" s="50" t="n">
        <v>0.935</v>
      </c>
      <c r="P418" s="51" t="n">
        <v>19</v>
      </c>
      <c r="Q418" s="51" t="n">
        <v>187</v>
      </c>
      <c r="R418" s="44" t="s">
        <v>1735</v>
      </c>
      <c r="S418" s="44" t="s">
        <v>1736</v>
      </c>
      <c r="T418" s="43" t="s">
        <v>82</v>
      </c>
    </row>
    <row r="419" customFormat="false" ht="15" hidden="false" customHeight="false" outlineLevel="0" collapsed="false">
      <c r="A419" s="34" t="s">
        <v>1737</v>
      </c>
      <c r="B419" s="35" t="s">
        <v>1738</v>
      </c>
      <c r="C419" s="34" t="s">
        <v>24</v>
      </c>
      <c r="D419" s="34" t="s">
        <v>113</v>
      </c>
      <c r="E419" s="34" t="s">
        <v>74</v>
      </c>
      <c r="F419" s="34" t="s">
        <v>137</v>
      </c>
      <c r="G419" s="36" t="n">
        <v>38092</v>
      </c>
      <c r="H419" s="36" t="n">
        <v>43383</v>
      </c>
      <c r="I419" s="37" t="n">
        <v>231000</v>
      </c>
      <c r="J419" s="38" t="n">
        <v>0.294</v>
      </c>
      <c r="K419" s="37" t="n">
        <f aca="false">J419*I419</f>
        <v>67914</v>
      </c>
      <c r="L419" s="37" t="n">
        <f aca="false">I419+K419</f>
        <v>298914</v>
      </c>
      <c r="M419" s="39" t="n">
        <v>6.2</v>
      </c>
      <c r="N419" s="40" t="n">
        <v>3.28</v>
      </c>
      <c r="O419" s="41" t="n">
        <v>0.866</v>
      </c>
      <c r="P419" s="42" t="n">
        <v>1</v>
      </c>
      <c r="Q419" s="42" t="n">
        <v>200</v>
      </c>
      <c r="R419" s="35" t="s">
        <v>1739</v>
      </c>
      <c r="S419" s="35" t="s">
        <v>1740</v>
      </c>
      <c r="T419" s="34" t="s">
        <v>66</v>
      </c>
    </row>
    <row r="420" customFormat="false" ht="15" hidden="false" customHeight="false" outlineLevel="0" collapsed="false">
      <c r="A420" s="43" t="s">
        <v>1741</v>
      </c>
      <c r="B420" s="44" t="s">
        <v>1742</v>
      </c>
      <c r="C420" s="43" t="s">
        <v>27</v>
      </c>
      <c r="D420" s="43" t="s">
        <v>69</v>
      </c>
      <c r="E420" s="43" t="s">
        <v>126</v>
      </c>
      <c r="F420" s="43" t="s">
        <v>57</v>
      </c>
      <c r="G420" s="45" t="n">
        <v>29180</v>
      </c>
      <c r="H420" s="45" t="n">
        <v>43179</v>
      </c>
      <c r="I420" s="46" t="n">
        <v>191000</v>
      </c>
      <c r="J420" s="47" t="n">
        <v>0.226</v>
      </c>
      <c r="K420" s="46" t="n">
        <f aca="false">J420*I420</f>
        <v>43166</v>
      </c>
      <c r="L420" s="46" t="n">
        <f aca="false">I420+K420</f>
        <v>234166</v>
      </c>
      <c r="M420" s="48" t="n">
        <v>6.8</v>
      </c>
      <c r="N420" s="49" t="n">
        <v>4.12</v>
      </c>
      <c r="O420" s="50" t="n">
        <v>0.927</v>
      </c>
      <c r="P420" s="51" t="n">
        <v>35</v>
      </c>
      <c r="Q420" s="51" t="n">
        <v>199</v>
      </c>
      <c r="R420" s="44" t="s">
        <v>1743</v>
      </c>
      <c r="S420" s="44" t="s">
        <v>1744</v>
      </c>
      <c r="T420" s="43" t="s">
        <v>60</v>
      </c>
    </row>
    <row r="421" customFormat="false" ht="15" hidden="false" customHeight="false" outlineLevel="0" collapsed="false">
      <c r="A421" s="34" t="s">
        <v>1745</v>
      </c>
      <c r="B421" s="35" t="s">
        <v>1746</v>
      </c>
      <c r="C421" s="34" t="s">
        <v>27</v>
      </c>
      <c r="D421" s="34" t="s">
        <v>85</v>
      </c>
      <c r="E421" s="34" t="s">
        <v>96</v>
      </c>
      <c r="F421" s="34" t="s">
        <v>137</v>
      </c>
      <c r="G421" s="36" t="n">
        <v>34025</v>
      </c>
      <c r="H421" s="36" t="n">
        <v>40425</v>
      </c>
      <c r="I421" s="37" t="n">
        <v>142000</v>
      </c>
      <c r="J421" s="38" t="n">
        <v>0.094</v>
      </c>
      <c r="K421" s="37" t="n">
        <f aca="false">J421*I421</f>
        <v>13348</v>
      </c>
      <c r="L421" s="37" t="n">
        <f aca="false">I421+K421</f>
        <v>155348</v>
      </c>
      <c r="M421" s="39" t="n">
        <v>14.3</v>
      </c>
      <c r="N421" s="40" t="n">
        <v>4.21</v>
      </c>
      <c r="O421" s="41" t="n">
        <v>0.756</v>
      </c>
      <c r="P421" s="42" t="n">
        <v>12</v>
      </c>
      <c r="Q421" s="42" t="n">
        <v>198</v>
      </c>
      <c r="R421" s="35" t="s">
        <v>1747</v>
      </c>
      <c r="S421" s="35" t="s">
        <v>1748</v>
      </c>
      <c r="T421" s="34" t="s">
        <v>60</v>
      </c>
    </row>
    <row r="422" customFormat="false" ht="15" hidden="false" customHeight="false" outlineLevel="0" collapsed="false">
      <c r="A422" s="43" t="s">
        <v>1749</v>
      </c>
      <c r="B422" s="44" t="s">
        <v>1750</v>
      </c>
      <c r="C422" s="43" t="s">
        <v>25</v>
      </c>
      <c r="D422" s="43" t="s">
        <v>113</v>
      </c>
      <c r="E422" s="43" t="s">
        <v>63</v>
      </c>
      <c r="F422" s="43" t="s">
        <v>137</v>
      </c>
      <c r="G422" s="45" t="n">
        <v>33093</v>
      </c>
      <c r="H422" s="45" t="n">
        <v>41229</v>
      </c>
      <c r="I422" s="46" t="n">
        <v>98000</v>
      </c>
      <c r="J422" s="47" t="n">
        <v>0.189</v>
      </c>
      <c r="K422" s="46" t="n">
        <f aca="false">J422*I422</f>
        <v>18522</v>
      </c>
      <c r="L422" s="46" t="n">
        <f aca="false">I422+K422</f>
        <v>116522</v>
      </c>
      <c r="M422" s="48" t="n">
        <v>12.1</v>
      </c>
      <c r="N422" s="49" t="n">
        <v>2.83</v>
      </c>
      <c r="O422" s="50" t="n">
        <v>0.875</v>
      </c>
      <c r="P422" s="51" t="n">
        <v>17</v>
      </c>
      <c r="Q422" s="51" t="n">
        <v>11</v>
      </c>
      <c r="R422" s="44" t="s">
        <v>1751</v>
      </c>
      <c r="S422" s="44" t="s">
        <v>1752</v>
      </c>
      <c r="T422" s="43" t="s">
        <v>66</v>
      </c>
    </row>
    <row r="423" customFormat="false" ht="15" hidden="false" customHeight="false" outlineLevel="0" collapsed="false">
      <c r="A423" s="34" t="s">
        <v>1753</v>
      </c>
      <c r="B423" s="35" t="s">
        <v>1754</v>
      </c>
      <c r="C423" s="34" t="s">
        <v>31</v>
      </c>
      <c r="D423" s="34" t="s">
        <v>142</v>
      </c>
      <c r="E423" s="34" t="s">
        <v>136</v>
      </c>
      <c r="F423" s="34" t="s">
        <v>57</v>
      </c>
      <c r="G423" s="36" t="n">
        <v>32551</v>
      </c>
      <c r="H423" s="36" t="n">
        <v>45382</v>
      </c>
      <c r="I423" s="37" t="n">
        <v>65000</v>
      </c>
      <c r="J423" s="38" t="n">
        <v>0.282</v>
      </c>
      <c r="K423" s="37" t="n">
        <f aca="false">J423*I423</f>
        <v>18330</v>
      </c>
      <c r="L423" s="37" t="n">
        <f aca="false">I423+K423</f>
        <v>83330</v>
      </c>
      <c r="M423" s="39" t="n">
        <v>0.8</v>
      </c>
      <c r="N423" s="40" t="n">
        <v>3.99</v>
      </c>
      <c r="O423" s="41" t="n">
        <v>0.932</v>
      </c>
      <c r="P423" s="42" t="n">
        <v>40</v>
      </c>
      <c r="Q423" s="42" t="n">
        <v>179</v>
      </c>
      <c r="R423" s="35" t="s">
        <v>1755</v>
      </c>
      <c r="S423" s="35" t="s">
        <v>1756</v>
      </c>
      <c r="T423" s="34" t="s">
        <v>66</v>
      </c>
    </row>
    <row r="424" customFormat="false" ht="15" hidden="false" customHeight="false" outlineLevel="0" collapsed="false">
      <c r="A424" s="43" t="s">
        <v>1757</v>
      </c>
      <c r="B424" s="44" t="s">
        <v>1758</v>
      </c>
      <c r="C424" s="43" t="s">
        <v>31</v>
      </c>
      <c r="D424" s="43" t="s">
        <v>85</v>
      </c>
      <c r="E424" s="43" t="s">
        <v>151</v>
      </c>
      <c r="F424" s="43" t="s">
        <v>57</v>
      </c>
      <c r="G424" s="45" t="n">
        <v>31632</v>
      </c>
      <c r="H424" s="45" t="n">
        <v>42516</v>
      </c>
      <c r="I424" s="46" t="n">
        <v>230000</v>
      </c>
      <c r="J424" s="47" t="n">
        <v>0.227</v>
      </c>
      <c r="K424" s="46" t="n">
        <f aca="false">J424*I424</f>
        <v>52210</v>
      </c>
      <c r="L424" s="46" t="n">
        <f aca="false">I424+K424</f>
        <v>282210</v>
      </c>
      <c r="M424" s="48" t="n">
        <v>8.6</v>
      </c>
      <c r="N424" s="49" t="n">
        <v>3.81</v>
      </c>
      <c r="O424" s="50" t="n">
        <v>0.987</v>
      </c>
      <c r="P424" s="51" t="n">
        <v>34</v>
      </c>
      <c r="Q424" s="51" t="n">
        <v>27</v>
      </c>
      <c r="R424" s="44" t="s">
        <v>1759</v>
      </c>
      <c r="S424" s="44" t="s">
        <v>1760</v>
      </c>
      <c r="T424" s="43" t="s">
        <v>60</v>
      </c>
    </row>
    <row r="425" customFormat="false" ht="15" hidden="false" customHeight="false" outlineLevel="0" collapsed="false">
      <c r="A425" s="34" t="s">
        <v>1761</v>
      </c>
      <c r="B425" s="35" t="s">
        <v>1762</v>
      </c>
      <c r="C425" s="34" t="s">
        <v>26</v>
      </c>
      <c r="D425" s="34" t="s">
        <v>113</v>
      </c>
      <c r="E425" s="34" t="s">
        <v>74</v>
      </c>
      <c r="F425" s="34" t="s">
        <v>57</v>
      </c>
      <c r="G425" s="36" t="n">
        <v>36127</v>
      </c>
      <c r="H425" s="36" t="n">
        <v>38602</v>
      </c>
      <c r="I425" s="37" t="n">
        <v>116000</v>
      </c>
      <c r="J425" s="38" t="n">
        <v>0.105</v>
      </c>
      <c r="K425" s="37" t="n">
        <f aca="false">J425*I425</f>
        <v>12180</v>
      </c>
      <c r="L425" s="37" t="n">
        <f aca="false">I425+K425</f>
        <v>128180</v>
      </c>
      <c r="M425" s="39" t="n">
        <v>19.3</v>
      </c>
      <c r="N425" s="40" t="n">
        <v>3.03</v>
      </c>
      <c r="O425" s="41" t="n">
        <v>0.8</v>
      </c>
      <c r="P425" s="42" t="n">
        <v>24</v>
      </c>
      <c r="Q425" s="42" t="n">
        <v>85</v>
      </c>
      <c r="R425" s="35" t="s">
        <v>1763</v>
      </c>
      <c r="S425" s="35" t="s">
        <v>1764</v>
      </c>
      <c r="T425" s="34" t="s">
        <v>66</v>
      </c>
    </row>
    <row r="426" customFormat="false" ht="15" hidden="false" customHeight="false" outlineLevel="0" collapsed="false">
      <c r="A426" s="43" t="s">
        <v>1765</v>
      </c>
      <c r="B426" s="44" t="s">
        <v>1766</v>
      </c>
      <c r="C426" s="43" t="s">
        <v>33</v>
      </c>
      <c r="D426" s="43" t="s">
        <v>69</v>
      </c>
      <c r="E426" s="43" t="s">
        <v>126</v>
      </c>
      <c r="F426" s="43" t="s">
        <v>79</v>
      </c>
      <c r="G426" s="45" t="n">
        <v>31683</v>
      </c>
      <c r="H426" s="45" t="n">
        <v>45373</v>
      </c>
      <c r="I426" s="46" t="n">
        <v>240000</v>
      </c>
      <c r="J426" s="47" t="n">
        <v>0.238</v>
      </c>
      <c r="K426" s="46" t="n">
        <f aca="false">J426*I426</f>
        <v>57120</v>
      </c>
      <c r="L426" s="46" t="n">
        <f aca="false">I426+K426</f>
        <v>297120</v>
      </c>
      <c r="M426" s="48" t="n">
        <v>0.8</v>
      </c>
      <c r="N426" s="49" t="n">
        <v>4.12</v>
      </c>
      <c r="O426" s="50" t="n">
        <v>0.734</v>
      </c>
      <c r="P426" s="51" t="n">
        <v>23</v>
      </c>
      <c r="Q426" s="51" t="n">
        <v>124</v>
      </c>
      <c r="R426" s="44" t="s">
        <v>1767</v>
      </c>
      <c r="S426" s="44" t="s">
        <v>1768</v>
      </c>
      <c r="T426" s="43" t="s">
        <v>66</v>
      </c>
    </row>
    <row r="427" customFormat="false" ht="15" hidden="false" customHeight="false" outlineLevel="0" collapsed="false">
      <c r="A427" s="34" t="s">
        <v>1769</v>
      </c>
      <c r="B427" s="35" t="s">
        <v>1770</v>
      </c>
      <c r="C427" s="34" t="s">
        <v>33</v>
      </c>
      <c r="D427" s="34" t="s">
        <v>69</v>
      </c>
      <c r="E427" s="34" t="s">
        <v>96</v>
      </c>
      <c r="F427" s="34" t="s">
        <v>57</v>
      </c>
      <c r="G427" s="36" t="n">
        <v>26356</v>
      </c>
      <c r="H427" s="36" t="n">
        <v>42783</v>
      </c>
      <c r="I427" s="37" t="n">
        <v>203000</v>
      </c>
      <c r="J427" s="38" t="n">
        <v>0.271</v>
      </c>
      <c r="K427" s="37" t="n">
        <f aca="false">J427*I427</f>
        <v>55013</v>
      </c>
      <c r="L427" s="37" t="n">
        <f aca="false">I427+K427</f>
        <v>258013</v>
      </c>
      <c r="M427" s="39" t="n">
        <v>7.9</v>
      </c>
      <c r="N427" s="40" t="n">
        <v>3.45</v>
      </c>
      <c r="O427" s="41" t="n">
        <v>0.939</v>
      </c>
      <c r="P427" s="42" t="n">
        <v>8</v>
      </c>
      <c r="Q427" s="42" t="n">
        <v>108</v>
      </c>
      <c r="R427" s="35" t="s">
        <v>1771</v>
      </c>
      <c r="S427" s="35" t="s">
        <v>1772</v>
      </c>
      <c r="T427" s="34" t="s">
        <v>66</v>
      </c>
    </row>
    <row r="428" customFormat="false" ht="15" hidden="false" customHeight="false" outlineLevel="0" collapsed="false">
      <c r="A428" s="43" t="s">
        <v>1773</v>
      </c>
      <c r="B428" s="44" t="s">
        <v>1774</v>
      </c>
      <c r="C428" s="43" t="s">
        <v>32</v>
      </c>
      <c r="D428" s="43" t="s">
        <v>142</v>
      </c>
      <c r="E428" s="43" t="s">
        <v>56</v>
      </c>
      <c r="F428" s="43" t="s">
        <v>57</v>
      </c>
      <c r="G428" s="45" t="n">
        <v>38032</v>
      </c>
      <c r="H428" s="45" t="n">
        <v>41440</v>
      </c>
      <c r="I428" s="46" t="n">
        <v>160000</v>
      </c>
      <c r="J428" s="47" t="n">
        <v>0.256</v>
      </c>
      <c r="K428" s="46" t="n">
        <f aca="false">J428*I428</f>
        <v>40960</v>
      </c>
      <c r="L428" s="46" t="n">
        <f aca="false">I428+K428</f>
        <v>200960</v>
      </c>
      <c r="M428" s="48" t="n">
        <v>11.5</v>
      </c>
      <c r="N428" s="49" t="n">
        <v>3.44</v>
      </c>
      <c r="O428" s="50" t="n">
        <v>0.941</v>
      </c>
      <c r="P428" s="51" t="n">
        <v>29</v>
      </c>
      <c r="Q428" s="51" t="n">
        <v>134</v>
      </c>
      <c r="R428" s="44" t="s">
        <v>1775</v>
      </c>
      <c r="S428" s="44" t="s">
        <v>1776</v>
      </c>
      <c r="T428" s="43" t="s">
        <v>66</v>
      </c>
    </row>
    <row r="429" customFormat="false" ht="15" hidden="false" customHeight="false" outlineLevel="0" collapsed="false">
      <c r="A429" s="34" t="s">
        <v>1777</v>
      </c>
      <c r="B429" s="35" t="s">
        <v>1778</v>
      </c>
      <c r="C429" s="34" t="s">
        <v>28</v>
      </c>
      <c r="D429" s="34" t="s">
        <v>142</v>
      </c>
      <c r="E429" s="34" t="s">
        <v>96</v>
      </c>
      <c r="F429" s="34" t="s">
        <v>137</v>
      </c>
      <c r="G429" s="36" t="n">
        <v>29717</v>
      </c>
      <c r="H429" s="36" t="n">
        <v>45250</v>
      </c>
      <c r="I429" s="37" t="n">
        <v>159000</v>
      </c>
      <c r="J429" s="38" t="n">
        <v>0.071</v>
      </c>
      <c r="K429" s="37" t="n">
        <f aca="false">J429*I429</f>
        <v>11289</v>
      </c>
      <c r="L429" s="37" t="n">
        <f aca="false">I429+K429</f>
        <v>170289</v>
      </c>
      <c r="M429" s="39" t="n">
        <v>1.1</v>
      </c>
      <c r="N429" s="40" t="n">
        <v>2.74</v>
      </c>
      <c r="O429" s="41" t="n">
        <v>0.991</v>
      </c>
      <c r="P429" s="42" t="n">
        <v>35</v>
      </c>
      <c r="Q429" s="42" t="n">
        <v>146</v>
      </c>
      <c r="R429" s="35" t="s">
        <v>1779</v>
      </c>
      <c r="S429" s="35" t="s">
        <v>1780</v>
      </c>
      <c r="T429" s="34" t="s">
        <v>66</v>
      </c>
    </row>
    <row r="430" customFormat="false" ht="15" hidden="false" customHeight="false" outlineLevel="0" collapsed="false">
      <c r="A430" s="43" t="s">
        <v>1781</v>
      </c>
      <c r="B430" s="44" t="s">
        <v>1782</v>
      </c>
      <c r="C430" s="43" t="s">
        <v>25</v>
      </c>
      <c r="D430" s="43" t="s">
        <v>90</v>
      </c>
      <c r="E430" s="43" t="s">
        <v>96</v>
      </c>
      <c r="F430" s="43" t="s">
        <v>79</v>
      </c>
      <c r="G430" s="45" t="n">
        <v>29285</v>
      </c>
      <c r="H430" s="45" t="n">
        <v>43631</v>
      </c>
      <c r="I430" s="46" t="n">
        <v>136000</v>
      </c>
      <c r="J430" s="47" t="n">
        <v>0.259</v>
      </c>
      <c r="K430" s="46" t="n">
        <f aca="false">J430*I430</f>
        <v>35224</v>
      </c>
      <c r="L430" s="46" t="n">
        <f aca="false">I430+K430</f>
        <v>171224</v>
      </c>
      <c r="M430" s="48" t="n">
        <v>5.5</v>
      </c>
      <c r="N430" s="49" t="n">
        <v>3.01</v>
      </c>
      <c r="O430" s="50" t="n">
        <v>0.949</v>
      </c>
      <c r="P430" s="51" t="n">
        <v>28</v>
      </c>
      <c r="Q430" s="51" t="n">
        <v>175</v>
      </c>
      <c r="R430" s="44" t="s">
        <v>1783</v>
      </c>
      <c r="S430" s="44" t="s">
        <v>1784</v>
      </c>
      <c r="T430" s="43" t="s">
        <v>66</v>
      </c>
    </row>
    <row r="431" customFormat="false" ht="15" hidden="false" customHeight="false" outlineLevel="0" collapsed="false">
      <c r="A431" s="34" t="s">
        <v>1785</v>
      </c>
      <c r="B431" s="35" t="s">
        <v>1786</v>
      </c>
      <c r="C431" s="34" t="s">
        <v>26</v>
      </c>
      <c r="D431" s="34" t="s">
        <v>55</v>
      </c>
      <c r="E431" s="34" t="s">
        <v>126</v>
      </c>
      <c r="F431" s="34" t="s">
        <v>79</v>
      </c>
      <c r="G431" s="36" t="n">
        <v>33786</v>
      </c>
      <c r="H431" s="36" t="n">
        <v>41330</v>
      </c>
      <c r="I431" s="37" t="n">
        <v>111000</v>
      </c>
      <c r="J431" s="38" t="n">
        <v>0.059</v>
      </c>
      <c r="K431" s="37" t="n">
        <f aca="false">J431*I431</f>
        <v>6549</v>
      </c>
      <c r="L431" s="37" t="n">
        <f aca="false">I431+K431</f>
        <v>117549</v>
      </c>
      <c r="M431" s="39" t="n">
        <v>11.8</v>
      </c>
      <c r="N431" s="40" t="n">
        <v>2.68</v>
      </c>
      <c r="O431" s="41" t="n">
        <v>0.753</v>
      </c>
      <c r="P431" s="42" t="n">
        <v>17</v>
      </c>
      <c r="Q431" s="42" t="n">
        <v>152</v>
      </c>
      <c r="R431" s="35" t="s">
        <v>1787</v>
      </c>
      <c r="S431" s="35" t="s">
        <v>1788</v>
      </c>
      <c r="T431" s="34" t="s">
        <v>66</v>
      </c>
    </row>
    <row r="432" customFormat="false" ht="15" hidden="false" customHeight="false" outlineLevel="0" collapsed="false">
      <c r="A432" s="43" t="s">
        <v>1789</v>
      </c>
      <c r="B432" s="44" t="s">
        <v>1790</v>
      </c>
      <c r="C432" s="43" t="s">
        <v>33</v>
      </c>
      <c r="D432" s="43" t="s">
        <v>85</v>
      </c>
      <c r="E432" s="43" t="s">
        <v>96</v>
      </c>
      <c r="F432" s="43" t="s">
        <v>137</v>
      </c>
      <c r="G432" s="45" t="n">
        <v>34667</v>
      </c>
      <c r="H432" s="45" t="n">
        <v>42298</v>
      </c>
      <c r="I432" s="46" t="n">
        <v>131000</v>
      </c>
      <c r="J432" s="47" t="n">
        <v>0.147</v>
      </c>
      <c r="K432" s="46" t="n">
        <f aca="false">J432*I432</f>
        <v>19257</v>
      </c>
      <c r="L432" s="46" t="n">
        <f aca="false">I432+K432</f>
        <v>150257</v>
      </c>
      <c r="M432" s="48" t="n">
        <v>9.2</v>
      </c>
      <c r="N432" s="49" t="n">
        <v>4.08</v>
      </c>
      <c r="O432" s="50" t="n">
        <v>0.83</v>
      </c>
      <c r="P432" s="51" t="n">
        <v>2</v>
      </c>
      <c r="Q432" s="51" t="n">
        <v>109</v>
      </c>
      <c r="R432" s="44" t="s">
        <v>1791</v>
      </c>
      <c r="S432" s="44" t="s">
        <v>1792</v>
      </c>
      <c r="T432" s="43" t="s">
        <v>82</v>
      </c>
    </row>
    <row r="433" customFormat="false" ht="15" hidden="false" customHeight="false" outlineLevel="0" collapsed="false">
      <c r="A433" s="34" t="s">
        <v>1793</v>
      </c>
      <c r="B433" s="35" t="s">
        <v>1794</v>
      </c>
      <c r="C433" s="34" t="s">
        <v>25</v>
      </c>
      <c r="D433" s="34" t="s">
        <v>69</v>
      </c>
      <c r="E433" s="34" t="s">
        <v>63</v>
      </c>
      <c r="F433" s="34" t="s">
        <v>79</v>
      </c>
      <c r="G433" s="36" t="n">
        <v>38056</v>
      </c>
      <c r="H433" s="36" t="n">
        <v>43060</v>
      </c>
      <c r="I433" s="37" t="n">
        <v>213000</v>
      </c>
      <c r="J433" s="38" t="n">
        <v>0.205</v>
      </c>
      <c r="K433" s="37" t="n">
        <f aca="false">J433*I433</f>
        <v>43665</v>
      </c>
      <c r="L433" s="37" t="n">
        <f aca="false">I433+K433</f>
        <v>256665</v>
      </c>
      <c r="M433" s="39" t="n">
        <v>7.1</v>
      </c>
      <c r="N433" s="40" t="n">
        <v>4.39</v>
      </c>
      <c r="O433" s="41" t="n">
        <v>0.876</v>
      </c>
      <c r="P433" s="42" t="n">
        <v>5</v>
      </c>
      <c r="Q433" s="42" t="n">
        <v>101</v>
      </c>
      <c r="R433" s="35" t="s">
        <v>1795</v>
      </c>
      <c r="S433" s="35" t="s">
        <v>1796</v>
      </c>
      <c r="T433" s="34" t="s">
        <v>60</v>
      </c>
    </row>
    <row r="434" customFormat="false" ht="15" hidden="false" customHeight="false" outlineLevel="0" collapsed="false">
      <c r="A434" s="43" t="s">
        <v>1797</v>
      </c>
      <c r="B434" s="44" t="s">
        <v>1798</v>
      </c>
      <c r="C434" s="43" t="s">
        <v>25</v>
      </c>
      <c r="D434" s="43" t="s">
        <v>95</v>
      </c>
      <c r="E434" s="43" t="s">
        <v>56</v>
      </c>
      <c r="F434" s="43" t="s">
        <v>79</v>
      </c>
      <c r="G434" s="45" t="n">
        <v>29187</v>
      </c>
      <c r="H434" s="45" t="n">
        <v>43187</v>
      </c>
      <c r="I434" s="46" t="n">
        <v>47000</v>
      </c>
      <c r="J434" s="47" t="n">
        <v>0.12</v>
      </c>
      <c r="K434" s="46" t="n">
        <f aca="false">J434*I434</f>
        <v>5640</v>
      </c>
      <c r="L434" s="46" t="n">
        <f aca="false">I434+K434</f>
        <v>52640</v>
      </c>
      <c r="M434" s="48" t="n">
        <v>6.8</v>
      </c>
      <c r="N434" s="49" t="n">
        <v>4.82</v>
      </c>
      <c r="O434" s="50" t="n">
        <v>0.814</v>
      </c>
      <c r="P434" s="51" t="n">
        <v>2</v>
      </c>
      <c r="Q434" s="51" t="n">
        <v>131</v>
      </c>
      <c r="R434" s="44" t="s">
        <v>1799</v>
      </c>
      <c r="S434" s="44" t="s">
        <v>1800</v>
      </c>
      <c r="T434" s="43" t="s">
        <v>66</v>
      </c>
    </row>
    <row r="435" customFormat="false" ht="15" hidden="false" customHeight="false" outlineLevel="0" collapsed="false">
      <c r="A435" s="34" t="s">
        <v>1801</v>
      </c>
      <c r="B435" s="35" t="s">
        <v>1802</v>
      </c>
      <c r="C435" s="34" t="s">
        <v>32</v>
      </c>
      <c r="D435" s="34" t="s">
        <v>90</v>
      </c>
      <c r="E435" s="34" t="s">
        <v>136</v>
      </c>
      <c r="F435" s="34" t="s">
        <v>79</v>
      </c>
      <c r="G435" s="36" t="n">
        <v>29427</v>
      </c>
      <c r="H435" s="36" t="n">
        <v>42735</v>
      </c>
      <c r="I435" s="37" t="n">
        <v>127000</v>
      </c>
      <c r="J435" s="38" t="n">
        <v>0.249</v>
      </c>
      <c r="K435" s="37" t="n">
        <f aca="false">J435*I435</f>
        <v>31623</v>
      </c>
      <c r="L435" s="37" t="n">
        <f aca="false">I435+K435</f>
        <v>158623</v>
      </c>
      <c r="M435" s="39" t="n">
        <v>8</v>
      </c>
      <c r="N435" s="40" t="n">
        <v>4.62</v>
      </c>
      <c r="O435" s="41" t="n">
        <v>0.788</v>
      </c>
      <c r="P435" s="42" t="n">
        <v>10</v>
      </c>
      <c r="Q435" s="42" t="n">
        <v>86</v>
      </c>
      <c r="R435" s="35" t="s">
        <v>1803</v>
      </c>
      <c r="S435" s="35" t="s">
        <v>1804</v>
      </c>
      <c r="T435" s="34" t="s">
        <v>82</v>
      </c>
    </row>
    <row r="436" customFormat="false" ht="15" hidden="false" customHeight="false" outlineLevel="0" collapsed="false">
      <c r="A436" s="43" t="s">
        <v>1805</v>
      </c>
      <c r="B436" s="44" t="s">
        <v>1806</v>
      </c>
      <c r="C436" s="43" t="s">
        <v>29</v>
      </c>
      <c r="D436" s="43" t="s">
        <v>55</v>
      </c>
      <c r="E436" s="43" t="s">
        <v>136</v>
      </c>
      <c r="F436" s="43" t="s">
        <v>57</v>
      </c>
      <c r="G436" s="45" t="n">
        <v>29678</v>
      </c>
      <c r="H436" s="45" t="n">
        <v>40948</v>
      </c>
      <c r="I436" s="46" t="n">
        <v>35000</v>
      </c>
      <c r="J436" s="47" t="n">
        <v>0.051</v>
      </c>
      <c r="K436" s="46" t="n">
        <f aca="false">J436*I436</f>
        <v>1785</v>
      </c>
      <c r="L436" s="46" t="n">
        <f aca="false">I436+K436</f>
        <v>36785</v>
      </c>
      <c r="M436" s="48" t="n">
        <v>12.9</v>
      </c>
      <c r="N436" s="49" t="n">
        <v>3.99</v>
      </c>
      <c r="O436" s="50" t="n">
        <v>0.861</v>
      </c>
      <c r="P436" s="51" t="n">
        <v>6</v>
      </c>
      <c r="Q436" s="51" t="n">
        <v>88</v>
      </c>
      <c r="R436" s="44" t="s">
        <v>1807</v>
      </c>
      <c r="S436" s="44" t="s">
        <v>1808</v>
      </c>
      <c r="T436" s="43" t="s">
        <v>66</v>
      </c>
    </row>
    <row r="437" customFormat="false" ht="15" hidden="false" customHeight="false" outlineLevel="0" collapsed="false">
      <c r="A437" s="34" t="s">
        <v>1809</v>
      </c>
      <c r="B437" s="35" t="s">
        <v>1810</v>
      </c>
      <c r="C437" s="34" t="s">
        <v>29</v>
      </c>
      <c r="D437" s="34" t="s">
        <v>90</v>
      </c>
      <c r="E437" s="34" t="s">
        <v>74</v>
      </c>
      <c r="F437" s="34" t="s">
        <v>79</v>
      </c>
      <c r="G437" s="36" t="n">
        <v>29952</v>
      </c>
      <c r="H437" s="36" t="n">
        <v>43649</v>
      </c>
      <c r="I437" s="37" t="n">
        <v>248000</v>
      </c>
      <c r="J437" s="38" t="n">
        <v>0.178</v>
      </c>
      <c r="K437" s="37" t="n">
        <f aca="false">J437*I437</f>
        <v>44144</v>
      </c>
      <c r="L437" s="37" t="n">
        <f aca="false">I437+K437</f>
        <v>292144</v>
      </c>
      <c r="M437" s="39" t="n">
        <v>5.5</v>
      </c>
      <c r="N437" s="40" t="n">
        <v>2.9</v>
      </c>
      <c r="O437" s="41" t="n">
        <v>0.766</v>
      </c>
      <c r="P437" s="42" t="n">
        <v>17</v>
      </c>
      <c r="Q437" s="42" t="n">
        <v>59</v>
      </c>
      <c r="R437" s="35" t="s">
        <v>1811</v>
      </c>
      <c r="S437" s="35" t="s">
        <v>1812</v>
      </c>
      <c r="T437" s="34" t="s">
        <v>66</v>
      </c>
    </row>
    <row r="438" customFormat="false" ht="15" hidden="false" customHeight="false" outlineLevel="0" collapsed="false">
      <c r="A438" s="43" t="s">
        <v>1813</v>
      </c>
      <c r="B438" s="44" t="s">
        <v>1814</v>
      </c>
      <c r="C438" s="43" t="s">
        <v>26</v>
      </c>
      <c r="D438" s="43" t="s">
        <v>142</v>
      </c>
      <c r="E438" s="43" t="s">
        <v>63</v>
      </c>
      <c r="F438" s="43" t="s">
        <v>79</v>
      </c>
      <c r="G438" s="45" t="n">
        <v>31377</v>
      </c>
      <c r="H438" s="45" t="n">
        <v>43816</v>
      </c>
      <c r="I438" s="46" t="n">
        <v>145000</v>
      </c>
      <c r="J438" s="47" t="n">
        <v>0.211</v>
      </c>
      <c r="K438" s="46" t="n">
        <f aca="false">J438*I438</f>
        <v>30595</v>
      </c>
      <c r="L438" s="46" t="n">
        <f aca="false">I438+K438</f>
        <v>175595</v>
      </c>
      <c r="M438" s="48" t="n">
        <v>5</v>
      </c>
      <c r="N438" s="49" t="n">
        <v>2.68</v>
      </c>
      <c r="O438" s="50" t="n">
        <v>0.902</v>
      </c>
      <c r="P438" s="51" t="n">
        <v>17</v>
      </c>
      <c r="Q438" s="51" t="n">
        <v>35</v>
      </c>
      <c r="R438" s="44" t="s">
        <v>1815</v>
      </c>
      <c r="S438" s="44" t="s">
        <v>1816</v>
      </c>
      <c r="T438" s="43" t="s">
        <v>66</v>
      </c>
    </row>
    <row r="439" customFormat="false" ht="15" hidden="false" customHeight="false" outlineLevel="0" collapsed="false">
      <c r="A439" s="34" t="s">
        <v>1817</v>
      </c>
      <c r="B439" s="35" t="s">
        <v>1818</v>
      </c>
      <c r="C439" s="34" t="s">
        <v>33</v>
      </c>
      <c r="D439" s="34" t="s">
        <v>113</v>
      </c>
      <c r="E439" s="34" t="s">
        <v>151</v>
      </c>
      <c r="F439" s="34" t="s">
        <v>137</v>
      </c>
      <c r="G439" s="36" t="n">
        <v>38057</v>
      </c>
      <c r="H439" s="36" t="n">
        <v>40114</v>
      </c>
      <c r="I439" s="37" t="n">
        <v>58000</v>
      </c>
      <c r="J439" s="38" t="n">
        <v>0.218</v>
      </c>
      <c r="K439" s="37" t="n">
        <f aca="false">J439*I439</f>
        <v>12644</v>
      </c>
      <c r="L439" s="37" t="n">
        <f aca="false">I439+K439</f>
        <v>70644</v>
      </c>
      <c r="M439" s="39" t="n">
        <v>15.2</v>
      </c>
      <c r="N439" s="40" t="n">
        <v>3.09</v>
      </c>
      <c r="O439" s="41" t="n">
        <v>0.786</v>
      </c>
      <c r="P439" s="42" t="n">
        <v>5</v>
      </c>
      <c r="Q439" s="42" t="n">
        <v>59</v>
      </c>
      <c r="R439" s="35" t="s">
        <v>1819</v>
      </c>
      <c r="S439" s="35" t="s">
        <v>1820</v>
      </c>
      <c r="T439" s="34" t="s">
        <v>66</v>
      </c>
    </row>
    <row r="440" customFormat="false" ht="15" hidden="false" customHeight="false" outlineLevel="0" collapsed="false">
      <c r="A440" s="43" t="s">
        <v>1821</v>
      </c>
      <c r="B440" s="44" t="s">
        <v>1822</v>
      </c>
      <c r="C440" s="43" t="s">
        <v>31</v>
      </c>
      <c r="D440" s="43" t="s">
        <v>113</v>
      </c>
      <c r="E440" s="43" t="s">
        <v>151</v>
      </c>
      <c r="F440" s="43" t="s">
        <v>79</v>
      </c>
      <c r="G440" s="45" t="n">
        <v>30381</v>
      </c>
      <c r="H440" s="45" t="n">
        <v>42742</v>
      </c>
      <c r="I440" s="46" t="n">
        <v>197000</v>
      </c>
      <c r="J440" s="47" t="n">
        <v>0.126</v>
      </c>
      <c r="K440" s="46" t="n">
        <f aca="false">J440*I440</f>
        <v>24822</v>
      </c>
      <c r="L440" s="46" t="n">
        <f aca="false">I440+K440</f>
        <v>221822</v>
      </c>
      <c r="M440" s="48" t="n">
        <v>8</v>
      </c>
      <c r="N440" s="49" t="n">
        <v>3.96</v>
      </c>
      <c r="O440" s="50" t="n">
        <v>0.87</v>
      </c>
      <c r="P440" s="51" t="n">
        <v>24</v>
      </c>
      <c r="Q440" s="51" t="n">
        <v>90</v>
      </c>
      <c r="R440" s="44" t="s">
        <v>1823</v>
      </c>
      <c r="S440" s="44" t="s">
        <v>1824</v>
      </c>
      <c r="T440" s="43" t="s">
        <v>66</v>
      </c>
    </row>
    <row r="441" customFormat="false" ht="15" hidden="false" customHeight="false" outlineLevel="0" collapsed="false">
      <c r="A441" s="34" t="s">
        <v>1825</v>
      </c>
      <c r="B441" s="35" t="s">
        <v>1826</v>
      </c>
      <c r="C441" s="34" t="s">
        <v>26</v>
      </c>
      <c r="D441" s="34" t="s">
        <v>55</v>
      </c>
      <c r="E441" s="34" t="s">
        <v>151</v>
      </c>
      <c r="F441" s="34" t="s">
        <v>57</v>
      </c>
      <c r="G441" s="36" t="n">
        <v>27076</v>
      </c>
      <c r="H441" s="36" t="n">
        <v>38356</v>
      </c>
      <c r="I441" s="37" t="n">
        <v>230000</v>
      </c>
      <c r="J441" s="38" t="n">
        <v>0.105</v>
      </c>
      <c r="K441" s="37" t="n">
        <f aca="false">J441*I441</f>
        <v>24150</v>
      </c>
      <c r="L441" s="37" t="n">
        <f aca="false">I441+K441</f>
        <v>254150</v>
      </c>
      <c r="M441" s="39" t="n">
        <v>20</v>
      </c>
      <c r="N441" s="40" t="n">
        <v>4.35</v>
      </c>
      <c r="O441" s="41" t="n">
        <v>0.831</v>
      </c>
      <c r="P441" s="42" t="n">
        <v>24</v>
      </c>
      <c r="Q441" s="42" t="n">
        <v>44</v>
      </c>
      <c r="R441" s="35" t="s">
        <v>1827</v>
      </c>
      <c r="S441" s="35" t="s">
        <v>1828</v>
      </c>
      <c r="T441" s="34" t="s">
        <v>82</v>
      </c>
    </row>
    <row r="442" customFormat="false" ht="15" hidden="false" customHeight="false" outlineLevel="0" collapsed="false">
      <c r="A442" s="43" t="s">
        <v>1829</v>
      </c>
      <c r="B442" s="44" t="s">
        <v>1830</v>
      </c>
      <c r="C442" s="43" t="s">
        <v>29</v>
      </c>
      <c r="D442" s="43" t="s">
        <v>113</v>
      </c>
      <c r="E442" s="43" t="s">
        <v>126</v>
      </c>
      <c r="F442" s="43" t="s">
        <v>137</v>
      </c>
      <c r="G442" s="45" t="n">
        <v>27839</v>
      </c>
      <c r="H442" s="45" t="n">
        <v>40317</v>
      </c>
      <c r="I442" s="46" t="n">
        <v>119000</v>
      </c>
      <c r="J442" s="47" t="n">
        <v>0.244</v>
      </c>
      <c r="K442" s="46" t="n">
        <f aca="false">J442*I442</f>
        <v>29036</v>
      </c>
      <c r="L442" s="46" t="n">
        <f aca="false">I442+K442</f>
        <v>148036</v>
      </c>
      <c r="M442" s="48" t="n">
        <v>14.6</v>
      </c>
      <c r="N442" s="49" t="n">
        <v>3.72</v>
      </c>
      <c r="O442" s="50" t="n">
        <v>0.733</v>
      </c>
      <c r="P442" s="51" t="n">
        <v>39</v>
      </c>
      <c r="Q442" s="51" t="n">
        <v>30</v>
      </c>
      <c r="R442" s="44" t="s">
        <v>1831</v>
      </c>
      <c r="S442" s="44" t="s">
        <v>1832</v>
      </c>
      <c r="T442" s="43" t="s">
        <v>66</v>
      </c>
    </row>
    <row r="443" customFormat="false" ht="15" hidden="false" customHeight="false" outlineLevel="0" collapsed="false">
      <c r="A443" s="34" t="s">
        <v>1833</v>
      </c>
      <c r="B443" s="35" t="s">
        <v>1834</v>
      </c>
      <c r="C443" s="34" t="s">
        <v>26</v>
      </c>
      <c r="D443" s="34" t="s">
        <v>69</v>
      </c>
      <c r="E443" s="34" t="s">
        <v>96</v>
      </c>
      <c r="F443" s="34" t="s">
        <v>137</v>
      </c>
      <c r="G443" s="36" t="n">
        <v>31831</v>
      </c>
      <c r="H443" s="36" t="n">
        <v>39447</v>
      </c>
      <c r="I443" s="37" t="n">
        <v>217000</v>
      </c>
      <c r="J443" s="38" t="n">
        <v>0.272</v>
      </c>
      <c r="K443" s="37" t="n">
        <f aca="false">J443*I443</f>
        <v>59024</v>
      </c>
      <c r="L443" s="37" t="n">
        <f aca="false">I443+K443</f>
        <v>276024</v>
      </c>
      <c r="M443" s="39" t="n">
        <v>17</v>
      </c>
      <c r="N443" s="40" t="n">
        <v>2.69</v>
      </c>
      <c r="O443" s="41" t="n">
        <v>0.723</v>
      </c>
      <c r="P443" s="42" t="n">
        <v>2</v>
      </c>
      <c r="Q443" s="42" t="n">
        <v>139</v>
      </c>
      <c r="R443" s="35" t="s">
        <v>1835</v>
      </c>
      <c r="S443" s="35" t="s">
        <v>1836</v>
      </c>
      <c r="T443" s="34" t="s">
        <v>82</v>
      </c>
    </row>
    <row r="444" customFormat="false" ht="15" hidden="false" customHeight="false" outlineLevel="0" collapsed="false">
      <c r="A444" s="43" t="s">
        <v>1837</v>
      </c>
      <c r="B444" s="44" t="s">
        <v>1838</v>
      </c>
      <c r="C444" s="43" t="s">
        <v>24</v>
      </c>
      <c r="D444" s="43" t="s">
        <v>85</v>
      </c>
      <c r="E444" s="43" t="s">
        <v>74</v>
      </c>
      <c r="F444" s="43" t="s">
        <v>79</v>
      </c>
      <c r="G444" s="45" t="n">
        <v>25234</v>
      </c>
      <c r="H444" s="45" t="n">
        <v>42384</v>
      </c>
      <c r="I444" s="46" t="n">
        <v>80000</v>
      </c>
      <c r="J444" s="47" t="n">
        <v>0.277</v>
      </c>
      <c r="K444" s="46" t="n">
        <f aca="false">J444*I444</f>
        <v>22160</v>
      </c>
      <c r="L444" s="46" t="n">
        <f aca="false">I444+K444</f>
        <v>102160</v>
      </c>
      <c r="M444" s="48" t="n">
        <v>9</v>
      </c>
      <c r="N444" s="49" t="n">
        <v>3.88</v>
      </c>
      <c r="O444" s="50" t="n">
        <v>0.863</v>
      </c>
      <c r="P444" s="51" t="n">
        <v>35</v>
      </c>
      <c r="Q444" s="51" t="n">
        <v>130</v>
      </c>
      <c r="R444" s="44" t="s">
        <v>1839</v>
      </c>
      <c r="S444" s="44" t="s">
        <v>1840</v>
      </c>
      <c r="T444" s="43" t="s">
        <v>82</v>
      </c>
    </row>
    <row r="445" customFormat="false" ht="15" hidden="false" customHeight="false" outlineLevel="0" collapsed="false">
      <c r="A445" s="34" t="s">
        <v>1841</v>
      </c>
      <c r="B445" s="35" t="s">
        <v>1842</v>
      </c>
      <c r="C445" s="34" t="s">
        <v>26</v>
      </c>
      <c r="D445" s="34" t="s">
        <v>95</v>
      </c>
      <c r="E445" s="34" t="s">
        <v>74</v>
      </c>
      <c r="F445" s="34" t="s">
        <v>57</v>
      </c>
      <c r="G445" s="36" t="n">
        <v>27107</v>
      </c>
      <c r="H445" s="36" t="n">
        <v>39492</v>
      </c>
      <c r="I445" s="37" t="n">
        <v>227000</v>
      </c>
      <c r="J445" s="38" t="n">
        <v>0.197</v>
      </c>
      <c r="K445" s="37" t="n">
        <f aca="false">J445*I445</f>
        <v>44719</v>
      </c>
      <c r="L445" s="37" t="n">
        <f aca="false">I445+K445</f>
        <v>271719</v>
      </c>
      <c r="M445" s="39" t="n">
        <v>16.9</v>
      </c>
      <c r="N445" s="40" t="n">
        <v>4.64</v>
      </c>
      <c r="O445" s="41" t="n">
        <v>0.74</v>
      </c>
      <c r="P445" s="42" t="n">
        <v>33</v>
      </c>
      <c r="Q445" s="42" t="n">
        <v>140</v>
      </c>
      <c r="R445" s="35" t="s">
        <v>1843</v>
      </c>
      <c r="S445" s="35" t="s">
        <v>1844</v>
      </c>
      <c r="T445" s="34" t="s">
        <v>66</v>
      </c>
    </row>
    <row r="446" customFormat="false" ht="15" hidden="false" customHeight="false" outlineLevel="0" collapsed="false">
      <c r="A446" s="43" t="s">
        <v>1845</v>
      </c>
      <c r="B446" s="44" t="s">
        <v>1846</v>
      </c>
      <c r="C446" s="43" t="s">
        <v>30</v>
      </c>
      <c r="D446" s="43" t="s">
        <v>95</v>
      </c>
      <c r="E446" s="43" t="s">
        <v>63</v>
      </c>
      <c r="F446" s="43" t="s">
        <v>79</v>
      </c>
      <c r="G446" s="45" t="n">
        <v>33264</v>
      </c>
      <c r="H446" s="45" t="n">
        <v>45060</v>
      </c>
      <c r="I446" s="46" t="n">
        <v>87000</v>
      </c>
      <c r="J446" s="47" t="n">
        <v>0.262</v>
      </c>
      <c r="K446" s="46" t="n">
        <f aca="false">J446*I446</f>
        <v>22794</v>
      </c>
      <c r="L446" s="46" t="n">
        <f aca="false">I446+K446</f>
        <v>109794</v>
      </c>
      <c r="M446" s="48" t="n">
        <v>1.6</v>
      </c>
      <c r="N446" s="49" t="n">
        <v>4.52</v>
      </c>
      <c r="O446" s="50" t="n">
        <v>0.884</v>
      </c>
      <c r="P446" s="51" t="n">
        <v>11</v>
      </c>
      <c r="Q446" s="51" t="n">
        <v>141</v>
      </c>
      <c r="R446" s="44" t="s">
        <v>1847</v>
      </c>
      <c r="S446" s="44" t="s">
        <v>1848</v>
      </c>
      <c r="T446" s="43" t="s">
        <v>66</v>
      </c>
    </row>
    <row r="447" customFormat="false" ht="15" hidden="false" customHeight="false" outlineLevel="0" collapsed="false">
      <c r="A447" s="34" t="s">
        <v>1849</v>
      </c>
      <c r="B447" s="35" t="s">
        <v>1850</v>
      </c>
      <c r="C447" s="34" t="s">
        <v>31</v>
      </c>
      <c r="D447" s="34" t="s">
        <v>90</v>
      </c>
      <c r="E447" s="34" t="s">
        <v>136</v>
      </c>
      <c r="F447" s="34" t="s">
        <v>79</v>
      </c>
      <c r="G447" s="36" t="n">
        <v>30138</v>
      </c>
      <c r="H447" s="36" t="n">
        <v>42706</v>
      </c>
      <c r="I447" s="37" t="n">
        <v>173000</v>
      </c>
      <c r="J447" s="38" t="n">
        <v>0.215</v>
      </c>
      <c r="K447" s="37" t="n">
        <f aca="false">J447*I447</f>
        <v>37195</v>
      </c>
      <c r="L447" s="37" t="n">
        <f aca="false">I447+K447</f>
        <v>210195</v>
      </c>
      <c r="M447" s="39" t="n">
        <v>8.1</v>
      </c>
      <c r="N447" s="40" t="n">
        <v>4.92</v>
      </c>
      <c r="O447" s="41" t="n">
        <v>0.921</v>
      </c>
      <c r="P447" s="42" t="n">
        <v>31</v>
      </c>
      <c r="Q447" s="42" t="n">
        <v>101</v>
      </c>
      <c r="R447" s="35" t="s">
        <v>1851</v>
      </c>
      <c r="S447" s="35" t="s">
        <v>1852</v>
      </c>
      <c r="T447" s="34" t="s">
        <v>66</v>
      </c>
    </row>
    <row r="448" customFormat="false" ht="15" hidden="false" customHeight="false" outlineLevel="0" collapsed="false">
      <c r="A448" s="43" t="s">
        <v>1853</v>
      </c>
      <c r="B448" s="44" t="s">
        <v>1854</v>
      </c>
      <c r="C448" s="43" t="s">
        <v>27</v>
      </c>
      <c r="D448" s="43" t="s">
        <v>85</v>
      </c>
      <c r="E448" s="43" t="s">
        <v>126</v>
      </c>
      <c r="F448" s="43" t="s">
        <v>57</v>
      </c>
      <c r="G448" s="45" t="n">
        <v>29002</v>
      </c>
      <c r="H448" s="45" t="n">
        <v>39804</v>
      </c>
      <c r="I448" s="46" t="n">
        <v>41000</v>
      </c>
      <c r="J448" s="47" t="n">
        <v>0.116</v>
      </c>
      <c r="K448" s="46" t="n">
        <f aca="false">J448*I448</f>
        <v>4756</v>
      </c>
      <c r="L448" s="46" t="n">
        <f aca="false">I448+K448</f>
        <v>45756</v>
      </c>
      <c r="M448" s="48" t="n">
        <v>16</v>
      </c>
      <c r="N448" s="49" t="n">
        <v>3.09</v>
      </c>
      <c r="O448" s="50" t="n">
        <v>0.901</v>
      </c>
      <c r="P448" s="51" t="n">
        <v>34</v>
      </c>
      <c r="Q448" s="51" t="n">
        <v>102</v>
      </c>
      <c r="R448" s="44" t="s">
        <v>1855</v>
      </c>
      <c r="S448" s="44" t="s">
        <v>1856</v>
      </c>
      <c r="T448" s="43" t="s">
        <v>66</v>
      </c>
    </row>
    <row r="449" customFormat="false" ht="15" hidden="false" customHeight="false" outlineLevel="0" collapsed="false">
      <c r="A449" s="34" t="s">
        <v>1857</v>
      </c>
      <c r="B449" s="35" t="s">
        <v>1858</v>
      </c>
      <c r="C449" s="34" t="s">
        <v>31</v>
      </c>
      <c r="D449" s="34" t="s">
        <v>113</v>
      </c>
      <c r="E449" s="34" t="s">
        <v>63</v>
      </c>
      <c r="F449" s="34" t="s">
        <v>57</v>
      </c>
      <c r="G449" s="36" t="n">
        <v>24904</v>
      </c>
      <c r="H449" s="36" t="n">
        <v>39512</v>
      </c>
      <c r="I449" s="37" t="n">
        <v>195000</v>
      </c>
      <c r="J449" s="38" t="n">
        <v>0.131</v>
      </c>
      <c r="K449" s="37" t="n">
        <f aca="false">J449*I449</f>
        <v>25545</v>
      </c>
      <c r="L449" s="37" t="n">
        <f aca="false">I449+K449</f>
        <v>220545</v>
      </c>
      <c r="M449" s="39" t="n">
        <v>16.8</v>
      </c>
      <c r="N449" s="40" t="n">
        <v>4.26</v>
      </c>
      <c r="O449" s="41" t="n">
        <v>0.856</v>
      </c>
      <c r="P449" s="42" t="n">
        <v>18</v>
      </c>
      <c r="Q449" s="42" t="n">
        <v>199</v>
      </c>
      <c r="R449" s="35" t="s">
        <v>1859</v>
      </c>
      <c r="S449" s="35" t="s">
        <v>1860</v>
      </c>
      <c r="T449" s="34" t="s">
        <v>66</v>
      </c>
    </row>
    <row r="450" customFormat="false" ht="15" hidden="false" customHeight="false" outlineLevel="0" collapsed="false">
      <c r="A450" s="43" t="s">
        <v>1861</v>
      </c>
      <c r="B450" s="44" t="s">
        <v>1862</v>
      </c>
      <c r="C450" s="43" t="s">
        <v>33</v>
      </c>
      <c r="D450" s="43" t="s">
        <v>69</v>
      </c>
      <c r="E450" s="43" t="s">
        <v>136</v>
      </c>
      <c r="F450" s="43" t="s">
        <v>137</v>
      </c>
      <c r="G450" s="45" t="n">
        <v>27976</v>
      </c>
      <c r="H450" s="45" t="n">
        <v>38948</v>
      </c>
      <c r="I450" s="46" t="n">
        <v>196000</v>
      </c>
      <c r="J450" s="47" t="n">
        <v>0.145</v>
      </c>
      <c r="K450" s="46" t="n">
        <f aca="false">J450*I450</f>
        <v>28420</v>
      </c>
      <c r="L450" s="46" t="n">
        <f aca="false">I450+K450</f>
        <v>224420</v>
      </c>
      <c r="M450" s="48" t="n">
        <v>18.4</v>
      </c>
      <c r="N450" s="49" t="n">
        <v>3.97</v>
      </c>
      <c r="O450" s="50" t="n">
        <v>0.969</v>
      </c>
      <c r="P450" s="51" t="n">
        <v>5</v>
      </c>
      <c r="Q450" s="51" t="n">
        <v>142</v>
      </c>
      <c r="R450" s="44" t="s">
        <v>1863</v>
      </c>
      <c r="S450" s="44" t="s">
        <v>1864</v>
      </c>
      <c r="T450" s="43" t="s">
        <v>66</v>
      </c>
    </row>
    <row r="451" customFormat="false" ht="15" hidden="false" customHeight="false" outlineLevel="0" collapsed="false">
      <c r="A451" s="34" t="s">
        <v>1865</v>
      </c>
      <c r="B451" s="35" t="s">
        <v>1866</v>
      </c>
      <c r="C451" s="34" t="s">
        <v>30</v>
      </c>
      <c r="D451" s="34" t="s">
        <v>90</v>
      </c>
      <c r="E451" s="34" t="s">
        <v>74</v>
      </c>
      <c r="F451" s="34" t="s">
        <v>137</v>
      </c>
      <c r="G451" s="36" t="n">
        <v>24906</v>
      </c>
      <c r="H451" s="36" t="n">
        <v>38670</v>
      </c>
      <c r="I451" s="37" t="n">
        <v>239000</v>
      </c>
      <c r="J451" s="38" t="n">
        <v>0.267</v>
      </c>
      <c r="K451" s="37" t="n">
        <f aca="false">J451*I451</f>
        <v>63813</v>
      </c>
      <c r="L451" s="37" t="n">
        <f aca="false">I451+K451</f>
        <v>302813</v>
      </c>
      <c r="M451" s="39" t="n">
        <v>19.1</v>
      </c>
      <c r="N451" s="40" t="n">
        <v>3.72</v>
      </c>
      <c r="O451" s="41" t="n">
        <v>0.845</v>
      </c>
      <c r="P451" s="42" t="n">
        <v>39</v>
      </c>
      <c r="Q451" s="42" t="n">
        <v>11</v>
      </c>
      <c r="R451" s="35" t="s">
        <v>1867</v>
      </c>
      <c r="S451" s="35" t="s">
        <v>1868</v>
      </c>
      <c r="T451" s="34" t="s">
        <v>60</v>
      </c>
    </row>
    <row r="452" customFormat="false" ht="15" hidden="false" customHeight="false" outlineLevel="0" collapsed="false">
      <c r="A452" s="43" t="s">
        <v>1869</v>
      </c>
      <c r="B452" s="44" t="s">
        <v>1870</v>
      </c>
      <c r="C452" s="43" t="s">
        <v>26</v>
      </c>
      <c r="D452" s="43" t="s">
        <v>113</v>
      </c>
      <c r="E452" s="43" t="s">
        <v>136</v>
      </c>
      <c r="F452" s="43" t="s">
        <v>57</v>
      </c>
      <c r="G452" s="45" t="n">
        <v>38010</v>
      </c>
      <c r="H452" s="45" t="n">
        <v>39951</v>
      </c>
      <c r="I452" s="46" t="n">
        <v>45000</v>
      </c>
      <c r="J452" s="47" t="n">
        <v>0.179</v>
      </c>
      <c r="K452" s="46" t="n">
        <f aca="false">J452*I452</f>
        <v>8055</v>
      </c>
      <c r="L452" s="46" t="n">
        <f aca="false">I452+K452</f>
        <v>53055</v>
      </c>
      <c r="M452" s="48" t="n">
        <v>15.6</v>
      </c>
      <c r="N452" s="49" t="n">
        <v>3.2</v>
      </c>
      <c r="O452" s="50" t="n">
        <v>0.745</v>
      </c>
      <c r="P452" s="51" t="n">
        <v>11</v>
      </c>
      <c r="Q452" s="51" t="n">
        <v>102</v>
      </c>
      <c r="R452" s="44" t="s">
        <v>1871</v>
      </c>
      <c r="S452" s="44" t="s">
        <v>1872</v>
      </c>
      <c r="T452" s="43" t="s">
        <v>60</v>
      </c>
    </row>
    <row r="453" customFormat="false" ht="15" hidden="false" customHeight="false" outlineLevel="0" collapsed="false">
      <c r="A453" s="34" t="s">
        <v>1873</v>
      </c>
      <c r="B453" s="35" t="s">
        <v>1874</v>
      </c>
      <c r="C453" s="34" t="s">
        <v>25</v>
      </c>
      <c r="D453" s="34" t="s">
        <v>142</v>
      </c>
      <c r="E453" s="34" t="s">
        <v>96</v>
      </c>
      <c r="F453" s="34" t="s">
        <v>137</v>
      </c>
      <c r="G453" s="36" t="n">
        <v>29328</v>
      </c>
      <c r="H453" s="36" t="n">
        <v>39092</v>
      </c>
      <c r="I453" s="37" t="n">
        <v>237000</v>
      </c>
      <c r="J453" s="38" t="n">
        <v>0.133</v>
      </c>
      <c r="K453" s="37" t="n">
        <f aca="false">J453*I453</f>
        <v>31521</v>
      </c>
      <c r="L453" s="37" t="n">
        <f aca="false">I453+K453</f>
        <v>268521</v>
      </c>
      <c r="M453" s="39" t="n">
        <v>18</v>
      </c>
      <c r="N453" s="40" t="n">
        <v>2.78</v>
      </c>
      <c r="O453" s="41" t="n">
        <v>0.903</v>
      </c>
      <c r="P453" s="42" t="n">
        <v>31</v>
      </c>
      <c r="Q453" s="42" t="n">
        <v>63</v>
      </c>
      <c r="R453" s="35" t="s">
        <v>1875</v>
      </c>
      <c r="S453" s="35" t="s">
        <v>1876</v>
      </c>
      <c r="T453" s="34" t="s">
        <v>60</v>
      </c>
    </row>
    <row r="454" customFormat="false" ht="15" hidden="false" customHeight="false" outlineLevel="0" collapsed="false">
      <c r="A454" s="43" t="s">
        <v>1877</v>
      </c>
      <c r="B454" s="44" t="s">
        <v>1878</v>
      </c>
      <c r="C454" s="43" t="s">
        <v>26</v>
      </c>
      <c r="D454" s="43" t="s">
        <v>142</v>
      </c>
      <c r="E454" s="43" t="s">
        <v>74</v>
      </c>
      <c r="F454" s="43" t="s">
        <v>57</v>
      </c>
      <c r="G454" s="45" t="n">
        <v>27078</v>
      </c>
      <c r="H454" s="45" t="n">
        <v>41094</v>
      </c>
      <c r="I454" s="46" t="n">
        <v>88000</v>
      </c>
      <c r="J454" s="47" t="n">
        <v>0.061</v>
      </c>
      <c r="K454" s="46" t="n">
        <f aca="false">J454*I454</f>
        <v>5368</v>
      </c>
      <c r="L454" s="46" t="n">
        <f aca="false">I454+K454</f>
        <v>93368</v>
      </c>
      <c r="M454" s="48" t="n">
        <v>12.5</v>
      </c>
      <c r="N454" s="49" t="n">
        <v>3.93</v>
      </c>
      <c r="O454" s="50" t="n">
        <v>0.748</v>
      </c>
      <c r="P454" s="51" t="n">
        <v>33</v>
      </c>
      <c r="Q454" s="51" t="n">
        <v>20</v>
      </c>
      <c r="R454" s="44" t="s">
        <v>1879</v>
      </c>
      <c r="S454" s="44" t="s">
        <v>1880</v>
      </c>
      <c r="T454" s="43" t="s">
        <v>60</v>
      </c>
    </row>
    <row r="455" customFormat="false" ht="15" hidden="false" customHeight="false" outlineLevel="0" collapsed="false">
      <c r="A455" s="34" t="s">
        <v>1881</v>
      </c>
      <c r="B455" s="35" t="s">
        <v>1882</v>
      </c>
      <c r="C455" s="34" t="s">
        <v>26</v>
      </c>
      <c r="D455" s="34" t="s">
        <v>55</v>
      </c>
      <c r="E455" s="34" t="s">
        <v>136</v>
      </c>
      <c r="F455" s="34" t="s">
        <v>137</v>
      </c>
      <c r="G455" s="36" t="n">
        <v>25750</v>
      </c>
      <c r="H455" s="36" t="n">
        <v>43443</v>
      </c>
      <c r="I455" s="37" t="n">
        <v>72000</v>
      </c>
      <c r="J455" s="38" t="n">
        <v>0.179</v>
      </c>
      <c r="K455" s="37" t="n">
        <f aca="false">J455*I455</f>
        <v>12888</v>
      </c>
      <c r="L455" s="37" t="n">
        <f aca="false">I455+K455</f>
        <v>84888</v>
      </c>
      <c r="M455" s="39" t="n">
        <v>6.1</v>
      </c>
      <c r="N455" s="40" t="n">
        <v>3.51</v>
      </c>
      <c r="O455" s="41" t="n">
        <v>0.991</v>
      </c>
      <c r="P455" s="42" t="n">
        <v>2</v>
      </c>
      <c r="Q455" s="42" t="n">
        <v>194</v>
      </c>
      <c r="R455" s="35" t="s">
        <v>1883</v>
      </c>
      <c r="S455" s="35" t="s">
        <v>1884</v>
      </c>
      <c r="T455" s="34" t="s">
        <v>82</v>
      </c>
    </row>
    <row r="456" customFormat="false" ht="15" hidden="false" customHeight="false" outlineLevel="0" collapsed="false">
      <c r="A456" s="43" t="s">
        <v>1885</v>
      </c>
      <c r="B456" s="44" t="s">
        <v>1886</v>
      </c>
      <c r="C456" s="43" t="s">
        <v>28</v>
      </c>
      <c r="D456" s="43" t="s">
        <v>55</v>
      </c>
      <c r="E456" s="43" t="s">
        <v>96</v>
      </c>
      <c r="F456" s="43" t="s">
        <v>137</v>
      </c>
      <c r="G456" s="45" t="n">
        <v>28602</v>
      </c>
      <c r="H456" s="45" t="n">
        <v>39379</v>
      </c>
      <c r="I456" s="46" t="n">
        <v>183000</v>
      </c>
      <c r="J456" s="47" t="n">
        <v>0.298</v>
      </c>
      <c r="K456" s="46" t="n">
        <f aca="false">J456*I456</f>
        <v>54534</v>
      </c>
      <c r="L456" s="46" t="n">
        <f aca="false">I456+K456</f>
        <v>237534</v>
      </c>
      <c r="M456" s="48" t="n">
        <v>17.2</v>
      </c>
      <c r="N456" s="49" t="n">
        <v>4.67</v>
      </c>
      <c r="O456" s="50" t="n">
        <v>0.751</v>
      </c>
      <c r="P456" s="51" t="n">
        <v>27</v>
      </c>
      <c r="Q456" s="51" t="n">
        <v>163</v>
      </c>
      <c r="R456" s="44" t="s">
        <v>1887</v>
      </c>
      <c r="S456" s="44" t="s">
        <v>1888</v>
      </c>
      <c r="T456" s="43" t="s">
        <v>66</v>
      </c>
    </row>
    <row r="457" customFormat="false" ht="15" hidden="false" customHeight="false" outlineLevel="0" collapsed="false">
      <c r="A457" s="34" t="s">
        <v>1889</v>
      </c>
      <c r="B457" s="35" t="s">
        <v>1890</v>
      </c>
      <c r="C457" s="34" t="s">
        <v>33</v>
      </c>
      <c r="D457" s="34" t="s">
        <v>85</v>
      </c>
      <c r="E457" s="34" t="s">
        <v>136</v>
      </c>
      <c r="F457" s="34" t="s">
        <v>79</v>
      </c>
      <c r="G457" s="36" t="n">
        <v>35937</v>
      </c>
      <c r="H457" s="36" t="n">
        <v>44550</v>
      </c>
      <c r="I457" s="37" t="n">
        <v>197000</v>
      </c>
      <c r="J457" s="38" t="n">
        <v>0.178</v>
      </c>
      <c r="K457" s="37" t="n">
        <f aca="false">J457*I457</f>
        <v>35066</v>
      </c>
      <c r="L457" s="37" t="n">
        <f aca="false">I457+K457</f>
        <v>232066</v>
      </c>
      <c r="M457" s="39" t="n">
        <v>3</v>
      </c>
      <c r="N457" s="40" t="n">
        <v>2.92</v>
      </c>
      <c r="O457" s="41" t="n">
        <v>0.906</v>
      </c>
      <c r="P457" s="42" t="n">
        <v>30</v>
      </c>
      <c r="Q457" s="42" t="n">
        <v>162</v>
      </c>
      <c r="R457" s="35" t="s">
        <v>1891</v>
      </c>
      <c r="S457" s="35" t="s">
        <v>1892</v>
      </c>
      <c r="T457" s="34" t="s">
        <v>60</v>
      </c>
    </row>
    <row r="458" customFormat="false" ht="15" hidden="false" customHeight="false" outlineLevel="0" collapsed="false">
      <c r="A458" s="43" t="s">
        <v>1893</v>
      </c>
      <c r="B458" s="44" t="s">
        <v>1894</v>
      </c>
      <c r="C458" s="43" t="s">
        <v>25</v>
      </c>
      <c r="D458" s="43" t="s">
        <v>90</v>
      </c>
      <c r="E458" s="43" t="s">
        <v>74</v>
      </c>
      <c r="F458" s="43" t="s">
        <v>137</v>
      </c>
      <c r="G458" s="45" t="n">
        <v>28495</v>
      </c>
      <c r="H458" s="45" t="n">
        <v>39462</v>
      </c>
      <c r="I458" s="46" t="n">
        <v>59000</v>
      </c>
      <c r="J458" s="47" t="n">
        <v>0.077</v>
      </c>
      <c r="K458" s="46" t="n">
        <f aca="false">J458*I458</f>
        <v>4543</v>
      </c>
      <c r="L458" s="46" t="n">
        <f aca="false">I458+K458</f>
        <v>63543</v>
      </c>
      <c r="M458" s="48" t="n">
        <v>17</v>
      </c>
      <c r="N458" s="49" t="n">
        <v>3.01</v>
      </c>
      <c r="O458" s="50" t="n">
        <v>0.958</v>
      </c>
      <c r="P458" s="51" t="n">
        <v>33</v>
      </c>
      <c r="Q458" s="51" t="n">
        <v>185</v>
      </c>
      <c r="R458" s="44" t="s">
        <v>1895</v>
      </c>
      <c r="S458" s="44" t="s">
        <v>1896</v>
      </c>
      <c r="T458" s="43" t="s">
        <v>66</v>
      </c>
    </row>
    <row r="459" customFormat="false" ht="15" hidden="false" customHeight="false" outlineLevel="0" collapsed="false">
      <c r="A459" s="34" t="s">
        <v>1897</v>
      </c>
      <c r="B459" s="35" t="s">
        <v>1898</v>
      </c>
      <c r="C459" s="34" t="s">
        <v>26</v>
      </c>
      <c r="D459" s="34" t="s">
        <v>69</v>
      </c>
      <c r="E459" s="34" t="s">
        <v>131</v>
      </c>
      <c r="F459" s="34" t="s">
        <v>57</v>
      </c>
      <c r="G459" s="36" t="n">
        <v>34663</v>
      </c>
      <c r="H459" s="36" t="n">
        <v>41203</v>
      </c>
      <c r="I459" s="37" t="n">
        <v>149000</v>
      </c>
      <c r="J459" s="38" t="n">
        <v>0.275</v>
      </c>
      <c r="K459" s="37" t="n">
        <f aca="false">J459*I459</f>
        <v>40975</v>
      </c>
      <c r="L459" s="37" t="n">
        <f aca="false">I459+K459</f>
        <v>189975</v>
      </c>
      <c r="M459" s="39" t="n">
        <v>12.2</v>
      </c>
      <c r="N459" s="40" t="n">
        <v>4</v>
      </c>
      <c r="O459" s="41" t="n">
        <v>0.963</v>
      </c>
      <c r="P459" s="42" t="n">
        <v>35</v>
      </c>
      <c r="Q459" s="42" t="n">
        <v>138</v>
      </c>
      <c r="R459" s="35" t="s">
        <v>1899</v>
      </c>
      <c r="S459" s="35" t="s">
        <v>1900</v>
      </c>
      <c r="T459" s="34" t="s">
        <v>66</v>
      </c>
    </row>
    <row r="460" customFormat="false" ht="15" hidden="false" customHeight="false" outlineLevel="0" collapsed="false">
      <c r="A460" s="43" t="s">
        <v>1901</v>
      </c>
      <c r="B460" s="44" t="s">
        <v>1902</v>
      </c>
      <c r="C460" s="43" t="s">
        <v>25</v>
      </c>
      <c r="D460" s="43" t="s">
        <v>113</v>
      </c>
      <c r="E460" s="43" t="s">
        <v>136</v>
      </c>
      <c r="F460" s="43" t="s">
        <v>79</v>
      </c>
      <c r="G460" s="45" t="n">
        <v>27857</v>
      </c>
      <c r="H460" s="45" t="n">
        <v>39511</v>
      </c>
      <c r="I460" s="46" t="n">
        <v>166000</v>
      </c>
      <c r="J460" s="47" t="n">
        <v>0.257</v>
      </c>
      <c r="K460" s="46" t="n">
        <f aca="false">J460*I460</f>
        <v>42662</v>
      </c>
      <c r="L460" s="46" t="n">
        <f aca="false">I460+K460</f>
        <v>208662</v>
      </c>
      <c r="M460" s="48" t="n">
        <v>16.8</v>
      </c>
      <c r="N460" s="49" t="n">
        <v>4.74</v>
      </c>
      <c r="O460" s="50" t="n">
        <v>0.932</v>
      </c>
      <c r="P460" s="51" t="n">
        <v>28</v>
      </c>
      <c r="Q460" s="51" t="n">
        <v>143</v>
      </c>
      <c r="R460" s="44" t="s">
        <v>1903</v>
      </c>
      <c r="S460" s="44" t="s">
        <v>1904</v>
      </c>
      <c r="T460" s="43" t="s">
        <v>66</v>
      </c>
    </row>
    <row r="461" customFormat="false" ht="15" hidden="false" customHeight="false" outlineLevel="0" collapsed="false">
      <c r="A461" s="34" t="s">
        <v>1905</v>
      </c>
      <c r="B461" s="35" t="s">
        <v>1906</v>
      </c>
      <c r="C461" s="34" t="s">
        <v>29</v>
      </c>
      <c r="D461" s="34" t="s">
        <v>85</v>
      </c>
      <c r="E461" s="34" t="s">
        <v>63</v>
      </c>
      <c r="F461" s="34" t="s">
        <v>79</v>
      </c>
      <c r="G461" s="36" t="n">
        <v>34778</v>
      </c>
      <c r="H461" s="36" t="n">
        <v>45179</v>
      </c>
      <c r="I461" s="37" t="n">
        <v>163000</v>
      </c>
      <c r="J461" s="38" t="n">
        <v>0.157</v>
      </c>
      <c r="K461" s="37" t="n">
        <f aca="false">J461*I461</f>
        <v>25591</v>
      </c>
      <c r="L461" s="37" t="n">
        <f aca="false">I461+K461</f>
        <v>188591</v>
      </c>
      <c r="M461" s="39" t="n">
        <v>1.3</v>
      </c>
      <c r="N461" s="40" t="n">
        <v>4.85</v>
      </c>
      <c r="O461" s="41" t="n">
        <v>0.845</v>
      </c>
      <c r="P461" s="42" t="n">
        <v>25</v>
      </c>
      <c r="Q461" s="42" t="n">
        <v>99</v>
      </c>
      <c r="R461" s="35" t="s">
        <v>1907</v>
      </c>
      <c r="S461" s="35" t="s">
        <v>1908</v>
      </c>
      <c r="T461" s="34" t="s">
        <v>60</v>
      </c>
    </row>
    <row r="462" customFormat="false" ht="15" hidden="false" customHeight="false" outlineLevel="0" collapsed="false">
      <c r="A462" s="43" t="s">
        <v>1909</v>
      </c>
      <c r="B462" s="44" t="s">
        <v>1910</v>
      </c>
      <c r="C462" s="43" t="s">
        <v>33</v>
      </c>
      <c r="D462" s="43" t="s">
        <v>55</v>
      </c>
      <c r="E462" s="43" t="s">
        <v>74</v>
      </c>
      <c r="F462" s="43" t="s">
        <v>57</v>
      </c>
      <c r="G462" s="45" t="n">
        <v>25684</v>
      </c>
      <c r="H462" s="45" t="n">
        <v>42809</v>
      </c>
      <c r="I462" s="46" t="n">
        <v>91000</v>
      </c>
      <c r="J462" s="47" t="n">
        <v>0.169</v>
      </c>
      <c r="K462" s="46" t="n">
        <f aca="false">J462*I462</f>
        <v>15379</v>
      </c>
      <c r="L462" s="46" t="n">
        <f aca="false">I462+K462</f>
        <v>106379</v>
      </c>
      <c r="M462" s="48" t="n">
        <v>7.8</v>
      </c>
      <c r="N462" s="49" t="n">
        <v>3.08</v>
      </c>
      <c r="O462" s="50" t="n">
        <v>0.958</v>
      </c>
      <c r="P462" s="51" t="n">
        <v>19</v>
      </c>
      <c r="Q462" s="51" t="n">
        <v>163</v>
      </c>
      <c r="R462" s="44" t="s">
        <v>1911</v>
      </c>
      <c r="S462" s="44" t="s">
        <v>1912</v>
      </c>
      <c r="T462" s="43" t="s">
        <v>60</v>
      </c>
    </row>
    <row r="463" customFormat="false" ht="15" hidden="false" customHeight="false" outlineLevel="0" collapsed="false">
      <c r="A463" s="34" t="s">
        <v>1913</v>
      </c>
      <c r="B463" s="35" t="s">
        <v>1914</v>
      </c>
      <c r="C463" s="34" t="s">
        <v>30</v>
      </c>
      <c r="D463" s="34" t="s">
        <v>95</v>
      </c>
      <c r="E463" s="34" t="s">
        <v>96</v>
      </c>
      <c r="F463" s="34" t="s">
        <v>57</v>
      </c>
      <c r="G463" s="36" t="n">
        <v>37567</v>
      </c>
      <c r="H463" s="36" t="n">
        <v>42389</v>
      </c>
      <c r="I463" s="37" t="n">
        <v>210000</v>
      </c>
      <c r="J463" s="38" t="n">
        <v>0.236</v>
      </c>
      <c r="K463" s="37" t="n">
        <f aca="false">J463*I463</f>
        <v>49560</v>
      </c>
      <c r="L463" s="37" t="n">
        <f aca="false">I463+K463</f>
        <v>259560</v>
      </c>
      <c r="M463" s="39" t="n">
        <v>8.9</v>
      </c>
      <c r="N463" s="40" t="n">
        <v>2.52</v>
      </c>
      <c r="O463" s="41" t="n">
        <v>0.857</v>
      </c>
      <c r="P463" s="42" t="n">
        <v>34</v>
      </c>
      <c r="Q463" s="42" t="n">
        <v>11</v>
      </c>
      <c r="R463" s="35" t="s">
        <v>1915</v>
      </c>
      <c r="S463" s="35" t="s">
        <v>1916</v>
      </c>
      <c r="T463" s="34" t="s">
        <v>66</v>
      </c>
    </row>
    <row r="464" customFormat="false" ht="15" hidden="false" customHeight="false" outlineLevel="0" collapsed="false">
      <c r="A464" s="43" t="s">
        <v>1917</v>
      </c>
      <c r="B464" s="44" t="s">
        <v>1918</v>
      </c>
      <c r="C464" s="43" t="s">
        <v>27</v>
      </c>
      <c r="D464" s="43" t="s">
        <v>142</v>
      </c>
      <c r="E464" s="43" t="s">
        <v>151</v>
      </c>
      <c r="F464" s="43" t="s">
        <v>137</v>
      </c>
      <c r="G464" s="45" t="n">
        <v>28106</v>
      </c>
      <c r="H464" s="45" t="n">
        <v>41722</v>
      </c>
      <c r="I464" s="46" t="n">
        <v>119000</v>
      </c>
      <c r="J464" s="47" t="n">
        <v>0.077</v>
      </c>
      <c r="K464" s="46" t="n">
        <f aca="false">J464*I464</f>
        <v>9163</v>
      </c>
      <c r="L464" s="46" t="n">
        <f aca="false">I464+K464</f>
        <v>128163</v>
      </c>
      <c r="M464" s="48" t="n">
        <v>10.8</v>
      </c>
      <c r="N464" s="49" t="n">
        <v>3.57</v>
      </c>
      <c r="O464" s="50" t="n">
        <v>0.876</v>
      </c>
      <c r="P464" s="51" t="n">
        <v>17</v>
      </c>
      <c r="Q464" s="51" t="n">
        <v>147</v>
      </c>
      <c r="R464" s="44" t="s">
        <v>1919</v>
      </c>
      <c r="S464" s="44" t="s">
        <v>1920</v>
      </c>
      <c r="T464" s="43" t="s">
        <v>66</v>
      </c>
    </row>
    <row r="465" customFormat="false" ht="15" hidden="false" customHeight="false" outlineLevel="0" collapsed="false">
      <c r="A465" s="34" t="s">
        <v>1921</v>
      </c>
      <c r="B465" s="35" t="s">
        <v>1922</v>
      </c>
      <c r="C465" s="34" t="s">
        <v>33</v>
      </c>
      <c r="D465" s="34" t="s">
        <v>95</v>
      </c>
      <c r="E465" s="34" t="s">
        <v>56</v>
      </c>
      <c r="F465" s="34" t="s">
        <v>79</v>
      </c>
      <c r="G465" s="36" t="n">
        <v>25748</v>
      </c>
      <c r="H465" s="36" t="n">
        <v>41294</v>
      </c>
      <c r="I465" s="37" t="n">
        <v>129000</v>
      </c>
      <c r="J465" s="38" t="n">
        <v>0.239</v>
      </c>
      <c r="K465" s="37" t="n">
        <f aca="false">J465*I465</f>
        <v>30831</v>
      </c>
      <c r="L465" s="37" t="n">
        <f aca="false">I465+K465</f>
        <v>159831</v>
      </c>
      <c r="M465" s="39" t="n">
        <v>11.9</v>
      </c>
      <c r="N465" s="40" t="n">
        <v>3.53</v>
      </c>
      <c r="O465" s="41" t="n">
        <v>0.935</v>
      </c>
      <c r="P465" s="42" t="n">
        <v>31</v>
      </c>
      <c r="Q465" s="42" t="n">
        <v>55</v>
      </c>
      <c r="R465" s="35" t="s">
        <v>1923</v>
      </c>
      <c r="S465" s="35" t="s">
        <v>1924</v>
      </c>
      <c r="T465" s="34" t="s">
        <v>66</v>
      </c>
    </row>
    <row r="466" customFormat="false" ht="15" hidden="false" customHeight="false" outlineLevel="0" collapsed="false">
      <c r="A466" s="43" t="s">
        <v>1925</v>
      </c>
      <c r="B466" s="44" t="s">
        <v>1926</v>
      </c>
      <c r="C466" s="43" t="s">
        <v>32</v>
      </c>
      <c r="D466" s="43" t="s">
        <v>69</v>
      </c>
      <c r="E466" s="43" t="s">
        <v>126</v>
      </c>
      <c r="F466" s="43" t="s">
        <v>137</v>
      </c>
      <c r="G466" s="45" t="n">
        <v>27634</v>
      </c>
      <c r="H466" s="45" t="n">
        <v>44577</v>
      </c>
      <c r="I466" s="46" t="n">
        <v>105000</v>
      </c>
      <c r="J466" s="47" t="n">
        <v>0.194</v>
      </c>
      <c r="K466" s="46" t="n">
        <f aca="false">J466*I466</f>
        <v>20370</v>
      </c>
      <c r="L466" s="46" t="n">
        <f aca="false">I466+K466</f>
        <v>125370</v>
      </c>
      <c r="M466" s="48" t="n">
        <v>3</v>
      </c>
      <c r="N466" s="49" t="n">
        <v>4.44</v>
      </c>
      <c r="O466" s="50" t="n">
        <v>0.819</v>
      </c>
      <c r="P466" s="51" t="n">
        <v>9</v>
      </c>
      <c r="Q466" s="51" t="n">
        <v>178</v>
      </c>
      <c r="R466" s="44" t="s">
        <v>1927</v>
      </c>
      <c r="S466" s="44" t="s">
        <v>1928</v>
      </c>
      <c r="T466" s="43" t="s">
        <v>66</v>
      </c>
    </row>
    <row r="467" customFormat="false" ht="15" hidden="false" customHeight="false" outlineLevel="0" collapsed="false">
      <c r="A467" s="34" t="s">
        <v>1929</v>
      </c>
      <c r="B467" s="35" t="s">
        <v>1930</v>
      </c>
      <c r="C467" s="34" t="s">
        <v>27</v>
      </c>
      <c r="D467" s="34" t="s">
        <v>113</v>
      </c>
      <c r="E467" s="34" t="s">
        <v>136</v>
      </c>
      <c r="F467" s="34" t="s">
        <v>57</v>
      </c>
      <c r="G467" s="36" t="n">
        <v>34111</v>
      </c>
      <c r="H467" s="36" t="n">
        <v>41743</v>
      </c>
      <c r="I467" s="37" t="n">
        <v>81000</v>
      </c>
      <c r="J467" s="38" t="n">
        <v>0.177</v>
      </c>
      <c r="K467" s="37" t="n">
        <f aca="false">J467*I467</f>
        <v>14337</v>
      </c>
      <c r="L467" s="37" t="n">
        <f aca="false">I467+K467</f>
        <v>95337</v>
      </c>
      <c r="M467" s="39" t="n">
        <v>10.7</v>
      </c>
      <c r="N467" s="40" t="n">
        <v>4.47</v>
      </c>
      <c r="O467" s="41" t="n">
        <v>0.94</v>
      </c>
      <c r="P467" s="42" t="n">
        <v>40</v>
      </c>
      <c r="Q467" s="42" t="n">
        <v>188</v>
      </c>
      <c r="R467" s="35" t="s">
        <v>1931</v>
      </c>
      <c r="S467" s="35" t="s">
        <v>1932</v>
      </c>
      <c r="T467" s="34" t="s">
        <v>82</v>
      </c>
    </row>
    <row r="468" customFormat="false" ht="15" hidden="false" customHeight="false" outlineLevel="0" collapsed="false">
      <c r="A468" s="43" t="s">
        <v>1933</v>
      </c>
      <c r="B468" s="44" t="s">
        <v>1934</v>
      </c>
      <c r="C468" s="43" t="s">
        <v>24</v>
      </c>
      <c r="D468" s="43" t="s">
        <v>90</v>
      </c>
      <c r="E468" s="43" t="s">
        <v>74</v>
      </c>
      <c r="F468" s="43" t="s">
        <v>79</v>
      </c>
      <c r="G468" s="45" t="n">
        <v>36351</v>
      </c>
      <c r="H468" s="45" t="n">
        <v>45135</v>
      </c>
      <c r="I468" s="46" t="n">
        <v>26000</v>
      </c>
      <c r="J468" s="47" t="n">
        <v>0.251</v>
      </c>
      <c r="K468" s="46" t="n">
        <f aca="false">J468*I468</f>
        <v>6526</v>
      </c>
      <c r="L468" s="46" t="n">
        <f aca="false">I468+K468</f>
        <v>32526</v>
      </c>
      <c r="M468" s="48" t="n">
        <v>1.4</v>
      </c>
      <c r="N468" s="49" t="n">
        <v>4.56</v>
      </c>
      <c r="O468" s="50" t="n">
        <v>0.842</v>
      </c>
      <c r="P468" s="51" t="n">
        <v>39</v>
      </c>
      <c r="Q468" s="51" t="n">
        <v>121</v>
      </c>
      <c r="R468" s="44" t="s">
        <v>1935</v>
      </c>
      <c r="S468" s="44" t="s">
        <v>1936</v>
      </c>
      <c r="T468" s="43" t="s">
        <v>66</v>
      </c>
    </row>
    <row r="469" customFormat="false" ht="15" hidden="false" customHeight="false" outlineLevel="0" collapsed="false">
      <c r="A469" s="34" t="s">
        <v>1937</v>
      </c>
      <c r="B469" s="35" t="s">
        <v>1938</v>
      </c>
      <c r="C469" s="34" t="s">
        <v>25</v>
      </c>
      <c r="D469" s="34" t="s">
        <v>95</v>
      </c>
      <c r="E469" s="34" t="s">
        <v>96</v>
      </c>
      <c r="F469" s="34" t="s">
        <v>137</v>
      </c>
      <c r="G469" s="36" t="n">
        <v>37350</v>
      </c>
      <c r="H469" s="36" t="n">
        <v>41782</v>
      </c>
      <c r="I469" s="37" t="n">
        <v>45000</v>
      </c>
      <c r="J469" s="38" t="n">
        <v>0.202</v>
      </c>
      <c r="K469" s="37" t="n">
        <f aca="false">J469*I469</f>
        <v>9090</v>
      </c>
      <c r="L469" s="37" t="n">
        <f aca="false">I469+K469</f>
        <v>54090</v>
      </c>
      <c r="M469" s="39" t="n">
        <v>10.6</v>
      </c>
      <c r="N469" s="40" t="n">
        <v>4.31</v>
      </c>
      <c r="O469" s="41" t="n">
        <v>0.979</v>
      </c>
      <c r="P469" s="42" t="n">
        <v>26</v>
      </c>
      <c r="Q469" s="42" t="n">
        <v>167</v>
      </c>
      <c r="R469" s="35" t="s">
        <v>1939</v>
      </c>
      <c r="S469" s="35" t="s">
        <v>1940</v>
      </c>
      <c r="T469" s="34" t="s">
        <v>82</v>
      </c>
    </row>
    <row r="470" customFormat="false" ht="15" hidden="false" customHeight="false" outlineLevel="0" collapsed="false">
      <c r="A470" s="43" t="s">
        <v>1941</v>
      </c>
      <c r="B470" s="44" t="s">
        <v>1942</v>
      </c>
      <c r="C470" s="43" t="s">
        <v>32</v>
      </c>
      <c r="D470" s="43" t="s">
        <v>95</v>
      </c>
      <c r="E470" s="43" t="s">
        <v>63</v>
      </c>
      <c r="F470" s="43" t="s">
        <v>57</v>
      </c>
      <c r="G470" s="45" t="n">
        <v>31370</v>
      </c>
      <c r="H470" s="45" t="n">
        <v>40605</v>
      </c>
      <c r="I470" s="46" t="n">
        <v>192000</v>
      </c>
      <c r="J470" s="47" t="n">
        <v>0.174</v>
      </c>
      <c r="K470" s="46" t="n">
        <f aca="false">J470*I470</f>
        <v>33408</v>
      </c>
      <c r="L470" s="46" t="n">
        <f aca="false">I470+K470</f>
        <v>225408</v>
      </c>
      <c r="M470" s="48" t="n">
        <v>13.8</v>
      </c>
      <c r="N470" s="49" t="n">
        <v>2.53</v>
      </c>
      <c r="O470" s="50" t="n">
        <v>0.955</v>
      </c>
      <c r="P470" s="51" t="n">
        <v>34</v>
      </c>
      <c r="Q470" s="51" t="n">
        <v>83</v>
      </c>
      <c r="R470" s="44" t="s">
        <v>1943</v>
      </c>
      <c r="S470" s="44" t="s">
        <v>1944</v>
      </c>
      <c r="T470" s="43" t="s">
        <v>66</v>
      </c>
    </row>
    <row r="471" customFormat="false" ht="15" hidden="false" customHeight="false" outlineLevel="0" collapsed="false">
      <c r="A471" s="34" t="s">
        <v>1945</v>
      </c>
      <c r="B471" s="35" t="s">
        <v>1946</v>
      </c>
      <c r="C471" s="34" t="s">
        <v>24</v>
      </c>
      <c r="D471" s="34" t="s">
        <v>85</v>
      </c>
      <c r="E471" s="34" t="s">
        <v>96</v>
      </c>
      <c r="F471" s="34" t="s">
        <v>79</v>
      </c>
      <c r="G471" s="36" t="n">
        <v>37491</v>
      </c>
      <c r="H471" s="36" t="n">
        <v>45271</v>
      </c>
      <c r="I471" s="37" t="n">
        <v>69000</v>
      </c>
      <c r="J471" s="38" t="n">
        <v>0.219</v>
      </c>
      <c r="K471" s="37" t="n">
        <f aca="false">J471*I471</f>
        <v>15111</v>
      </c>
      <c r="L471" s="37" t="n">
        <f aca="false">I471+K471</f>
        <v>84111</v>
      </c>
      <c r="M471" s="39" t="n">
        <v>1.1</v>
      </c>
      <c r="N471" s="40" t="n">
        <v>3.4</v>
      </c>
      <c r="O471" s="41" t="n">
        <v>0.897</v>
      </c>
      <c r="P471" s="42" t="n">
        <v>11</v>
      </c>
      <c r="Q471" s="42" t="n">
        <v>32</v>
      </c>
      <c r="R471" s="35" t="s">
        <v>1947</v>
      </c>
      <c r="S471" s="35" t="s">
        <v>1948</v>
      </c>
      <c r="T471" s="34" t="s">
        <v>66</v>
      </c>
    </row>
    <row r="472" customFormat="false" ht="15" hidden="false" customHeight="false" outlineLevel="0" collapsed="false">
      <c r="A472" s="43" t="s">
        <v>1949</v>
      </c>
      <c r="B472" s="44" t="s">
        <v>1950</v>
      </c>
      <c r="C472" s="43" t="s">
        <v>30</v>
      </c>
      <c r="D472" s="43" t="s">
        <v>95</v>
      </c>
      <c r="E472" s="43" t="s">
        <v>74</v>
      </c>
      <c r="F472" s="43" t="s">
        <v>137</v>
      </c>
      <c r="G472" s="45" t="n">
        <v>30409</v>
      </c>
      <c r="H472" s="45" t="n">
        <v>39612</v>
      </c>
      <c r="I472" s="46" t="n">
        <v>178000</v>
      </c>
      <c r="J472" s="47" t="n">
        <v>0.1</v>
      </c>
      <c r="K472" s="46" t="n">
        <f aca="false">J472*I472</f>
        <v>17800</v>
      </c>
      <c r="L472" s="46" t="n">
        <f aca="false">I472+K472</f>
        <v>195800</v>
      </c>
      <c r="M472" s="48" t="n">
        <v>16.6</v>
      </c>
      <c r="N472" s="49" t="n">
        <v>2.54</v>
      </c>
      <c r="O472" s="50" t="n">
        <v>0.911</v>
      </c>
      <c r="P472" s="51" t="n">
        <v>6</v>
      </c>
      <c r="Q472" s="51" t="n">
        <v>150</v>
      </c>
      <c r="R472" s="44" t="s">
        <v>1951</v>
      </c>
      <c r="S472" s="44" t="s">
        <v>1952</v>
      </c>
      <c r="T472" s="43" t="s">
        <v>66</v>
      </c>
    </row>
    <row r="473" customFormat="false" ht="15" hidden="false" customHeight="false" outlineLevel="0" collapsed="false">
      <c r="A473" s="34" t="s">
        <v>1953</v>
      </c>
      <c r="B473" s="35" t="s">
        <v>1954</v>
      </c>
      <c r="C473" s="34" t="s">
        <v>32</v>
      </c>
      <c r="D473" s="34" t="s">
        <v>69</v>
      </c>
      <c r="E473" s="34" t="s">
        <v>151</v>
      </c>
      <c r="F473" s="34" t="s">
        <v>137</v>
      </c>
      <c r="G473" s="36" t="n">
        <v>31422</v>
      </c>
      <c r="H473" s="36" t="n">
        <v>44090</v>
      </c>
      <c r="I473" s="37" t="n">
        <v>238000</v>
      </c>
      <c r="J473" s="38" t="n">
        <v>0.119</v>
      </c>
      <c r="K473" s="37" t="n">
        <f aca="false">J473*I473</f>
        <v>28322</v>
      </c>
      <c r="L473" s="37" t="n">
        <f aca="false">I473+K473</f>
        <v>266322</v>
      </c>
      <c r="M473" s="39" t="n">
        <v>4.3</v>
      </c>
      <c r="N473" s="40" t="n">
        <v>4.02</v>
      </c>
      <c r="O473" s="41" t="n">
        <v>0.758</v>
      </c>
      <c r="P473" s="42" t="n">
        <v>26</v>
      </c>
      <c r="Q473" s="42" t="n">
        <v>157</v>
      </c>
      <c r="R473" s="35" t="s">
        <v>1955</v>
      </c>
      <c r="S473" s="35" t="s">
        <v>1956</v>
      </c>
      <c r="T473" s="34" t="s">
        <v>66</v>
      </c>
    </row>
    <row r="474" customFormat="false" ht="15" hidden="false" customHeight="false" outlineLevel="0" collapsed="false">
      <c r="A474" s="43" t="s">
        <v>1957</v>
      </c>
      <c r="B474" s="44" t="s">
        <v>1958</v>
      </c>
      <c r="C474" s="43" t="s">
        <v>28</v>
      </c>
      <c r="D474" s="43" t="s">
        <v>90</v>
      </c>
      <c r="E474" s="43" t="s">
        <v>74</v>
      </c>
      <c r="F474" s="43" t="s">
        <v>79</v>
      </c>
      <c r="G474" s="45" t="n">
        <v>33719</v>
      </c>
      <c r="H474" s="45" t="n">
        <v>38382</v>
      </c>
      <c r="I474" s="46" t="n">
        <v>52000</v>
      </c>
      <c r="J474" s="47" t="n">
        <v>0.19</v>
      </c>
      <c r="K474" s="46" t="n">
        <f aca="false">J474*I474</f>
        <v>9880</v>
      </c>
      <c r="L474" s="46" t="n">
        <f aca="false">I474+K474</f>
        <v>61880</v>
      </c>
      <c r="M474" s="48" t="n">
        <v>19.9</v>
      </c>
      <c r="N474" s="49" t="n">
        <v>3.76</v>
      </c>
      <c r="O474" s="50" t="n">
        <v>0.802</v>
      </c>
      <c r="P474" s="51" t="n">
        <v>8</v>
      </c>
      <c r="Q474" s="51" t="n">
        <v>141</v>
      </c>
      <c r="R474" s="44" t="s">
        <v>1959</v>
      </c>
      <c r="S474" s="44" t="s">
        <v>1960</v>
      </c>
      <c r="T474" s="43" t="s">
        <v>66</v>
      </c>
    </row>
    <row r="475" customFormat="false" ht="15" hidden="false" customHeight="false" outlineLevel="0" collapsed="false">
      <c r="A475" s="34" t="s">
        <v>1961</v>
      </c>
      <c r="B475" s="35" t="s">
        <v>1962</v>
      </c>
      <c r="C475" s="34" t="s">
        <v>32</v>
      </c>
      <c r="D475" s="34" t="s">
        <v>85</v>
      </c>
      <c r="E475" s="34" t="s">
        <v>56</v>
      </c>
      <c r="F475" s="34" t="s">
        <v>79</v>
      </c>
      <c r="G475" s="36" t="n">
        <v>30068</v>
      </c>
      <c r="H475" s="36" t="n">
        <v>40618</v>
      </c>
      <c r="I475" s="37" t="n">
        <v>141000</v>
      </c>
      <c r="J475" s="38" t="n">
        <v>0.292</v>
      </c>
      <c r="K475" s="37" t="n">
        <f aca="false">J475*I475</f>
        <v>41172</v>
      </c>
      <c r="L475" s="37" t="n">
        <f aca="false">I475+K475</f>
        <v>182172</v>
      </c>
      <c r="M475" s="39" t="n">
        <v>13.8</v>
      </c>
      <c r="N475" s="40" t="n">
        <v>3.91</v>
      </c>
      <c r="O475" s="41" t="n">
        <v>0.931</v>
      </c>
      <c r="P475" s="42" t="n">
        <v>22</v>
      </c>
      <c r="Q475" s="42" t="n">
        <v>127</v>
      </c>
      <c r="R475" s="35" t="s">
        <v>1963</v>
      </c>
      <c r="S475" s="35" t="s">
        <v>1964</v>
      </c>
      <c r="T475" s="34" t="s">
        <v>82</v>
      </c>
    </row>
    <row r="476" customFormat="false" ht="15" hidden="false" customHeight="false" outlineLevel="0" collapsed="false">
      <c r="A476" s="43" t="s">
        <v>1965</v>
      </c>
      <c r="B476" s="44" t="s">
        <v>1966</v>
      </c>
      <c r="C476" s="43" t="s">
        <v>31</v>
      </c>
      <c r="D476" s="43" t="s">
        <v>69</v>
      </c>
      <c r="E476" s="43" t="s">
        <v>63</v>
      </c>
      <c r="F476" s="43" t="s">
        <v>137</v>
      </c>
      <c r="G476" s="45" t="n">
        <v>24961</v>
      </c>
      <c r="H476" s="45" t="n">
        <v>43580</v>
      </c>
      <c r="I476" s="46" t="n">
        <v>55000</v>
      </c>
      <c r="J476" s="47" t="n">
        <v>0.114</v>
      </c>
      <c r="K476" s="46" t="n">
        <f aca="false">J476*I476</f>
        <v>6270</v>
      </c>
      <c r="L476" s="46" t="n">
        <f aca="false">I476+K476</f>
        <v>61270</v>
      </c>
      <c r="M476" s="48" t="n">
        <v>5.7</v>
      </c>
      <c r="N476" s="49" t="n">
        <v>3.46</v>
      </c>
      <c r="O476" s="50" t="n">
        <v>0.937</v>
      </c>
      <c r="P476" s="51" t="n">
        <v>15</v>
      </c>
      <c r="Q476" s="51" t="n">
        <v>183</v>
      </c>
      <c r="R476" s="44" t="s">
        <v>1967</v>
      </c>
      <c r="S476" s="44" t="s">
        <v>1968</v>
      </c>
      <c r="T476" s="43" t="s">
        <v>82</v>
      </c>
    </row>
    <row r="477" customFormat="false" ht="15" hidden="false" customHeight="false" outlineLevel="0" collapsed="false">
      <c r="A477" s="34" t="s">
        <v>1969</v>
      </c>
      <c r="B477" s="35" t="s">
        <v>1970</v>
      </c>
      <c r="C477" s="34" t="s">
        <v>27</v>
      </c>
      <c r="D477" s="34" t="s">
        <v>85</v>
      </c>
      <c r="E477" s="34" t="s">
        <v>151</v>
      </c>
      <c r="F477" s="34" t="s">
        <v>137</v>
      </c>
      <c r="G477" s="36" t="n">
        <v>26536</v>
      </c>
      <c r="H477" s="36" t="n">
        <v>40218</v>
      </c>
      <c r="I477" s="37" t="n">
        <v>117000</v>
      </c>
      <c r="J477" s="38" t="n">
        <v>0.179</v>
      </c>
      <c r="K477" s="37" t="n">
        <f aca="false">J477*I477</f>
        <v>20943</v>
      </c>
      <c r="L477" s="37" t="n">
        <f aca="false">I477+K477</f>
        <v>137943</v>
      </c>
      <c r="M477" s="39" t="n">
        <v>14.9</v>
      </c>
      <c r="N477" s="40" t="n">
        <v>2.52</v>
      </c>
      <c r="O477" s="41" t="n">
        <v>0.95</v>
      </c>
      <c r="P477" s="42" t="n">
        <v>16</v>
      </c>
      <c r="Q477" s="42" t="n">
        <v>83</v>
      </c>
      <c r="R477" s="35" t="s">
        <v>1971</v>
      </c>
      <c r="S477" s="35" t="s">
        <v>1972</v>
      </c>
      <c r="T477" s="34" t="s">
        <v>66</v>
      </c>
    </row>
    <row r="478" customFormat="false" ht="15" hidden="false" customHeight="false" outlineLevel="0" collapsed="false">
      <c r="A478" s="43" t="s">
        <v>1973</v>
      </c>
      <c r="B478" s="44" t="s">
        <v>1974</v>
      </c>
      <c r="C478" s="43" t="s">
        <v>30</v>
      </c>
      <c r="D478" s="43" t="s">
        <v>142</v>
      </c>
      <c r="E478" s="43" t="s">
        <v>151</v>
      </c>
      <c r="F478" s="43" t="s">
        <v>57</v>
      </c>
      <c r="G478" s="45" t="n">
        <v>37809</v>
      </c>
      <c r="H478" s="45" t="n">
        <v>45428</v>
      </c>
      <c r="I478" s="46" t="n">
        <v>170000</v>
      </c>
      <c r="J478" s="47" t="n">
        <v>0.283</v>
      </c>
      <c r="K478" s="46" t="n">
        <f aca="false">J478*I478</f>
        <v>48110</v>
      </c>
      <c r="L478" s="46" t="n">
        <f aca="false">I478+K478</f>
        <v>218110</v>
      </c>
      <c r="M478" s="48" t="n">
        <v>0.6</v>
      </c>
      <c r="N478" s="49" t="n">
        <v>3.69</v>
      </c>
      <c r="O478" s="50" t="n">
        <v>0.806</v>
      </c>
      <c r="P478" s="51" t="n">
        <v>37</v>
      </c>
      <c r="Q478" s="51" t="n">
        <v>78</v>
      </c>
      <c r="R478" s="44" t="s">
        <v>1975</v>
      </c>
      <c r="S478" s="44" t="s">
        <v>1976</v>
      </c>
      <c r="T478" s="43" t="s">
        <v>66</v>
      </c>
    </row>
    <row r="479" customFormat="false" ht="15" hidden="false" customHeight="false" outlineLevel="0" collapsed="false">
      <c r="A479" s="34" t="s">
        <v>1977</v>
      </c>
      <c r="B479" s="35" t="s">
        <v>1978</v>
      </c>
      <c r="C479" s="34" t="s">
        <v>27</v>
      </c>
      <c r="D479" s="34" t="s">
        <v>113</v>
      </c>
      <c r="E479" s="34" t="s">
        <v>96</v>
      </c>
      <c r="F479" s="34" t="s">
        <v>57</v>
      </c>
      <c r="G479" s="36" t="n">
        <v>26492</v>
      </c>
      <c r="H479" s="36" t="n">
        <v>38947</v>
      </c>
      <c r="I479" s="37" t="n">
        <v>217000</v>
      </c>
      <c r="J479" s="38" t="n">
        <v>0.111</v>
      </c>
      <c r="K479" s="37" t="n">
        <f aca="false">J479*I479</f>
        <v>24087</v>
      </c>
      <c r="L479" s="37" t="n">
        <f aca="false">I479+K479</f>
        <v>241087</v>
      </c>
      <c r="M479" s="39" t="n">
        <v>18.4</v>
      </c>
      <c r="N479" s="40" t="n">
        <v>3.16</v>
      </c>
      <c r="O479" s="41" t="n">
        <v>0.769</v>
      </c>
      <c r="P479" s="42" t="n">
        <v>16</v>
      </c>
      <c r="Q479" s="42" t="n">
        <v>168</v>
      </c>
      <c r="R479" s="35" t="s">
        <v>1979</v>
      </c>
      <c r="S479" s="35" t="s">
        <v>1980</v>
      </c>
      <c r="T479" s="34" t="s">
        <v>66</v>
      </c>
    </row>
    <row r="480" customFormat="false" ht="15" hidden="false" customHeight="false" outlineLevel="0" collapsed="false">
      <c r="A480" s="43" t="s">
        <v>1981</v>
      </c>
      <c r="B480" s="44" t="s">
        <v>1982</v>
      </c>
      <c r="C480" s="43" t="s">
        <v>26</v>
      </c>
      <c r="D480" s="43" t="s">
        <v>85</v>
      </c>
      <c r="E480" s="43" t="s">
        <v>131</v>
      </c>
      <c r="F480" s="43" t="s">
        <v>57</v>
      </c>
      <c r="G480" s="45" t="n">
        <v>26858</v>
      </c>
      <c r="H480" s="45" t="n">
        <v>39818</v>
      </c>
      <c r="I480" s="46" t="n">
        <v>45000</v>
      </c>
      <c r="J480" s="47" t="n">
        <v>0.219</v>
      </c>
      <c r="K480" s="46" t="n">
        <f aca="false">J480*I480</f>
        <v>9855</v>
      </c>
      <c r="L480" s="46" t="n">
        <f aca="false">I480+K480</f>
        <v>54855</v>
      </c>
      <c r="M480" s="48" t="n">
        <v>16</v>
      </c>
      <c r="N480" s="49" t="n">
        <v>4.16</v>
      </c>
      <c r="O480" s="50" t="n">
        <v>0.884</v>
      </c>
      <c r="P480" s="51" t="n">
        <v>35</v>
      </c>
      <c r="Q480" s="51" t="n">
        <v>20</v>
      </c>
      <c r="R480" s="44" t="s">
        <v>1983</v>
      </c>
      <c r="S480" s="44" t="s">
        <v>1984</v>
      </c>
      <c r="T480" s="43" t="s">
        <v>66</v>
      </c>
    </row>
    <row r="481" customFormat="false" ht="15" hidden="false" customHeight="false" outlineLevel="0" collapsed="false">
      <c r="A481" s="34" t="s">
        <v>1985</v>
      </c>
      <c r="B481" s="35" t="s">
        <v>1986</v>
      </c>
      <c r="C481" s="34" t="s">
        <v>29</v>
      </c>
      <c r="D481" s="34" t="s">
        <v>69</v>
      </c>
      <c r="E481" s="34" t="s">
        <v>151</v>
      </c>
      <c r="F481" s="34" t="s">
        <v>137</v>
      </c>
      <c r="G481" s="36" t="n">
        <v>32781</v>
      </c>
      <c r="H481" s="36" t="n">
        <v>44599</v>
      </c>
      <c r="I481" s="37" t="n">
        <v>175000</v>
      </c>
      <c r="J481" s="38" t="n">
        <v>0.267</v>
      </c>
      <c r="K481" s="37" t="n">
        <f aca="false">J481*I481</f>
        <v>46725</v>
      </c>
      <c r="L481" s="37" t="n">
        <f aca="false">I481+K481</f>
        <v>221725</v>
      </c>
      <c r="M481" s="39" t="n">
        <v>2.9</v>
      </c>
      <c r="N481" s="40" t="n">
        <v>3.73</v>
      </c>
      <c r="O481" s="41" t="n">
        <v>0.995</v>
      </c>
      <c r="P481" s="42" t="n">
        <v>33</v>
      </c>
      <c r="Q481" s="42" t="n">
        <v>81</v>
      </c>
      <c r="R481" s="35" t="s">
        <v>1987</v>
      </c>
      <c r="S481" s="35" t="s">
        <v>1988</v>
      </c>
      <c r="T481" s="34" t="s">
        <v>66</v>
      </c>
    </row>
    <row r="482" customFormat="false" ht="15" hidden="false" customHeight="false" outlineLevel="0" collapsed="false">
      <c r="A482" s="43" t="s">
        <v>1989</v>
      </c>
      <c r="B482" s="44" t="s">
        <v>1990</v>
      </c>
      <c r="C482" s="43" t="s">
        <v>27</v>
      </c>
      <c r="D482" s="43" t="s">
        <v>85</v>
      </c>
      <c r="E482" s="43" t="s">
        <v>136</v>
      </c>
      <c r="F482" s="43" t="s">
        <v>57</v>
      </c>
      <c r="G482" s="45" t="n">
        <v>30909</v>
      </c>
      <c r="H482" s="45" t="n">
        <v>44015</v>
      </c>
      <c r="I482" s="46" t="n">
        <v>162000</v>
      </c>
      <c r="J482" s="47" t="n">
        <v>0.25</v>
      </c>
      <c r="K482" s="46" t="n">
        <f aca="false">J482*I482</f>
        <v>40500</v>
      </c>
      <c r="L482" s="46" t="n">
        <f aca="false">I482+K482</f>
        <v>202500</v>
      </c>
      <c r="M482" s="48" t="n">
        <v>4.5</v>
      </c>
      <c r="N482" s="49" t="n">
        <v>3.7</v>
      </c>
      <c r="O482" s="50" t="n">
        <v>0.862</v>
      </c>
      <c r="P482" s="51" t="n">
        <v>33</v>
      </c>
      <c r="Q482" s="51" t="n">
        <v>98</v>
      </c>
      <c r="R482" s="44" t="s">
        <v>1991</v>
      </c>
      <c r="S482" s="44" t="s">
        <v>1992</v>
      </c>
      <c r="T482" s="43" t="s">
        <v>66</v>
      </c>
    </row>
    <row r="483" customFormat="false" ht="15" hidden="false" customHeight="false" outlineLevel="0" collapsed="false">
      <c r="A483" s="34" t="s">
        <v>1993</v>
      </c>
      <c r="B483" s="35" t="s">
        <v>1994</v>
      </c>
      <c r="C483" s="34" t="s">
        <v>26</v>
      </c>
      <c r="D483" s="34" t="s">
        <v>113</v>
      </c>
      <c r="E483" s="34" t="s">
        <v>131</v>
      </c>
      <c r="F483" s="34" t="s">
        <v>79</v>
      </c>
      <c r="G483" s="36" t="n">
        <v>38003</v>
      </c>
      <c r="H483" s="36" t="n">
        <v>41352</v>
      </c>
      <c r="I483" s="37" t="n">
        <v>160000</v>
      </c>
      <c r="J483" s="38" t="n">
        <v>0.165</v>
      </c>
      <c r="K483" s="37" t="n">
        <f aca="false">J483*I483</f>
        <v>26400</v>
      </c>
      <c r="L483" s="37" t="n">
        <f aca="false">I483+K483</f>
        <v>186400</v>
      </c>
      <c r="M483" s="39" t="n">
        <v>11.8</v>
      </c>
      <c r="N483" s="40" t="n">
        <v>4.22</v>
      </c>
      <c r="O483" s="41" t="n">
        <v>0.704</v>
      </c>
      <c r="P483" s="42" t="n">
        <v>14</v>
      </c>
      <c r="Q483" s="42" t="n">
        <v>107</v>
      </c>
      <c r="R483" s="35" t="s">
        <v>1995</v>
      </c>
      <c r="S483" s="35" t="s">
        <v>1996</v>
      </c>
      <c r="T483" s="34" t="s">
        <v>60</v>
      </c>
    </row>
    <row r="484" customFormat="false" ht="15" hidden="false" customHeight="false" outlineLevel="0" collapsed="false">
      <c r="A484" s="43" t="s">
        <v>1997</v>
      </c>
      <c r="B484" s="44" t="s">
        <v>459</v>
      </c>
      <c r="C484" s="43" t="s">
        <v>25</v>
      </c>
      <c r="D484" s="43" t="s">
        <v>95</v>
      </c>
      <c r="E484" s="43" t="s">
        <v>151</v>
      </c>
      <c r="F484" s="43" t="s">
        <v>79</v>
      </c>
      <c r="G484" s="45" t="n">
        <v>33334</v>
      </c>
      <c r="H484" s="45" t="n">
        <v>38847</v>
      </c>
      <c r="I484" s="46" t="n">
        <v>93000</v>
      </c>
      <c r="J484" s="47" t="n">
        <v>0.097</v>
      </c>
      <c r="K484" s="46" t="n">
        <f aca="false">J484*I484</f>
        <v>9021</v>
      </c>
      <c r="L484" s="46" t="n">
        <f aca="false">I484+K484</f>
        <v>102021</v>
      </c>
      <c r="M484" s="48" t="n">
        <v>18.6</v>
      </c>
      <c r="N484" s="49" t="n">
        <v>3.16</v>
      </c>
      <c r="O484" s="50" t="n">
        <v>0.781</v>
      </c>
      <c r="P484" s="51" t="n">
        <v>40</v>
      </c>
      <c r="Q484" s="51" t="n">
        <v>97</v>
      </c>
      <c r="R484" s="44" t="s">
        <v>1998</v>
      </c>
      <c r="S484" s="44" t="s">
        <v>1999</v>
      </c>
      <c r="T484" s="43" t="s">
        <v>66</v>
      </c>
    </row>
    <row r="485" customFormat="false" ht="15" hidden="false" customHeight="false" outlineLevel="0" collapsed="false">
      <c r="A485" s="34" t="s">
        <v>2000</v>
      </c>
      <c r="B485" s="35" t="s">
        <v>2001</v>
      </c>
      <c r="C485" s="34" t="s">
        <v>26</v>
      </c>
      <c r="D485" s="34" t="s">
        <v>113</v>
      </c>
      <c r="E485" s="34" t="s">
        <v>74</v>
      </c>
      <c r="F485" s="34" t="s">
        <v>57</v>
      </c>
      <c r="G485" s="36" t="n">
        <v>37293</v>
      </c>
      <c r="H485" s="36" t="n">
        <v>39084</v>
      </c>
      <c r="I485" s="37" t="n">
        <v>134000</v>
      </c>
      <c r="J485" s="38" t="n">
        <v>0.225</v>
      </c>
      <c r="K485" s="37" t="n">
        <f aca="false">J485*I485</f>
        <v>30150</v>
      </c>
      <c r="L485" s="37" t="n">
        <f aca="false">I485+K485</f>
        <v>164150</v>
      </c>
      <c r="M485" s="39" t="n">
        <v>18</v>
      </c>
      <c r="N485" s="40" t="n">
        <v>3.43</v>
      </c>
      <c r="O485" s="41" t="n">
        <v>0.956</v>
      </c>
      <c r="P485" s="42" t="n">
        <v>18</v>
      </c>
      <c r="Q485" s="42" t="n">
        <v>125</v>
      </c>
      <c r="R485" s="35" t="s">
        <v>2002</v>
      </c>
      <c r="S485" s="35" t="s">
        <v>2003</v>
      </c>
      <c r="T485" s="34" t="s">
        <v>66</v>
      </c>
    </row>
    <row r="486" customFormat="false" ht="15" hidden="false" customHeight="false" outlineLevel="0" collapsed="false">
      <c r="A486" s="43" t="s">
        <v>2004</v>
      </c>
      <c r="B486" s="44" t="s">
        <v>2005</v>
      </c>
      <c r="C486" s="43" t="s">
        <v>33</v>
      </c>
      <c r="D486" s="43" t="s">
        <v>90</v>
      </c>
      <c r="E486" s="43" t="s">
        <v>96</v>
      </c>
      <c r="F486" s="43" t="s">
        <v>57</v>
      </c>
      <c r="G486" s="45" t="n">
        <v>25634</v>
      </c>
      <c r="H486" s="45" t="n">
        <v>40697</v>
      </c>
      <c r="I486" s="46" t="n">
        <v>213000</v>
      </c>
      <c r="J486" s="47" t="n">
        <v>0.117</v>
      </c>
      <c r="K486" s="46" t="n">
        <f aca="false">J486*I486</f>
        <v>24921</v>
      </c>
      <c r="L486" s="46" t="n">
        <f aca="false">I486+K486</f>
        <v>237921</v>
      </c>
      <c r="M486" s="48" t="n">
        <v>13.6</v>
      </c>
      <c r="N486" s="49" t="n">
        <v>3.09</v>
      </c>
      <c r="O486" s="50" t="n">
        <v>0.83</v>
      </c>
      <c r="P486" s="51" t="n">
        <v>25</v>
      </c>
      <c r="Q486" s="51" t="n">
        <v>60</v>
      </c>
      <c r="R486" s="44" t="s">
        <v>2006</v>
      </c>
      <c r="S486" s="44" t="s">
        <v>2007</v>
      </c>
      <c r="T486" s="43" t="s">
        <v>66</v>
      </c>
    </row>
    <row r="487" customFormat="false" ht="15" hidden="false" customHeight="false" outlineLevel="0" collapsed="false">
      <c r="A487" s="34" t="s">
        <v>2008</v>
      </c>
      <c r="B487" s="35" t="s">
        <v>2009</v>
      </c>
      <c r="C487" s="34" t="s">
        <v>26</v>
      </c>
      <c r="D487" s="34" t="s">
        <v>113</v>
      </c>
      <c r="E487" s="34" t="s">
        <v>63</v>
      </c>
      <c r="F487" s="34" t="s">
        <v>57</v>
      </c>
      <c r="G487" s="36" t="n">
        <v>33557</v>
      </c>
      <c r="H487" s="36" t="n">
        <v>45304</v>
      </c>
      <c r="I487" s="37" t="n">
        <v>135000</v>
      </c>
      <c r="J487" s="38" t="n">
        <v>0.175</v>
      </c>
      <c r="K487" s="37" t="n">
        <f aca="false">J487*I487</f>
        <v>23625</v>
      </c>
      <c r="L487" s="37" t="n">
        <f aca="false">I487+K487</f>
        <v>158625</v>
      </c>
      <c r="M487" s="39" t="n">
        <v>1</v>
      </c>
      <c r="N487" s="40" t="n">
        <v>4.99</v>
      </c>
      <c r="O487" s="41" t="n">
        <v>0.955</v>
      </c>
      <c r="P487" s="42" t="n">
        <v>34</v>
      </c>
      <c r="Q487" s="42" t="n">
        <v>146</v>
      </c>
      <c r="R487" s="35" t="s">
        <v>2010</v>
      </c>
      <c r="S487" s="35" t="s">
        <v>2011</v>
      </c>
      <c r="T487" s="34" t="s">
        <v>82</v>
      </c>
    </row>
    <row r="488" customFormat="false" ht="15" hidden="false" customHeight="false" outlineLevel="0" collapsed="false">
      <c r="A488" s="43" t="s">
        <v>2012</v>
      </c>
      <c r="B488" s="44" t="s">
        <v>2013</v>
      </c>
      <c r="C488" s="43" t="s">
        <v>29</v>
      </c>
      <c r="D488" s="43" t="s">
        <v>85</v>
      </c>
      <c r="E488" s="43" t="s">
        <v>126</v>
      </c>
      <c r="F488" s="43" t="s">
        <v>137</v>
      </c>
      <c r="G488" s="45" t="n">
        <v>27159</v>
      </c>
      <c r="H488" s="45" t="n">
        <v>39097</v>
      </c>
      <c r="I488" s="46" t="n">
        <v>90000</v>
      </c>
      <c r="J488" s="47" t="n">
        <v>0.191</v>
      </c>
      <c r="K488" s="46" t="n">
        <f aca="false">J488*I488</f>
        <v>17190</v>
      </c>
      <c r="L488" s="46" t="n">
        <f aca="false">I488+K488</f>
        <v>107190</v>
      </c>
      <c r="M488" s="48" t="n">
        <v>18</v>
      </c>
      <c r="N488" s="49" t="n">
        <v>3.92</v>
      </c>
      <c r="O488" s="50" t="n">
        <v>0.82</v>
      </c>
      <c r="P488" s="51" t="n">
        <v>11</v>
      </c>
      <c r="Q488" s="51" t="n">
        <v>25</v>
      </c>
      <c r="R488" s="44" t="s">
        <v>2014</v>
      </c>
      <c r="S488" s="44" t="s">
        <v>2015</v>
      </c>
      <c r="T488" s="43" t="s">
        <v>66</v>
      </c>
    </row>
    <row r="489" customFormat="false" ht="15" hidden="false" customHeight="false" outlineLevel="0" collapsed="false">
      <c r="A489" s="34" t="s">
        <v>2016</v>
      </c>
      <c r="B489" s="35" t="s">
        <v>2017</v>
      </c>
      <c r="C489" s="34" t="s">
        <v>28</v>
      </c>
      <c r="D489" s="34" t="s">
        <v>113</v>
      </c>
      <c r="E489" s="34" t="s">
        <v>131</v>
      </c>
      <c r="F489" s="34" t="s">
        <v>137</v>
      </c>
      <c r="G489" s="36" t="n">
        <v>27160</v>
      </c>
      <c r="H489" s="36" t="n">
        <v>40331</v>
      </c>
      <c r="I489" s="37" t="n">
        <v>220000</v>
      </c>
      <c r="J489" s="38" t="n">
        <v>0.134</v>
      </c>
      <c r="K489" s="37" t="n">
        <f aca="false">J489*I489</f>
        <v>29480</v>
      </c>
      <c r="L489" s="37" t="n">
        <f aca="false">I489+K489</f>
        <v>249480</v>
      </c>
      <c r="M489" s="39" t="n">
        <v>14.6</v>
      </c>
      <c r="N489" s="40" t="n">
        <v>3.4</v>
      </c>
      <c r="O489" s="41" t="n">
        <v>0.868</v>
      </c>
      <c r="P489" s="42" t="n">
        <v>17</v>
      </c>
      <c r="Q489" s="42" t="n">
        <v>98</v>
      </c>
      <c r="R489" s="35" t="s">
        <v>2018</v>
      </c>
      <c r="S489" s="35" t="s">
        <v>2019</v>
      </c>
      <c r="T489" s="34" t="s">
        <v>66</v>
      </c>
    </row>
    <row r="490" customFormat="false" ht="15" hidden="false" customHeight="false" outlineLevel="0" collapsed="false">
      <c r="A490" s="43" t="s">
        <v>2020</v>
      </c>
      <c r="B490" s="44" t="s">
        <v>2021</v>
      </c>
      <c r="C490" s="43" t="s">
        <v>30</v>
      </c>
      <c r="D490" s="43" t="s">
        <v>55</v>
      </c>
      <c r="E490" s="43" t="s">
        <v>151</v>
      </c>
      <c r="F490" s="43" t="s">
        <v>79</v>
      </c>
      <c r="G490" s="45" t="n">
        <v>28209</v>
      </c>
      <c r="H490" s="45" t="n">
        <v>44952</v>
      </c>
      <c r="I490" s="46" t="n">
        <v>183000</v>
      </c>
      <c r="J490" s="47" t="n">
        <v>0.1</v>
      </c>
      <c r="K490" s="46" t="n">
        <f aca="false">J490*I490</f>
        <v>18300</v>
      </c>
      <c r="L490" s="46" t="n">
        <f aca="false">I490+K490</f>
        <v>201300</v>
      </c>
      <c r="M490" s="48" t="n">
        <v>1.9</v>
      </c>
      <c r="N490" s="49" t="n">
        <v>3.94</v>
      </c>
      <c r="O490" s="50" t="n">
        <v>0.895</v>
      </c>
      <c r="P490" s="51" t="n">
        <v>12</v>
      </c>
      <c r="Q490" s="51" t="n">
        <v>82</v>
      </c>
      <c r="R490" s="44" t="s">
        <v>2022</v>
      </c>
      <c r="S490" s="44" t="s">
        <v>2023</v>
      </c>
      <c r="T490" s="43" t="s">
        <v>66</v>
      </c>
    </row>
    <row r="491" customFormat="false" ht="15" hidden="false" customHeight="false" outlineLevel="0" collapsed="false">
      <c r="A491" s="34" t="s">
        <v>2024</v>
      </c>
      <c r="B491" s="35" t="s">
        <v>1662</v>
      </c>
      <c r="C491" s="34" t="s">
        <v>29</v>
      </c>
      <c r="D491" s="34" t="s">
        <v>142</v>
      </c>
      <c r="E491" s="34" t="s">
        <v>126</v>
      </c>
      <c r="F491" s="34" t="s">
        <v>79</v>
      </c>
      <c r="G491" s="36" t="n">
        <v>31629</v>
      </c>
      <c r="H491" s="36" t="n">
        <v>39130</v>
      </c>
      <c r="I491" s="37" t="n">
        <v>142000</v>
      </c>
      <c r="J491" s="38" t="n">
        <v>0.272</v>
      </c>
      <c r="K491" s="37" t="n">
        <f aca="false">J491*I491</f>
        <v>38624</v>
      </c>
      <c r="L491" s="37" t="n">
        <f aca="false">I491+K491</f>
        <v>180624</v>
      </c>
      <c r="M491" s="39" t="n">
        <v>17.9</v>
      </c>
      <c r="N491" s="40" t="n">
        <v>3.45</v>
      </c>
      <c r="O491" s="41" t="n">
        <v>0.786</v>
      </c>
      <c r="P491" s="42" t="n">
        <v>10</v>
      </c>
      <c r="Q491" s="42" t="n">
        <v>52</v>
      </c>
      <c r="R491" s="35" t="s">
        <v>2025</v>
      </c>
      <c r="S491" s="35" t="s">
        <v>2026</v>
      </c>
      <c r="T491" s="34" t="s">
        <v>82</v>
      </c>
    </row>
    <row r="492" customFormat="false" ht="15" hidden="false" customHeight="false" outlineLevel="0" collapsed="false">
      <c r="A492" s="43" t="s">
        <v>2027</v>
      </c>
      <c r="B492" s="44" t="s">
        <v>2028</v>
      </c>
      <c r="C492" s="43" t="s">
        <v>29</v>
      </c>
      <c r="D492" s="43" t="s">
        <v>113</v>
      </c>
      <c r="E492" s="43" t="s">
        <v>74</v>
      </c>
      <c r="F492" s="43" t="s">
        <v>57</v>
      </c>
      <c r="G492" s="45" t="n">
        <v>27591</v>
      </c>
      <c r="H492" s="45" t="n">
        <v>44220</v>
      </c>
      <c r="I492" s="46" t="n">
        <v>45000</v>
      </c>
      <c r="J492" s="47" t="n">
        <v>0.09</v>
      </c>
      <c r="K492" s="46" t="n">
        <f aca="false">J492*I492</f>
        <v>4050</v>
      </c>
      <c r="L492" s="46" t="n">
        <f aca="false">I492+K492</f>
        <v>49050</v>
      </c>
      <c r="M492" s="48" t="n">
        <v>3.9</v>
      </c>
      <c r="N492" s="49" t="n">
        <v>3.07</v>
      </c>
      <c r="O492" s="50" t="n">
        <v>0.795</v>
      </c>
      <c r="P492" s="51" t="n">
        <v>19</v>
      </c>
      <c r="Q492" s="51" t="n">
        <v>191</v>
      </c>
      <c r="R492" s="44" t="s">
        <v>2029</v>
      </c>
      <c r="S492" s="44" t="s">
        <v>2030</v>
      </c>
      <c r="T492" s="43" t="s">
        <v>66</v>
      </c>
    </row>
    <row r="493" customFormat="false" ht="15" hidden="false" customHeight="false" outlineLevel="0" collapsed="false">
      <c r="A493" s="34" t="s">
        <v>2031</v>
      </c>
      <c r="B493" s="35" t="s">
        <v>2032</v>
      </c>
      <c r="C493" s="34" t="s">
        <v>33</v>
      </c>
      <c r="D493" s="34" t="s">
        <v>142</v>
      </c>
      <c r="E493" s="34" t="s">
        <v>74</v>
      </c>
      <c r="F493" s="34" t="s">
        <v>137</v>
      </c>
      <c r="G493" s="36" t="n">
        <v>36781</v>
      </c>
      <c r="H493" s="36" t="n">
        <v>39362</v>
      </c>
      <c r="I493" s="37" t="n">
        <v>141000</v>
      </c>
      <c r="J493" s="38" t="n">
        <v>0.245</v>
      </c>
      <c r="K493" s="37" t="n">
        <f aca="false">J493*I493</f>
        <v>34545</v>
      </c>
      <c r="L493" s="37" t="n">
        <f aca="false">I493+K493</f>
        <v>175545</v>
      </c>
      <c r="M493" s="39" t="n">
        <v>17.2</v>
      </c>
      <c r="N493" s="40" t="n">
        <v>4.85</v>
      </c>
      <c r="O493" s="41" t="n">
        <v>0.924</v>
      </c>
      <c r="P493" s="42" t="n">
        <v>34</v>
      </c>
      <c r="Q493" s="42" t="n">
        <v>125</v>
      </c>
      <c r="R493" s="35" t="s">
        <v>2033</v>
      </c>
      <c r="S493" s="35" t="s">
        <v>2034</v>
      </c>
      <c r="T493" s="34" t="s">
        <v>66</v>
      </c>
    </row>
    <row r="494" customFormat="false" ht="15" hidden="false" customHeight="false" outlineLevel="0" collapsed="false">
      <c r="A494" s="43" t="s">
        <v>2035</v>
      </c>
      <c r="B494" s="44" t="s">
        <v>2036</v>
      </c>
      <c r="C494" s="43" t="s">
        <v>26</v>
      </c>
      <c r="D494" s="43" t="s">
        <v>90</v>
      </c>
      <c r="E494" s="43" t="s">
        <v>63</v>
      </c>
      <c r="F494" s="43" t="s">
        <v>57</v>
      </c>
      <c r="G494" s="45" t="n">
        <v>31719</v>
      </c>
      <c r="H494" s="45" t="n">
        <v>39544</v>
      </c>
      <c r="I494" s="46" t="n">
        <v>215000</v>
      </c>
      <c r="J494" s="47" t="n">
        <v>0.109</v>
      </c>
      <c r="K494" s="46" t="n">
        <f aca="false">J494*I494</f>
        <v>23435</v>
      </c>
      <c r="L494" s="46" t="n">
        <f aca="false">I494+K494</f>
        <v>238435</v>
      </c>
      <c r="M494" s="48" t="n">
        <v>16.7</v>
      </c>
      <c r="N494" s="49" t="n">
        <v>3.13</v>
      </c>
      <c r="O494" s="50" t="n">
        <v>0.923</v>
      </c>
      <c r="P494" s="51" t="n">
        <v>6</v>
      </c>
      <c r="Q494" s="51" t="n">
        <v>63</v>
      </c>
      <c r="R494" s="44" t="s">
        <v>2037</v>
      </c>
      <c r="S494" s="44" t="s">
        <v>2038</v>
      </c>
      <c r="T494" s="43" t="s">
        <v>66</v>
      </c>
    </row>
    <row r="495" customFormat="false" ht="15" hidden="false" customHeight="false" outlineLevel="0" collapsed="false">
      <c r="A495" s="34" t="s">
        <v>2039</v>
      </c>
      <c r="B495" s="35" t="s">
        <v>2040</v>
      </c>
      <c r="C495" s="34" t="s">
        <v>30</v>
      </c>
      <c r="D495" s="34" t="s">
        <v>55</v>
      </c>
      <c r="E495" s="34" t="s">
        <v>131</v>
      </c>
      <c r="F495" s="34" t="s">
        <v>57</v>
      </c>
      <c r="G495" s="36" t="n">
        <v>37846</v>
      </c>
      <c r="H495" s="36" t="n">
        <v>44449</v>
      </c>
      <c r="I495" s="37" t="n">
        <v>149000</v>
      </c>
      <c r="J495" s="38" t="n">
        <v>0.187</v>
      </c>
      <c r="K495" s="37" t="n">
        <f aca="false">J495*I495</f>
        <v>27863</v>
      </c>
      <c r="L495" s="37" t="n">
        <f aca="false">I495+K495</f>
        <v>176863</v>
      </c>
      <c r="M495" s="39" t="n">
        <v>3.3</v>
      </c>
      <c r="N495" s="40" t="n">
        <v>2.57</v>
      </c>
      <c r="O495" s="41" t="n">
        <v>0.819</v>
      </c>
      <c r="P495" s="42" t="n">
        <v>6</v>
      </c>
      <c r="Q495" s="42" t="n">
        <v>36</v>
      </c>
      <c r="R495" s="35" t="s">
        <v>2041</v>
      </c>
      <c r="S495" s="35" t="s">
        <v>2042</v>
      </c>
      <c r="T495" s="34" t="s">
        <v>66</v>
      </c>
    </row>
    <row r="496" customFormat="false" ht="15" hidden="false" customHeight="false" outlineLevel="0" collapsed="false">
      <c r="A496" s="43" t="s">
        <v>2043</v>
      </c>
      <c r="B496" s="44" t="s">
        <v>2044</v>
      </c>
      <c r="C496" s="43" t="s">
        <v>33</v>
      </c>
      <c r="D496" s="43" t="s">
        <v>90</v>
      </c>
      <c r="E496" s="43" t="s">
        <v>131</v>
      </c>
      <c r="F496" s="43" t="s">
        <v>79</v>
      </c>
      <c r="G496" s="45" t="n">
        <v>29904</v>
      </c>
      <c r="H496" s="45" t="n">
        <v>41324</v>
      </c>
      <c r="I496" s="46" t="n">
        <v>127000</v>
      </c>
      <c r="J496" s="47" t="n">
        <v>0.127</v>
      </c>
      <c r="K496" s="46" t="n">
        <f aca="false">J496*I496</f>
        <v>16129</v>
      </c>
      <c r="L496" s="46" t="n">
        <f aca="false">I496+K496</f>
        <v>143129</v>
      </c>
      <c r="M496" s="48" t="n">
        <v>11.9</v>
      </c>
      <c r="N496" s="49" t="n">
        <v>3.12</v>
      </c>
      <c r="O496" s="50" t="n">
        <v>0.785</v>
      </c>
      <c r="P496" s="51" t="n">
        <v>9</v>
      </c>
      <c r="Q496" s="51" t="n">
        <v>43</v>
      </c>
      <c r="R496" s="44" t="s">
        <v>2045</v>
      </c>
      <c r="S496" s="44" t="s">
        <v>2046</v>
      </c>
      <c r="T496" s="43" t="s">
        <v>60</v>
      </c>
    </row>
    <row r="497" customFormat="false" ht="15" hidden="false" customHeight="false" outlineLevel="0" collapsed="false">
      <c r="A497" s="34" t="s">
        <v>2047</v>
      </c>
      <c r="B497" s="35" t="s">
        <v>2048</v>
      </c>
      <c r="C497" s="34" t="s">
        <v>26</v>
      </c>
      <c r="D497" s="34" t="s">
        <v>55</v>
      </c>
      <c r="E497" s="34" t="s">
        <v>63</v>
      </c>
      <c r="F497" s="34" t="s">
        <v>79</v>
      </c>
      <c r="G497" s="36" t="n">
        <v>28723</v>
      </c>
      <c r="H497" s="36" t="n">
        <v>40405</v>
      </c>
      <c r="I497" s="37" t="n">
        <v>118000</v>
      </c>
      <c r="J497" s="38" t="n">
        <v>0.265</v>
      </c>
      <c r="K497" s="37" t="n">
        <f aca="false">J497*I497</f>
        <v>31270</v>
      </c>
      <c r="L497" s="37" t="n">
        <f aca="false">I497+K497</f>
        <v>149270</v>
      </c>
      <c r="M497" s="39" t="n">
        <v>14.4</v>
      </c>
      <c r="N497" s="40" t="n">
        <v>3.31</v>
      </c>
      <c r="O497" s="41" t="n">
        <v>0.843</v>
      </c>
      <c r="P497" s="42" t="n">
        <v>35</v>
      </c>
      <c r="Q497" s="42" t="n">
        <v>79</v>
      </c>
      <c r="R497" s="35" t="s">
        <v>2049</v>
      </c>
      <c r="S497" s="35" t="s">
        <v>2050</v>
      </c>
      <c r="T497" s="34" t="s">
        <v>60</v>
      </c>
    </row>
    <row r="498" customFormat="false" ht="15" hidden="false" customHeight="false" outlineLevel="0" collapsed="false">
      <c r="A498" s="43" t="s">
        <v>2051</v>
      </c>
      <c r="B498" s="44" t="s">
        <v>2052</v>
      </c>
      <c r="C498" s="43" t="s">
        <v>31</v>
      </c>
      <c r="D498" s="43" t="s">
        <v>90</v>
      </c>
      <c r="E498" s="43" t="s">
        <v>136</v>
      </c>
      <c r="F498" s="43" t="s">
        <v>79</v>
      </c>
      <c r="G498" s="45" t="n">
        <v>26547</v>
      </c>
      <c r="H498" s="45" t="n">
        <v>43572</v>
      </c>
      <c r="I498" s="46" t="n">
        <v>181000</v>
      </c>
      <c r="J498" s="47" t="n">
        <v>0.164</v>
      </c>
      <c r="K498" s="46" t="n">
        <f aca="false">J498*I498</f>
        <v>29684</v>
      </c>
      <c r="L498" s="46" t="n">
        <f aca="false">I498+K498</f>
        <v>210684</v>
      </c>
      <c r="M498" s="48" t="n">
        <v>5.7</v>
      </c>
      <c r="N498" s="49" t="n">
        <v>4.37</v>
      </c>
      <c r="O498" s="50" t="n">
        <v>0.963</v>
      </c>
      <c r="P498" s="51" t="n">
        <v>28</v>
      </c>
      <c r="Q498" s="51" t="n">
        <v>144</v>
      </c>
      <c r="R498" s="44" t="s">
        <v>2053</v>
      </c>
      <c r="S498" s="44" t="s">
        <v>2054</v>
      </c>
      <c r="T498" s="43" t="s">
        <v>82</v>
      </c>
    </row>
    <row r="499" customFormat="false" ht="15" hidden="false" customHeight="false" outlineLevel="0" collapsed="false">
      <c r="A499" s="34" t="s">
        <v>2055</v>
      </c>
      <c r="B499" s="35" t="s">
        <v>2056</v>
      </c>
      <c r="C499" s="34" t="s">
        <v>32</v>
      </c>
      <c r="D499" s="34" t="s">
        <v>95</v>
      </c>
      <c r="E499" s="34" t="s">
        <v>151</v>
      </c>
      <c r="F499" s="34" t="s">
        <v>137</v>
      </c>
      <c r="G499" s="36" t="n">
        <v>27999</v>
      </c>
      <c r="H499" s="36" t="n">
        <v>41317</v>
      </c>
      <c r="I499" s="37" t="n">
        <v>166000</v>
      </c>
      <c r="J499" s="38" t="n">
        <v>0.107</v>
      </c>
      <c r="K499" s="37" t="n">
        <f aca="false">J499*I499</f>
        <v>17762</v>
      </c>
      <c r="L499" s="37" t="n">
        <f aca="false">I499+K499</f>
        <v>183762</v>
      </c>
      <c r="M499" s="39" t="n">
        <v>11.9</v>
      </c>
      <c r="N499" s="40" t="n">
        <v>2.72</v>
      </c>
      <c r="O499" s="41" t="n">
        <v>0.792</v>
      </c>
      <c r="P499" s="42" t="n">
        <v>27</v>
      </c>
      <c r="Q499" s="42" t="n">
        <v>76</v>
      </c>
      <c r="R499" s="35" t="s">
        <v>2057</v>
      </c>
      <c r="S499" s="35" t="s">
        <v>2058</v>
      </c>
      <c r="T499" s="34" t="s">
        <v>66</v>
      </c>
    </row>
    <row r="500" customFormat="false" ht="15" hidden="false" customHeight="false" outlineLevel="0" collapsed="false">
      <c r="A500" s="43" t="s">
        <v>2059</v>
      </c>
      <c r="B500" s="44" t="s">
        <v>2060</v>
      </c>
      <c r="C500" s="43" t="s">
        <v>28</v>
      </c>
      <c r="D500" s="43" t="s">
        <v>55</v>
      </c>
      <c r="E500" s="43" t="s">
        <v>63</v>
      </c>
      <c r="F500" s="43" t="s">
        <v>79</v>
      </c>
      <c r="G500" s="45" t="n">
        <v>30303</v>
      </c>
      <c r="H500" s="45" t="n">
        <v>41274</v>
      </c>
      <c r="I500" s="46" t="n">
        <v>238000</v>
      </c>
      <c r="J500" s="47" t="n">
        <v>0.24</v>
      </c>
      <c r="K500" s="46" t="n">
        <f aca="false">J500*I500</f>
        <v>57120</v>
      </c>
      <c r="L500" s="46" t="n">
        <f aca="false">I500+K500</f>
        <v>295120</v>
      </c>
      <c r="M500" s="48" t="n">
        <v>12</v>
      </c>
      <c r="N500" s="49" t="n">
        <v>2.84</v>
      </c>
      <c r="O500" s="50" t="n">
        <v>0.786</v>
      </c>
      <c r="P500" s="51" t="n">
        <v>35</v>
      </c>
      <c r="Q500" s="51" t="n">
        <v>12</v>
      </c>
      <c r="R500" s="44" t="s">
        <v>2061</v>
      </c>
      <c r="S500" s="44" t="s">
        <v>2062</v>
      </c>
      <c r="T500" s="43" t="s">
        <v>82</v>
      </c>
    </row>
    <row r="501" customFormat="false" ht="15" hidden="false" customHeight="false" outlineLevel="0" collapsed="false">
      <c r="A501" s="34" t="s">
        <v>2063</v>
      </c>
      <c r="B501" s="35" t="s">
        <v>2064</v>
      </c>
      <c r="C501" s="34" t="s">
        <v>31</v>
      </c>
      <c r="D501" s="34" t="s">
        <v>85</v>
      </c>
      <c r="E501" s="34" t="s">
        <v>126</v>
      </c>
      <c r="F501" s="34" t="s">
        <v>137</v>
      </c>
      <c r="G501" s="36" t="n">
        <v>30874</v>
      </c>
      <c r="H501" s="36" t="n">
        <v>43785</v>
      </c>
      <c r="I501" s="37" t="n">
        <v>27000</v>
      </c>
      <c r="J501" s="38" t="n">
        <v>0.241</v>
      </c>
      <c r="K501" s="37" t="n">
        <f aca="false">J501*I501</f>
        <v>6507</v>
      </c>
      <c r="L501" s="37" t="n">
        <f aca="false">I501+K501</f>
        <v>33507</v>
      </c>
      <c r="M501" s="39" t="n">
        <v>5.1</v>
      </c>
      <c r="N501" s="40" t="n">
        <v>4.49</v>
      </c>
      <c r="O501" s="41" t="n">
        <v>0.879</v>
      </c>
      <c r="P501" s="42" t="n">
        <v>1</v>
      </c>
      <c r="Q501" s="42" t="n">
        <v>150</v>
      </c>
      <c r="R501" s="35" t="s">
        <v>2065</v>
      </c>
      <c r="S501" s="35" t="s">
        <v>2066</v>
      </c>
      <c r="T501" s="34" t="s">
        <v>66</v>
      </c>
    </row>
    <row r="502" customFormat="false" ht="15" hidden="false" customHeight="false" outlineLevel="0" collapsed="false">
      <c r="A502" s="43" t="s">
        <v>2067</v>
      </c>
      <c r="B502" s="44" t="s">
        <v>2068</v>
      </c>
      <c r="C502" s="43" t="s">
        <v>27</v>
      </c>
      <c r="D502" s="43" t="s">
        <v>113</v>
      </c>
      <c r="E502" s="43" t="s">
        <v>74</v>
      </c>
      <c r="F502" s="43" t="s">
        <v>137</v>
      </c>
      <c r="G502" s="45" t="n">
        <v>31597</v>
      </c>
      <c r="H502" s="45" t="n">
        <v>42354</v>
      </c>
      <c r="I502" s="46" t="n">
        <v>90000</v>
      </c>
      <c r="J502" s="47" t="n">
        <v>0.091</v>
      </c>
      <c r="K502" s="46" t="n">
        <f aca="false">J502*I502</f>
        <v>8190</v>
      </c>
      <c r="L502" s="46" t="n">
        <f aca="false">I502+K502</f>
        <v>98190</v>
      </c>
      <c r="M502" s="48" t="n">
        <v>9</v>
      </c>
      <c r="N502" s="49" t="n">
        <v>4.34</v>
      </c>
      <c r="O502" s="50" t="n">
        <v>0.817</v>
      </c>
      <c r="P502" s="51" t="n">
        <v>25</v>
      </c>
      <c r="Q502" s="51" t="n">
        <v>66</v>
      </c>
      <c r="R502" s="44" t="s">
        <v>2069</v>
      </c>
      <c r="S502" s="44" t="s">
        <v>2070</v>
      </c>
      <c r="T502" s="43" t="s">
        <v>66</v>
      </c>
    </row>
    <row r="503" customFormat="false" ht="15" hidden="false" customHeight="false" outlineLevel="0" collapsed="false">
      <c r="A503" s="52" t="s">
        <v>2071</v>
      </c>
      <c r="B503" s="53"/>
      <c r="C503" s="53"/>
      <c r="D503" s="53"/>
      <c r="E503" s="53"/>
      <c r="F503" s="53"/>
      <c r="G503" s="53"/>
      <c r="H503" s="53"/>
      <c r="I503" s="54" t="n">
        <f aca="false">AVERAGE(I3:I502)</f>
        <v>140280</v>
      </c>
      <c r="J503" s="53"/>
      <c r="K503" s="54" t="n">
        <f aca="false">SUM(K3:K502)</f>
        <v>12699263</v>
      </c>
      <c r="L503" s="54" t="n">
        <f aca="false">SUM(L3:L502)</f>
        <v>82839263</v>
      </c>
      <c r="M503" s="55" t="n">
        <f aca="false">AVERAGE(M3:M502)</f>
        <v>10.5136</v>
      </c>
      <c r="N503" s="56" t="n">
        <f aca="false">AVERAGE(N3:N502)</f>
        <v>3.69766</v>
      </c>
      <c r="O503" s="57" t="n">
        <f aca="false">AVERAGE(O3:O502)</f>
        <v>0.860214</v>
      </c>
      <c r="P503" s="58" t="n">
        <f aca="false">SUM(P3:P502)</f>
        <v>10301</v>
      </c>
      <c r="Q503" s="58" t="n">
        <f aca="false">SUM(Q3:Q502)</f>
        <v>52772</v>
      </c>
      <c r="R503" s="53"/>
      <c r="S503" s="53"/>
      <c r="T503" s="53"/>
    </row>
  </sheetData>
  <autoFilter ref="A2:T502"/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T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20"/>
    <col collapsed="false" customWidth="true" hidden="false" outlineLevel="0" max="19" min="19" style="0" width="8"/>
    <col collapsed="false" customWidth="true" hidden="false" outlineLevel="0" max="20" min="20" style="0" width="12"/>
  </cols>
  <sheetData>
    <row r="1" customFormat="false" ht="16.15" hidden="false" customHeight="false" outlineLevel="0" collapsed="false">
      <c r="A1" s="59" t="s">
        <v>2072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customFormat="false" ht="15" hidden="false" customHeight="false" outlineLevel="0" collapsed="false">
      <c r="A2" s="60" t="s">
        <v>2073</v>
      </c>
      <c r="B2" s="60" t="s">
        <v>2074</v>
      </c>
      <c r="C2" s="60" t="s">
        <v>2075</v>
      </c>
      <c r="D2" s="60" t="s">
        <v>31</v>
      </c>
      <c r="E2" s="60" t="s">
        <v>2076</v>
      </c>
      <c r="F2" s="60" t="s">
        <v>2077</v>
      </c>
      <c r="G2" s="60" t="s">
        <v>2078</v>
      </c>
      <c r="H2" s="60" t="s">
        <v>2079</v>
      </c>
      <c r="I2" s="60" t="s">
        <v>2080</v>
      </c>
      <c r="J2" s="60" t="s">
        <v>2081</v>
      </c>
      <c r="K2" s="60" t="s">
        <v>2082</v>
      </c>
      <c r="L2" s="60" t="s">
        <v>10</v>
      </c>
      <c r="M2" s="60" t="s">
        <v>2083</v>
      </c>
      <c r="N2" s="60" t="s">
        <v>2084</v>
      </c>
      <c r="O2" s="60" t="s">
        <v>2085</v>
      </c>
      <c r="P2" s="60" t="s">
        <v>2086</v>
      </c>
      <c r="Q2" s="60" t="s">
        <v>2087</v>
      </c>
      <c r="R2" s="60" t="s">
        <v>2088</v>
      </c>
      <c r="S2" s="60" t="s">
        <v>2089</v>
      </c>
      <c r="T2" s="60" t="s">
        <v>2090</v>
      </c>
    </row>
    <row r="3" customFormat="false" ht="15" hidden="false" customHeight="false" outlineLevel="0" collapsed="false">
      <c r="A3" s="34" t="s">
        <v>2091</v>
      </c>
      <c r="B3" s="34" t="s">
        <v>2092</v>
      </c>
      <c r="C3" s="42" t="n">
        <v>2023</v>
      </c>
      <c r="D3" s="35" t="s">
        <v>2093</v>
      </c>
      <c r="E3" s="35" t="s">
        <v>2094</v>
      </c>
      <c r="F3" s="34" t="s">
        <v>2095</v>
      </c>
      <c r="G3" s="34" t="s">
        <v>2096</v>
      </c>
      <c r="H3" s="37" t="n">
        <v>392</v>
      </c>
      <c r="I3" s="37" t="n">
        <v>2999</v>
      </c>
      <c r="J3" s="37" t="n">
        <f aca="false">H3*I3</f>
        <v>1175608</v>
      </c>
      <c r="K3" s="37" t="n">
        <f aca="false">J3*0.68</f>
        <v>799413.44</v>
      </c>
      <c r="L3" s="37" t="n">
        <f aca="false">J3-K3</f>
        <v>376194.56</v>
      </c>
      <c r="M3" s="38" t="n">
        <f aca="false">IF(J3=0,0,L3/J3)</f>
        <v>0.32</v>
      </c>
      <c r="N3" s="38" t="n">
        <v>0.12</v>
      </c>
      <c r="O3" s="37" t="n">
        <f aca="false">J3*(1-N3)</f>
        <v>1034535.04</v>
      </c>
      <c r="P3" s="37" t="n">
        <v>8</v>
      </c>
      <c r="Q3" s="38" t="n">
        <f aca="false">IF(H3=0,0,P3/H3)</f>
        <v>0.0204081632653061</v>
      </c>
      <c r="R3" s="35" t="s">
        <v>2097</v>
      </c>
      <c r="S3" s="34" t="s">
        <v>2098</v>
      </c>
      <c r="T3" s="34" t="s">
        <v>2099</v>
      </c>
    </row>
    <row r="4" customFormat="false" ht="15" hidden="false" customHeight="false" outlineLevel="0" collapsed="false">
      <c r="A4" s="43" t="s">
        <v>2100</v>
      </c>
      <c r="B4" s="43" t="s">
        <v>2101</v>
      </c>
      <c r="C4" s="51" t="n">
        <v>2024</v>
      </c>
      <c r="D4" s="44" t="s">
        <v>2102</v>
      </c>
      <c r="E4" s="44" t="s">
        <v>2103</v>
      </c>
      <c r="F4" s="43" t="s">
        <v>2104</v>
      </c>
      <c r="G4" s="43" t="s">
        <v>2105</v>
      </c>
      <c r="H4" s="46" t="n">
        <v>212</v>
      </c>
      <c r="I4" s="46" t="n">
        <v>2499</v>
      </c>
      <c r="J4" s="46" t="n">
        <f aca="false">H4*I4</f>
        <v>529788</v>
      </c>
      <c r="K4" s="46" t="n">
        <f aca="false">J4*0.66</f>
        <v>349660.08</v>
      </c>
      <c r="L4" s="46" t="n">
        <f aca="false">J4-K4</f>
        <v>180127.92</v>
      </c>
      <c r="M4" s="47" t="n">
        <f aca="false">IF(J4=0,0,L4/J4)</f>
        <v>0.34</v>
      </c>
      <c r="N4" s="47" t="n">
        <v>0.03</v>
      </c>
      <c r="O4" s="46" t="n">
        <f aca="false">J4*(1-N4)</f>
        <v>513894.36</v>
      </c>
      <c r="P4" s="46" t="n">
        <v>4</v>
      </c>
      <c r="Q4" s="47" t="n">
        <f aca="false">IF(H4=0,0,P4/H4)</f>
        <v>0.0188679245283019</v>
      </c>
      <c r="R4" s="44" t="s">
        <v>2106</v>
      </c>
      <c r="S4" s="43" t="s">
        <v>2107</v>
      </c>
      <c r="T4" s="43" t="s">
        <v>2099</v>
      </c>
    </row>
    <row r="5" customFormat="false" ht="15" hidden="false" customHeight="false" outlineLevel="0" collapsed="false">
      <c r="A5" s="34" t="s">
        <v>2108</v>
      </c>
      <c r="B5" s="34" t="s">
        <v>2101</v>
      </c>
      <c r="C5" s="42" t="n">
        <v>2023</v>
      </c>
      <c r="D5" s="35" t="s">
        <v>2109</v>
      </c>
      <c r="E5" s="35" t="s">
        <v>2110</v>
      </c>
      <c r="F5" s="34" t="s">
        <v>2111</v>
      </c>
      <c r="G5" s="34" t="s">
        <v>2105</v>
      </c>
      <c r="H5" s="37" t="n">
        <v>359</v>
      </c>
      <c r="I5" s="37" t="n">
        <v>11999</v>
      </c>
      <c r="J5" s="37" t="n">
        <f aca="false">H5*I5</f>
        <v>4307641</v>
      </c>
      <c r="K5" s="37" t="n">
        <f aca="false">J5*0.57</f>
        <v>2455355.37</v>
      </c>
      <c r="L5" s="37" t="n">
        <f aca="false">J5-K5</f>
        <v>1852285.63</v>
      </c>
      <c r="M5" s="38" t="n">
        <f aca="false">IF(J5=0,0,L5/J5)</f>
        <v>0.43</v>
      </c>
      <c r="N5" s="38" t="n">
        <v>0.05</v>
      </c>
      <c r="O5" s="37" t="n">
        <f aca="false">J5*(1-N5)</f>
        <v>4092258.95</v>
      </c>
      <c r="P5" s="37" t="n">
        <v>4</v>
      </c>
      <c r="Q5" s="38" t="n">
        <f aca="false">IF(H5=0,0,P5/H5)</f>
        <v>0.011142061281337</v>
      </c>
      <c r="R5" s="35" t="s">
        <v>2112</v>
      </c>
      <c r="S5" s="34" t="s">
        <v>2107</v>
      </c>
      <c r="T5" s="34" t="s">
        <v>2099</v>
      </c>
    </row>
    <row r="6" customFormat="false" ht="15" hidden="false" customHeight="false" outlineLevel="0" collapsed="false">
      <c r="A6" s="43" t="s">
        <v>2113</v>
      </c>
      <c r="B6" s="43" t="s">
        <v>2114</v>
      </c>
      <c r="C6" s="51" t="n">
        <v>2022</v>
      </c>
      <c r="D6" s="44" t="s">
        <v>2115</v>
      </c>
      <c r="E6" s="44" t="s">
        <v>2103</v>
      </c>
      <c r="F6" s="43" t="s">
        <v>2116</v>
      </c>
      <c r="G6" s="43" t="s">
        <v>2105</v>
      </c>
      <c r="H6" s="46" t="n">
        <v>138</v>
      </c>
      <c r="I6" s="46" t="n">
        <v>12999</v>
      </c>
      <c r="J6" s="46" t="n">
        <f aca="false">H6*I6</f>
        <v>1793862</v>
      </c>
      <c r="K6" s="46" t="n">
        <f aca="false">J6*0.63</f>
        <v>1130133.06</v>
      </c>
      <c r="L6" s="46" t="n">
        <f aca="false">J6-K6</f>
        <v>663728.94</v>
      </c>
      <c r="M6" s="47" t="n">
        <f aca="false">IF(J6=0,0,L6/J6)</f>
        <v>0.37</v>
      </c>
      <c r="N6" s="47" t="n">
        <v>0.11</v>
      </c>
      <c r="O6" s="46" t="n">
        <f aca="false">J6*(1-N6)</f>
        <v>1596537.18</v>
      </c>
      <c r="P6" s="46" t="n">
        <v>1</v>
      </c>
      <c r="Q6" s="47" t="n">
        <f aca="false">IF(H6=0,0,P6/H6)</f>
        <v>0.0072463768115942</v>
      </c>
      <c r="R6" s="44" t="s">
        <v>2117</v>
      </c>
      <c r="S6" s="43" t="s">
        <v>2118</v>
      </c>
      <c r="T6" s="43" t="s">
        <v>2099</v>
      </c>
    </row>
    <row r="7" customFormat="false" ht="15" hidden="false" customHeight="false" outlineLevel="0" collapsed="false">
      <c r="A7" s="34" t="s">
        <v>2119</v>
      </c>
      <c r="B7" s="34" t="s">
        <v>2120</v>
      </c>
      <c r="C7" s="42" t="n">
        <v>2022</v>
      </c>
      <c r="D7" s="35" t="s">
        <v>2121</v>
      </c>
      <c r="E7" s="35" t="s">
        <v>2122</v>
      </c>
      <c r="F7" s="34" t="s">
        <v>2095</v>
      </c>
      <c r="G7" s="34" t="s">
        <v>2105</v>
      </c>
      <c r="H7" s="37" t="n">
        <v>216</v>
      </c>
      <c r="I7" s="37" t="n">
        <v>35999</v>
      </c>
      <c r="J7" s="37" t="n">
        <f aca="false">H7*I7</f>
        <v>7775784</v>
      </c>
      <c r="K7" s="37" t="n">
        <f aca="false">J7*0.65</f>
        <v>5054259.6</v>
      </c>
      <c r="L7" s="37" t="n">
        <f aca="false">J7-K7</f>
        <v>2721524.4</v>
      </c>
      <c r="M7" s="38" t="n">
        <f aca="false">IF(J7=0,0,L7/J7)</f>
        <v>0.35</v>
      </c>
      <c r="N7" s="38" t="n">
        <v>0.07</v>
      </c>
      <c r="O7" s="37" t="n">
        <f aca="false">J7*(1-N7)</f>
        <v>7231479.12</v>
      </c>
      <c r="P7" s="37" t="n">
        <v>5</v>
      </c>
      <c r="Q7" s="38" t="n">
        <f aca="false">IF(H7=0,0,P7/H7)</f>
        <v>0.0231481481481481</v>
      </c>
      <c r="R7" s="35" t="s">
        <v>2123</v>
      </c>
      <c r="S7" s="34" t="s">
        <v>2098</v>
      </c>
      <c r="T7" s="34" t="s">
        <v>2124</v>
      </c>
    </row>
    <row r="8" customFormat="false" ht="15" hidden="false" customHeight="false" outlineLevel="0" collapsed="false">
      <c r="A8" s="43" t="s">
        <v>2125</v>
      </c>
      <c r="B8" s="43" t="s">
        <v>2126</v>
      </c>
      <c r="C8" s="51" t="n">
        <v>2022</v>
      </c>
      <c r="D8" s="44" t="s">
        <v>2127</v>
      </c>
      <c r="E8" s="44" t="s">
        <v>2128</v>
      </c>
      <c r="F8" s="43" t="s">
        <v>2116</v>
      </c>
      <c r="G8" s="43" t="s">
        <v>2129</v>
      </c>
      <c r="H8" s="46" t="n">
        <v>29</v>
      </c>
      <c r="I8" s="46" t="n">
        <v>35999</v>
      </c>
      <c r="J8" s="46" t="n">
        <f aca="false">H8*I8</f>
        <v>1043971</v>
      </c>
      <c r="K8" s="46" t="n">
        <f aca="false">J8*0.64</f>
        <v>668141.44</v>
      </c>
      <c r="L8" s="46" t="n">
        <f aca="false">J8-K8</f>
        <v>375829.56</v>
      </c>
      <c r="M8" s="47" t="n">
        <f aca="false">IF(J8=0,0,L8/J8)</f>
        <v>0.36</v>
      </c>
      <c r="N8" s="47" t="n">
        <v>0.01</v>
      </c>
      <c r="O8" s="46" t="n">
        <f aca="false">J8*(1-N8)</f>
        <v>1033531.29</v>
      </c>
      <c r="P8" s="46" t="n">
        <v>1</v>
      </c>
      <c r="Q8" s="47" t="n">
        <f aca="false">IF(H8=0,0,P8/H8)</f>
        <v>0.0344827586206897</v>
      </c>
      <c r="R8" s="44" t="s">
        <v>2130</v>
      </c>
      <c r="S8" s="43" t="s">
        <v>2107</v>
      </c>
      <c r="T8" s="43" t="s">
        <v>2099</v>
      </c>
    </row>
    <row r="9" customFormat="false" ht="15" hidden="false" customHeight="false" outlineLevel="0" collapsed="false">
      <c r="A9" s="34" t="s">
        <v>2131</v>
      </c>
      <c r="B9" s="34" t="s">
        <v>2132</v>
      </c>
      <c r="C9" s="42" t="n">
        <v>2023</v>
      </c>
      <c r="D9" s="35" t="s">
        <v>2133</v>
      </c>
      <c r="E9" s="35" t="s">
        <v>2103</v>
      </c>
      <c r="F9" s="34" t="s">
        <v>2111</v>
      </c>
      <c r="G9" s="34" t="s">
        <v>2134</v>
      </c>
      <c r="H9" s="37" t="n">
        <v>63</v>
      </c>
      <c r="I9" s="37" t="n">
        <v>2999</v>
      </c>
      <c r="J9" s="37" t="n">
        <f aca="false">H9*I9</f>
        <v>188937</v>
      </c>
      <c r="K9" s="37" t="n">
        <f aca="false">J9*0.63</f>
        <v>119030.31</v>
      </c>
      <c r="L9" s="37" t="n">
        <f aca="false">J9-K9</f>
        <v>69906.69</v>
      </c>
      <c r="M9" s="38" t="n">
        <f aca="false">IF(J9=0,0,L9/J9)</f>
        <v>0.37</v>
      </c>
      <c r="N9" s="38" t="n">
        <v>0.06</v>
      </c>
      <c r="O9" s="37" t="n">
        <f aca="false">J9*(1-N9)</f>
        <v>177600.78</v>
      </c>
      <c r="P9" s="37" t="n">
        <v>3</v>
      </c>
      <c r="Q9" s="38" t="n">
        <f aca="false">IF(H9=0,0,P9/H9)</f>
        <v>0.0476190476190476</v>
      </c>
      <c r="R9" s="35" t="s">
        <v>2135</v>
      </c>
      <c r="S9" s="34" t="s">
        <v>2136</v>
      </c>
      <c r="T9" s="34" t="s">
        <v>2099</v>
      </c>
    </row>
    <row r="10" customFormat="false" ht="15" hidden="false" customHeight="false" outlineLevel="0" collapsed="false">
      <c r="A10" s="43" t="s">
        <v>2137</v>
      </c>
      <c r="B10" s="43" t="s">
        <v>2126</v>
      </c>
      <c r="C10" s="51" t="n">
        <v>2022</v>
      </c>
      <c r="D10" s="44" t="s">
        <v>2138</v>
      </c>
      <c r="E10" s="44" t="s">
        <v>2128</v>
      </c>
      <c r="F10" s="43" t="s">
        <v>2111</v>
      </c>
      <c r="G10" s="43" t="s">
        <v>2134</v>
      </c>
      <c r="H10" s="46" t="n">
        <v>267</v>
      </c>
      <c r="I10" s="46" t="n">
        <v>24999</v>
      </c>
      <c r="J10" s="46" t="n">
        <f aca="false">H10*I10</f>
        <v>6674733</v>
      </c>
      <c r="K10" s="46" t="n">
        <f aca="false">J10*0.7</f>
        <v>4672313.1</v>
      </c>
      <c r="L10" s="46" t="n">
        <f aca="false">J10-K10</f>
        <v>2002419.9</v>
      </c>
      <c r="M10" s="47" t="n">
        <f aca="false">IF(J10=0,0,L10/J10)</f>
        <v>0.3</v>
      </c>
      <c r="N10" s="47" t="n">
        <v>0.07</v>
      </c>
      <c r="O10" s="46" t="n">
        <f aca="false">J10*(1-N10)</f>
        <v>6207501.69</v>
      </c>
      <c r="P10" s="46" t="n">
        <v>10</v>
      </c>
      <c r="Q10" s="47" t="n">
        <f aca="false">IF(H10=0,0,P10/H10)</f>
        <v>0.0374531835205993</v>
      </c>
      <c r="R10" s="44" t="s">
        <v>2139</v>
      </c>
      <c r="S10" s="43" t="s">
        <v>2107</v>
      </c>
      <c r="T10" s="43" t="s">
        <v>2099</v>
      </c>
    </row>
    <row r="11" customFormat="false" ht="15" hidden="false" customHeight="false" outlineLevel="0" collapsed="false">
      <c r="A11" s="34" t="s">
        <v>2140</v>
      </c>
      <c r="B11" s="34" t="s">
        <v>2141</v>
      </c>
      <c r="C11" s="42" t="n">
        <v>2022</v>
      </c>
      <c r="D11" s="35" t="s">
        <v>2093</v>
      </c>
      <c r="E11" s="35" t="s">
        <v>2094</v>
      </c>
      <c r="F11" s="34" t="s">
        <v>2142</v>
      </c>
      <c r="G11" s="34" t="s">
        <v>2134</v>
      </c>
      <c r="H11" s="37" t="n">
        <v>382</v>
      </c>
      <c r="I11" s="37" t="n">
        <v>299</v>
      </c>
      <c r="J11" s="37" t="n">
        <f aca="false">H11*I11</f>
        <v>114218</v>
      </c>
      <c r="K11" s="37" t="n">
        <f aca="false">J11*0.59</f>
        <v>67388.62</v>
      </c>
      <c r="L11" s="37" t="n">
        <f aca="false">J11-K11</f>
        <v>46829.38</v>
      </c>
      <c r="M11" s="38" t="n">
        <f aca="false">IF(J11=0,0,L11/J11)</f>
        <v>0.41</v>
      </c>
      <c r="N11" s="38" t="n">
        <v>0.02</v>
      </c>
      <c r="O11" s="37" t="n">
        <f aca="false">J11*(1-N11)</f>
        <v>111933.64</v>
      </c>
      <c r="P11" s="37" t="n">
        <v>15</v>
      </c>
      <c r="Q11" s="38" t="n">
        <f aca="false">IF(H11=0,0,P11/H11)</f>
        <v>0.0392670157068063</v>
      </c>
      <c r="R11" s="35" t="s">
        <v>2143</v>
      </c>
      <c r="S11" s="34" t="s">
        <v>2136</v>
      </c>
      <c r="T11" s="34" t="s">
        <v>2099</v>
      </c>
    </row>
    <row r="12" customFormat="false" ht="15" hidden="false" customHeight="false" outlineLevel="0" collapsed="false">
      <c r="A12" s="43" t="s">
        <v>2144</v>
      </c>
      <c r="B12" s="43" t="s">
        <v>2132</v>
      </c>
      <c r="C12" s="51" t="n">
        <v>2023</v>
      </c>
      <c r="D12" s="44" t="s">
        <v>2145</v>
      </c>
      <c r="E12" s="44" t="s">
        <v>2103</v>
      </c>
      <c r="F12" s="43" t="s">
        <v>2116</v>
      </c>
      <c r="G12" s="43" t="s">
        <v>2129</v>
      </c>
      <c r="H12" s="46" t="n">
        <v>499</v>
      </c>
      <c r="I12" s="46" t="n">
        <v>7999</v>
      </c>
      <c r="J12" s="46" t="n">
        <f aca="false">H12*I12</f>
        <v>3991501</v>
      </c>
      <c r="K12" s="46" t="n">
        <f aca="false">J12*0.51</f>
        <v>2035665.51</v>
      </c>
      <c r="L12" s="46" t="n">
        <f aca="false">J12-K12</f>
        <v>1955835.49</v>
      </c>
      <c r="M12" s="47" t="n">
        <f aca="false">IF(J12=0,0,L12/J12)</f>
        <v>0.49</v>
      </c>
      <c r="N12" s="47" t="n">
        <v>0.07</v>
      </c>
      <c r="O12" s="46" t="n">
        <f aca="false">J12*(1-N12)</f>
        <v>3712095.93</v>
      </c>
      <c r="P12" s="46" t="n">
        <v>0</v>
      </c>
      <c r="Q12" s="47" t="n">
        <f aca="false">IF(H12=0,0,P12/H12)</f>
        <v>0</v>
      </c>
      <c r="R12" s="44" t="s">
        <v>2146</v>
      </c>
      <c r="S12" s="43" t="s">
        <v>2136</v>
      </c>
      <c r="T12" s="43" t="s">
        <v>2099</v>
      </c>
    </row>
    <row r="13" customFormat="false" ht="15" hidden="false" customHeight="false" outlineLevel="0" collapsed="false">
      <c r="A13" s="34" t="s">
        <v>2147</v>
      </c>
      <c r="B13" s="34" t="s">
        <v>2148</v>
      </c>
      <c r="C13" s="42" t="n">
        <v>2024</v>
      </c>
      <c r="D13" s="35" t="s">
        <v>2149</v>
      </c>
      <c r="E13" s="35" t="s">
        <v>2128</v>
      </c>
      <c r="F13" s="34" t="s">
        <v>2111</v>
      </c>
      <c r="G13" s="34" t="s">
        <v>2129</v>
      </c>
      <c r="H13" s="37" t="n">
        <v>5</v>
      </c>
      <c r="I13" s="37" t="n">
        <v>4999</v>
      </c>
      <c r="J13" s="37" t="n">
        <f aca="false">H13*I13</f>
        <v>24995</v>
      </c>
      <c r="K13" s="37" t="n">
        <f aca="false">J13*0.6</f>
        <v>14997</v>
      </c>
      <c r="L13" s="37" t="n">
        <f aca="false">J13-K13</f>
        <v>9998</v>
      </c>
      <c r="M13" s="38" t="n">
        <f aca="false">IF(J13=0,0,L13/J13)</f>
        <v>0.4</v>
      </c>
      <c r="N13" s="38" t="n">
        <v>0.1</v>
      </c>
      <c r="O13" s="37" t="n">
        <f aca="false">J13*(1-N13)</f>
        <v>22495.5</v>
      </c>
      <c r="P13" s="37" t="n">
        <v>0</v>
      </c>
      <c r="Q13" s="38" t="n">
        <f aca="false">IF(H13=0,0,P13/H13)</f>
        <v>0</v>
      </c>
      <c r="R13" s="35" t="s">
        <v>2150</v>
      </c>
      <c r="S13" s="34" t="s">
        <v>2136</v>
      </c>
      <c r="T13" s="34" t="s">
        <v>2099</v>
      </c>
    </row>
    <row r="14" customFormat="false" ht="15" hidden="false" customHeight="false" outlineLevel="0" collapsed="false">
      <c r="A14" s="43" t="s">
        <v>2151</v>
      </c>
      <c r="B14" s="43" t="s">
        <v>2092</v>
      </c>
      <c r="C14" s="51" t="n">
        <v>2022</v>
      </c>
      <c r="D14" s="44" t="s">
        <v>2115</v>
      </c>
      <c r="E14" s="44" t="s">
        <v>2103</v>
      </c>
      <c r="F14" s="43" t="s">
        <v>2111</v>
      </c>
      <c r="G14" s="43" t="s">
        <v>2134</v>
      </c>
      <c r="H14" s="46" t="n">
        <v>352</v>
      </c>
      <c r="I14" s="46" t="n">
        <v>11999</v>
      </c>
      <c r="J14" s="46" t="n">
        <f aca="false">H14*I14</f>
        <v>4223648</v>
      </c>
      <c r="K14" s="46" t="n">
        <f aca="false">J14*0.53</f>
        <v>2238533.44</v>
      </c>
      <c r="L14" s="46" t="n">
        <f aca="false">J14-K14</f>
        <v>1985114.56</v>
      </c>
      <c r="M14" s="47" t="n">
        <f aca="false">IF(J14=0,0,L14/J14)</f>
        <v>0.47</v>
      </c>
      <c r="N14" s="47" t="n">
        <v>0.15</v>
      </c>
      <c r="O14" s="46" t="n">
        <f aca="false">J14*(1-N14)</f>
        <v>3590100.8</v>
      </c>
      <c r="P14" s="46" t="n">
        <v>1</v>
      </c>
      <c r="Q14" s="47" t="n">
        <f aca="false">IF(H14=0,0,P14/H14)</f>
        <v>0.00284090909090909</v>
      </c>
      <c r="R14" s="44" t="s">
        <v>2152</v>
      </c>
      <c r="S14" s="43" t="s">
        <v>2098</v>
      </c>
      <c r="T14" s="43" t="s">
        <v>2099</v>
      </c>
    </row>
    <row r="15" customFormat="false" ht="15" hidden="false" customHeight="false" outlineLevel="0" collapsed="false">
      <c r="A15" s="34" t="s">
        <v>2153</v>
      </c>
      <c r="B15" s="34" t="s">
        <v>2141</v>
      </c>
      <c r="C15" s="42" t="n">
        <v>2024</v>
      </c>
      <c r="D15" s="35" t="s">
        <v>2115</v>
      </c>
      <c r="E15" s="35" t="s">
        <v>2103</v>
      </c>
      <c r="F15" s="34" t="s">
        <v>2142</v>
      </c>
      <c r="G15" s="34" t="s">
        <v>2096</v>
      </c>
      <c r="H15" s="37" t="n">
        <v>406</v>
      </c>
      <c r="I15" s="37" t="n">
        <v>7999</v>
      </c>
      <c r="J15" s="37" t="n">
        <f aca="false">H15*I15</f>
        <v>3247594</v>
      </c>
      <c r="K15" s="37" t="n">
        <f aca="false">J15*0.48</f>
        <v>1558845.12</v>
      </c>
      <c r="L15" s="37" t="n">
        <f aca="false">J15-K15</f>
        <v>1688748.88</v>
      </c>
      <c r="M15" s="38" t="n">
        <f aca="false">IF(J15=0,0,L15/J15)</f>
        <v>0.52</v>
      </c>
      <c r="N15" s="38" t="n">
        <v>0.03</v>
      </c>
      <c r="O15" s="37" t="n">
        <f aca="false">J15*(1-N15)</f>
        <v>3150166.18</v>
      </c>
      <c r="P15" s="37" t="n">
        <v>17</v>
      </c>
      <c r="Q15" s="38" t="n">
        <f aca="false">IF(H15=0,0,P15/H15)</f>
        <v>0.041871921182266</v>
      </c>
      <c r="R15" s="35" t="s">
        <v>2154</v>
      </c>
      <c r="S15" s="34" t="s">
        <v>2136</v>
      </c>
      <c r="T15" s="34" t="s">
        <v>2099</v>
      </c>
    </row>
    <row r="16" customFormat="false" ht="15" hidden="false" customHeight="false" outlineLevel="0" collapsed="false">
      <c r="A16" s="43" t="s">
        <v>2155</v>
      </c>
      <c r="B16" s="43" t="s">
        <v>2156</v>
      </c>
      <c r="C16" s="51" t="n">
        <v>2024</v>
      </c>
      <c r="D16" s="44" t="s">
        <v>2138</v>
      </c>
      <c r="E16" s="44" t="s">
        <v>2128</v>
      </c>
      <c r="F16" s="43" t="s">
        <v>2116</v>
      </c>
      <c r="G16" s="43" t="s">
        <v>2157</v>
      </c>
      <c r="H16" s="46" t="n">
        <v>184</v>
      </c>
      <c r="I16" s="46" t="n">
        <v>3999</v>
      </c>
      <c r="J16" s="46" t="n">
        <f aca="false">H16*I16</f>
        <v>735816</v>
      </c>
      <c r="K16" s="46" t="n">
        <f aca="false">J16*0.48</f>
        <v>353191.68</v>
      </c>
      <c r="L16" s="46" t="n">
        <f aca="false">J16-K16</f>
        <v>382624.32</v>
      </c>
      <c r="M16" s="47" t="n">
        <f aca="false">IF(J16=0,0,L16/J16)</f>
        <v>0.52</v>
      </c>
      <c r="N16" s="47" t="n">
        <v>0.13</v>
      </c>
      <c r="O16" s="46" t="n">
        <f aca="false">J16*(1-N16)</f>
        <v>640159.92</v>
      </c>
      <c r="P16" s="46" t="n">
        <v>7</v>
      </c>
      <c r="Q16" s="47" t="n">
        <f aca="false">IF(H16=0,0,P16/H16)</f>
        <v>0.0380434782608696</v>
      </c>
      <c r="R16" s="44" t="s">
        <v>2158</v>
      </c>
      <c r="S16" s="43" t="s">
        <v>2118</v>
      </c>
      <c r="T16" s="43" t="s">
        <v>2124</v>
      </c>
    </row>
    <row r="17" customFormat="false" ht="15" hidden="false" customHeight="false" outlineLevel="0" collapsed="false">
      <c r="A17" s="34" t="s">
        <v>2159</v>
      </c>
      <c r="B17" s="34" t="s">
        <v>2114</v>
      </c>
      <c r="C17" s="42" t="n">
        <v>2023</v>
      </c>
      <c r="D17" s="35" t="s">
        <v>2102</v>
      </c>
      <c r="E17" s="35" t="s">
        <v>2103</v>
      </c>
      <c r="F17" s="34" t="s">
        <v>2142</v>
      </c>
      <c r="G17" s="34" t="s">
        <v>2157</v>
      </c>
      <c r="H17" s="37" t="n">
        <v>98</v>
      </c>
      <c r="I17" s="37" t="n">
        <v>11999</v>
      </c>
      <c r="J17" s="37" t="n">
        <f aca="false">H17*I17</f>
        <v>1175902</v>
      </c>
      <c r="K17" s="37" t="n">
        <f aca="false">J17*0.5</f>
        <v>587951</v>
      </c>
      <c r="L17" s="37" t="n">
        <f aca="false">J17-K17</f>
        <v>587951</v>
      </c>
      <c r="M17" s="38" t="n">
        <f aca="false">IF(J17=0,0,L17/J17)</f>
        <v>0.5</v>
      </c>
      <c r="N17" s="38" t="n">
        <v>0.05</v>
      </c>
      <c r="O17" s="37" t="n">
        <f aca="false">J17*(1-N17)</f>
        <v>1117106.9</v>
      </c>
      <c r="P17" s="37" t="n">
        <v>3</v>
      </c>
      <c r="Q17" s="38" t="n">
        <f aca="false">IF(H17=0,0,P17/H17)</f>
        <v>0.0306122448979592</v>
      </c>
      <c r="R17" s="35" t="s">
        <v>2160</v>
      </c>
      <c r="S17" s="34" t="s">
        <v>2118</v>
      </c>
      <c r="T17" s="34" t="s">
        <v>2099</v>
      </c>
    </row>
    <row r="18" customFormat="false" ht="15" hidden="false" customHeight="false" outlineLevel="0" collapsed="false">
      <c r="A18" s="43" t="s">
        <v>2161</v>
      </c>
      <c r="B18" s="43" t="s">
        <v>2162</v>
      </c>
      <c r="C18" s="51" t="n">
        <v>2024</v>
      </c>
      <c r="D18" s="44" t="s">
        <v>2115</v>
      </c>
      <c r="E18" s="44" t="s">
        <v>2103</v>
      </c>
      <c r="F18" s="43" t="s">
        <v>2116</v>
      </c>
      <c r="G18" s="43" t="s">
        <v>2096</v>
      </c>
      <c r="H18" s="46" t="n">
        <v>80</v>
      </c>
      <c r="I18" s="46" t="n">
        <v>9999</v>
      </c>
      <c r="J18" s="46" t="n">
        <f aca="false">H18*I18</f>
        <v>799920</v>
      </c>
      <c r="K18" s="46" t="n">
        <f aca="false">J18*0.52</f>
        <v>415958.4</v>
      </c>
      <c r="L18" s="46" t="n">
        <f aca="false">J18-K18</f>
        <v>383961.6</v>
      </c>
      <c r="M18" s="47" t="n">
        <f aca="false">IF(J18=0,0,L18/J18)</f>
        <v>0.48</v>
      </c>
      <c r="N18" s="47" t="n">
        <v>0.04</v>
      </c>
      <c r="O18" s="46" t="n">
        <f aca="false">J18*(1-N18)</f>
        <v>767923.2</v>
      </c>
      <c r="P18" s="46" t="n">
        <v>2</v>
      </c>
      <c r="Q18" s="47" t="n">
        <f aca="false">IF(H18=0,0,P18/H18)</f>
        <v>0.025</v>
      </c>
      <c r="R18" s="44" t="s">
        <v>2163</v>
      </c>
      <c r="S18" s="43" t="s">
        <v>2107</v>
      </c>
      <c r="T18" s="43" t="s">
        <v>2124</v>
      </c>
    </row>
    <row r="19" customFormat="false" ht="15" hidden="false" customHeight="false" outlineLevel="0" collapsed="false">
      <c r="A19" s="34" t="s">
        <v>2164</v>
      </c>
      <c r="B19" s="34" t="s">
        <v>2165</v>
      </c>
      <c r="C19" s="42" t="n">
        <v>2024</v>
      </c>
      <c r="D19" s="35" t="s">
        <v>2102</v>
      </c>
      <c r="E19" s="35" t="s">
        <v>2103</v>
      </c>
      <c r="F19" s="34" t="s">
        <v>2111</v>
      </c>
      <c r="G19" s="34" t="s">
        <v>2129</v>
      </c>
      <c r="H19" s="37" t="n">
        <v>453</v>
      </c>
      <c r="I19" s="37" t="n">
        <v>4999</v>
      </c>
      <c r="J19" s="37" t="n">
        <f aca="false">H19*I19</f>
        <v>2264547</v>
      </c>
      <c r="K19" s="37" t="n">
        <f aca="false">J19*0.6</f>
        <v>1358728.2</v>
      </c>
      <c r="L19" s="37" t="n">
        <f aca="false">J19-K19</f>
        <v>905818.8</v>
      </c>
      <c r="M19" s="38" t="n">
        <f aca="false">IF(J19=0,0,L19/J19)</f>
        <v>0.4</v>
      </c>
      <c r="N19" s="38" t="n">
        <v>0.05</v>
      </c>
      <c r="O19" s="37" t="n">
        <f aca="false">J19*(1-N19)</f>
        <v>2151319.65</v>
      </c>
      <c r="P19" s="37" t="n">
        <v>19</v>
      </c>
      <c r="Q19" s="38" t="n">
        <f aca="false">IF(H19=0,0,P19/H19)</f>
        <v>0.0419426048565121</v>
      </c>
      <c r="R19" s="35" t="s">
        <v>2166</v>
      </c>
      <c r="S19" s="34" t="s">
        <v>2098</v>
      </c>
      <c r="T19" s="34" t="s">
        <v>2099</v>
      </c>
    </row>
    <row r="20" customFormat="false" ht="15" hidden="false" customHeight="false" outlineLevel="0" collapsed="false">
      <c r="A20" s="43" t="s">
        <v>2167</v>
      </c>
      <c r="B20" s="43" t="s">
        <v>2141</v>
      </c>
      <c r="C20" s="51" t="n">
        <v>2024</v>
      </c>
      <c r="D20" s="44" t="s">
        <v>2149</v>
      </c>
      <c r="E20" s="44" t="s">
        <v>2128</v>
      </c>
      <c r="F20" s="43" t="s">
        <v>2142</v>
      </c>
      <c r="G20" s="43" t="s">
        <v>2096</v>
      </c>
      <c r="H20" s="46" t="n">
        <v>420</v>
      </c>
      <c r="I20" s="46" t="n">
        <v>15999</v>
      </c>
      <c r="J20" s="46" t="n">
        <f aca="false">H20*I20</f>
        <v>6719580</v>
      </c>
      <c r="K20" s="46" t="n">
        <f aca="false">J20*0.5</f>
        <v>3359790</v>
      </c>
      <c r="L20" s="46" t="n">
        <f aca="false">J20-K20</f>
        <v>3359790</v>
      </c>
      <c r="M20" s="47" t="n">
        <f aca="false">IF(J20=0,0,L20/J20)</f>
        <v>0.5</v>
      </c>
      <c r="N20" s="47" t="n">
        <v>0.1</v>
      </c>
      <c r="O20" s="46" t="n">
        <f aca="false">J20*(1-N20)</f>
        <v>6047622</v>
      </c>
      <c r="P20" s="46" t="n">
        <v>17</v>
      </c>
      <c r="Q20" s="47" t="n">
        <f aca="false">IF(H20=0,0,P20/H20)</f>
        <v>0.0404761904761905</v>
      </c>
      <c r="R20" s="44" t="s">
        <v>2168</v>
      </c>
      <c r="S20" s="43" t="s">
        <v>2136</v>
      </c>
      <c r="T20" s="43" t="s">
        <v>2099</v>
      </c>
    </row>
    <row r="21" customFormat="false" ht="15" hidden="false" customHeight="false" outlineLevel="0" collapsed="false">
      <c r="A21" s="34" t="s">
        <v>2169</v>
      </c>
      <c r="B21" s="34" t="s">
        <v>2162</v>
      </c>
      <c r="C21" s="42" t="n">
        <v>2023</v>
      </c>
      <c r="D21" s="35" t="s">
        <v>2127</v>
      </c>
      <c r="E21" s="35" t="s">
        <v>2128</v>
      </c>
      <c r="F21" s="34" t="s">
        <v>2111</v>
      </c>
      <c r="G21" s="34" t="s">
        <v>2105</v>
      </c>
      <c r="H21" s="37" t="n">
        <v>57</v>
      </c>
      <c r="I21" s="37" t="n">
        <v>7999</v>
      </c>
      <c r="J21" s="37" t="n">
        <f aca="false">H21*I21</f>
        <v>455943</v>
      </c>
      <c r="K21" s="37" t="n">
        <f aca="false">J21*0.58</f>
        <v>264446.94</v>
      </c>
      <c r="L21" s="37" t="n">
        <f aca="false">J21-K21</f>
        <v>191496.06</v>
      </c>
      <c r="M21" s="38" t="n">
        <f aca="false">IF(J21=0,0,L21/J21)</f>
        <v>0.42</v>
      </c>
      <c r="N21" s="38" t="n">
        <v>0.01</v>
      </c>
      <c r="O21" s="37" t="n">
        <f aca="false">J21*(1-N21)</f>
        <v>451383.57</v>
      </c>
      <c r="P21" s="37" t="n">
        <v>0</v>
      </c>
      <c r="Q21" s="38" t="n">
        <f aca="false">IF(H21=0,0,P21/H21)</f>
        <v>0</v>
      </c>
      <c r="R21" s="35" t="s">
        <v>2170</v>
      </c>
      <c r="S21" s="34" t="s">
        <v>2107</v>
      </c>
      <c r="T21" s="34" t="s">
        <v>2099</v>
      </c>
    </row>
    <row r="22" customFormat="false" ht="15" hidden="false" customHeight="false" outlineLevel="0" collapsed="false">
      <c r="A22" s="43" t="s">
        <v>2171</v>
      </c>
      <c r="B22" s="43" t="s">
        <v>2165</v>
      </c>
      <c r="C22" s="51" t="n">
        <v>2022</v>
      </c>
      <c r="D22" s="44" t="s">
        <v>2149</v>
      </c>
      <c r="E22" s="44" t="s">
        <v>2128</v>
      </c>
      <c r="F22" s="43" t="s">
        <v>2111</v>
      </c>
      <c r="G22" s="43" t="s">
        <v>2129</v>
      </c>
      <c r="H22" s="46" t="n">
        <v>51</v>
      </c>
      <c r="I22" s="46" t="n">
        <v>4999</v>
      </c>
      <c r="J22" s="46" t="n">
        <f aca="false">H22*I22</f>
        <v>254949</v>
      </c>
      <c r="K22" s="46" t="n">
        <f aca="false">J22*0.59</f>
        <v>150419.91</v>
      </c>
      <c r="L22" s="46" t="n">
        <f aca="false">J22-K22</f>
        <v>104529.09</v>
      </c>
      <c r="M22" s="47" t="n">
        <f aca="false">IF(J22=0,0,L22/J22)</f>
        <v>0.41</v>
      </c>
      <c r="N22" s="47" t="n">
        <v>0.13</v>
      </c>
      <c r="O22" s="46" t="n">
        <f aca="false">J22*(1-N22)</f>
        <v>221805.63</v>
      </c>
      <c r="P22" s="46" t="n">
        <v>2</v>
      </c>
      <c r="Q22" s="47" t="n">
        <f aca="false">IF(H22=0,0,P22/H22)</f>
        <v>0.0392156862745098</v>
      </c>
      <c r="R22" s="44" t="s">
        <v>2172</v>
      </c>
      <c r="S22" s="43" t="s">
        <v>2098</v>
      </c>
      <c r="T22" s="43" t="s">
        <v>2124</v>
      </c>
    </row>
    <row r="23" customFormat="false" ht="15" hidden="false" customHeight="false" outlineLevel="0" collapsed="false">
      <c r="A23" s="34" t="s">
        <v>2173</v>
      </c>
      <c r="B23" s="34" t="s">
        <v>2114</v>
      </c>
      <c r="C23" s="42" t="n">
        <v>2024</v>
      </c>
      <c r="D23" s="35" t="s">
        <v>2174</v>
      </c>
      <c r="E23" s="35" t="s">
        <v>2103</v>
      </c>
      <c r="F23" s="34" t="s">
        <v>2175</v>
      </c>
      <c r="G23" s="34" t="s">
        <v>2105</v>
      </c>
      <c r="H23" s="37" t="n">
        <v>26</v>
      </c>
      <c r="I23" s="37" t="n">
        <v>8999</v>
      </c>
      <c r="J23" s="37" t="n">
        <f aca="false">H23*I23</f>
        <v>233974</v>
      </c>
      <c r="K23" s="37" t="n">
        <f aca="false">J23*0.51</f>
        <v>119326.74</v>
      </c>
      <c r="L23" s="37" t="n">
        <f aca="false">J23-K23</f>
        <v>114647.26</v>
      </c>
      <c r="M23" s="38" t="n">
        <f aca="false">IF(J23=0,0,L23/J23)</f>
        <v>0.49</v>
      </c>
      <c r="N23" s="38" t="n">
        <v>0.11</v>
      </c>
      <c r="O23" s="37" t="n">
        <f aca="false">J23*(1-N23)</f>
        <v>208236.86</v>
      </c>
      <c r="P23" s="37" t="n">
        <v>0</v>
      </c>
      <c r="Q23" s="38" t="n">
        <f aca="false">IF(H23=0,0,P23/H23)</f>
        <v>0</v>
      </c>
      <c r="R23" s="35" t="s">
        <v>2176</v>
      </c>
      <c r="S23" s="34" t="s">
        <v>2118</v>
      </c>
      <c r="T23" s="34" t="s">
        <v>2099</v>
      </c>
    </row>
    <row r="24" customFormat="false" ht="15" hidden="false" customHeight="false" outlineLevel="0" collapsed="false">
      <c r="A24" s="43" t="s">
        <v>2177</v>
      </c>
      <c r="B24" s="43" t="s">
        <v>2101</v>
      </c>
      <c r="C24" s="51" t="n">
        <v>2023</v>
      </c>
      <c r="D24" s="44" t="s">
        <v>2145</v>
      </c>
      <c r="E24" s="44" t="s">
        <v>2103</v>
      </c>
      <c r="F24" s="43" t="s">
        <v>2104</v>
      </c>
      <c r="G24" s="43" t="s">
        <v>2134</v>
      </c>
      <c r="H24" s="46" t="n">
        <v>240</v>
      </c>
      <c r="I24" s="46" t="n">
        <v>2999</v>
      </c>
      <c r="J24" s="46" t="n">
        <f aca="false">H24*I24</f>
        <v>719760</v>
      </c>
      <c r="K24" s="46" t="n">
        <f aca="false">J24*0.61</f>
        <v>439053.6</v>
      </c>
      <c r="L24" s="46" t="n">
        <f aca="false">J24-K24</f>
        <v>280706.4</v>
      </c>
      <c r="M24" s="47" t="n">
        <f aca="false">IF(J24=0,0,L24/J24)</f>
        <v>0.39</v>
      </c>
      <c r="N24" s="47" t="n">
        <v>0.05</v>
      </c>
      <c r="O24" s="46" t="n">
        <f aca="false">J24*(1-N24)</f>
        <v>683772</v>
      </c>
      <c r="P24" s="46" t="n">
        <v>11</v>
      </c>
      <c r="Q24" s="47" t="n">
        <f aca="false">IF(H24=0,0,P24/H24)</f>
        <v>0.0458333333333333</v>
      </c>
      <c r="R24" s="44" t="s">
        <v>2178</v>
      </c>
      <c r="S24" s="43" t="s">
        <v>2107</v>
      </c>
      <c r="T24" s="43" t="s">
        <v>2124</v>
      </c>
    </row>
    <row r="25" customFormat="false" ht="15" hidden="false" customHeight="false" outlineLevel="0" collapsed="false">
      <c r="A25" s="34" t="s">
        <v>2179</v>
      </c>
      <c r="B25" s="34" t="s">
        <v>2141</v>
      </c>
      <c r="C25" s="42" t="n">
        <v>2024</v>
      </c>
      <c r="D25" s="35" t="s">
        <v>2180</v>
      </c>
      <c r="E25" s="35" t="s">
        <v>2181</v>
      </c>
      <c r="F25" s="34" t="s">
        <v>2104</v>
      </c>
      <c r="G25" s="34" t="s">
        <v>2096</v>
      </c>
      <c r="H25" s="37" t="n">
        <v>137</v>
      </c>
      <c r="I25" s="37" t="n">
        <v>1999</v>
      </c>
      <c r="J25" s="37" t="n">
        <f aca="false">H25*I25</f>
        <v>273863</v>
      </c>
      <c r="K25" s="37" t="n">
        <f aca="false">J25*0.46</f>
        <v>125976.98</v>
      </c>
      <c r="L25" s="37" t="n">
        <f aca="false">J25-K25</f>
        <v>147886.02</v>
      </c>
      <c r="M25" s="38" t="n">
        <f aca="false">IF(J25=0,0,L25/J25)</f>
        <v>0.54</v>
      </c>
      <c r="N25" s="38" t="n">
        <v>0.01</v>
      </c>
      <c r="O25" s="37" t="n">
        <f aca="false">J25*(1-N25)</f>
        <v>271124.37</v>
      </c>
      <c r="P25" s="37" t="n">
        <v>2</v>
      </c>
      <c r="Q25" s="38" t="n">
        <f aca="false">IF(H25=0,0,P25/H25)</f>
        <v>0.0145985401459854</v>
      </c>
      <c r="R25" s="35" t="s">
        <v>2182</v>
      </c>
      <c r="S25" s="34" t="s">
        <v>2136</v>
      </c>
      <c r="T25" s="34" t="s">
        <v>2099</v>
      </c>
    </row>
    <row r="26" customFormat="false" ht="15" hidden="false" customHeight="false" outlineLevel="0" collapsed="false">
      <c r="A26" s="43" t="s">
        <v>2183</v>
      </c>
      <c r="B26" s="43" t="s">
        <v>2132</v>
      </c>
      <c r="C26" s="51" t="n">
        <v>2024</v>
      </c>
      <c r="D26" s="44" t="s">
        <v>2149</v>
      </c>
      <c r="E26" s="44" t="s">
        <v>2128</v>
      </c>
      <c r="F26" s="43" t="s">
        <v>2116</v>
      </c>
      <c r="G26" s="43" t="s">
        <v>2129</v>
      </c>
      <c r="H26" s="46" t="n">
        <v>273</v>
      </c>
      <c r="I26" s="46" t="n">
        <v>15999</v>
      </c>
      <c r="J26" s="46" t="n">
        <f aca="false">H26*I26</f>
        <v>4367727</v>
      </c>
      <c r="K26" s="46" t="n">
        <f aca="false">J26*0.5</f>
        <v>2183863.5</v>
      </c>
      <c r="L26" s="46" t="n">
        <f aca="false">J26-K26</f>
        <v>2183863.5</v>
      </c>
      <c r="M26" s="47" t="n">
        <f aca="false">IF(J26=0,0,L26/J26)</f>
        <v>0.5</v>
      </c>
      <c r="N26" s="47" t="n">
        <v>0.08</v>
      </c>
      <c r="O26" s="46" t="n">
        <f aca="false">J26*(1-N26)</f>
        <v>4018308.84</v>
      </c>
      <c r="P26" s="46" t="n">
        <v>3</v>
      </c>
      <c r="Q26" s="47" t="n">
        <f aca="false">IF(H26=0,0,P26/H26)</f>
        <v>0.010989010989011</v>
      </c>
      <c r="R26" s="44" t="s">
        <v>2184</v>
      </c>
      <c r="S26" s="43" t="s">
        <v>2136</v>
      </c>
      <c r="T26" s="43" t="s">
        <v>2099</v>
      </c>
    </row>
    <row r="27" customFormat="false" ht="15" hidden="false" customHeight="false" outlineLevel="0" collapsed="false">
      <c r="A27" s="34" t="s">
        <v>2185</v>
      </c>
      <c r="B27" s="34" t="s">
        <v>2114</v>
      </c>
      <c r="C27" s="42" t="n">
        <v>2024</v>
      </c>
      <c r="D27" s="35" t="s">
        <v>2102</v>
      </c>
      <c r="E27" s="35" t="s">
        <v>2103</v>
      </c>
      <c r="F27" s="34" t="s">
        <v>2111</v>
      </c>
      <c r="G27" s="34" t="s">
        <v>2134</v>
      </c>
      <c r="H27" s="37" t="n">
        <v>393</v>
      </c>
      <c r="I27" s="37" t="n">
        <v>24999</v>
      </c>
      <c r="J27" s="37" t="n">
        <f aca="false">H27*I27</f>
        <v>9824607</v>
      </c>
      <c r="K27" s="37" t="n">
        <f aca="false">J27*0.59</f>
        <v>5796518.13</v>
      </c>
      <c r="L27" s="37" t="n">
        <f aca="false">J27-K27</f>
        <v>4028088.87</v>
      </c>
      <c r="M27" s="38" t="n">
        <f aca="false">IF(J27=0,0,L27/J27)</f>
        <v>0.41</v>
      </c>
      <c r="N27" s="38" t="n">
        <v>0.1</v>
      </c>
      <c r="O27" s="37" t="n">
        <f aca="false">J27*(1-N27)</f>
        <v>8842146.3</v>
      </c>
      <c r="P27" s="37" t="n">
        <v>13</v>
      </c>
      <c r="Q27" s="38" t="n">
        <f aca="false">IF(H27=0,0,P27/H27)</f>
        <v>0.0330788804071247</v>
      </c>
      <c r="R27" s="35" t="s">
        <v>2186</v>
      </c>
      <c r="S27" s="34" t="s">
        <v>2118</v>
      </c>
      <c r="T27" s="34" t="s">
        <v>2099</v>
      </c>
    </row>
    <row r="28" customFormat="false" ht="15" hidden="false" customHeight="false" outlineLevel="0" collapsed="false">
      <c r="A28" s="43" t="s">
        <v>2187</v>
      </c>
      <c r="B28" s="43" t="s">
        <v>2120</v>
      </c>
      <c r="C28" s="51" t="n">
        <v>2022</v>
      </c>
      <c r="D28" s="44" t="s">
        <v>2102</v>
      </c>
      <c r="E28" s="44" t="s">
        <v>2103</v>
      </c>
      <c r="F28" s="43" t="s">
        <v>2111</v>
      </c>
      <c r="G28" s="43" t="s">
        <v>2096</v>
      </c>
      <c r="H28" s="46" t="n">
        <v>173</v>
      </c>
      <c r="I28" s="46" t="n">
        <v>24999</v>
      </c>
      <c r="J28" s="46" t="n">
        <f aca="false">H28*I28</f>
        <v>4324827</v>
      </c>
      <c r="K28" s="46" t="n">
        <f aca="false">J28*0.49</f>
        <v>2119165.23</v>
      </c>
      <c r="L28" s="46" t="n">
        <f aca="false">J28-K28</f>
        <v>2205661.77</v>
      </c>
      <c r="M28" s="47" t="n">
        <f aca="false">IF(J28=0,0,L28/J28)</f>
        <v>0.51</v>
      </c>
      <c r="N28" s="47" t="n">
        <v>0.15</v>
      </c>
      <c r="O28" s="46" t="n">
        <f aca="false">J28*(1-N28)</f>
        <v>3676102.95</v>
      </c>
      <c r="P28" s="46" t="n">
        <v>7</v>
      </c>
      <c r="Q28" s="47" t="n">
        <f aca="false">IF(H28=0,0,P28/H28)</f>
        <v>0.0404624277456647</v>
      </c>
      <c r="R28" s="44" t="s">
        <v>2188</v>
      </c>
      <c r="S28" s="43" t="s">
        <v>2098</v>
      </c>
      <c r="T28" s="43" t="s">
        <v>2099</v>
      </c>
    </row>
    <row r="29" customFormat="false" ht="15" hidden="false" customHeight="false" outlineLevel="0" collapsed="false">
      <c r="A29" s="34" t="s">
        <v>2189</v>
      </c>
      <c r="B29" s="34" t="s">
        <v>2141</v>
      </c>
      <c r="C29" s="42" t="n">
        <v>2024</v>
      </c>
      <c r="D29" s="35" t="s">
        <v>2127</v>
      </c>
      <c r="E29" s="35" t="s">
        <v>2128</v>
      </c>
      <c r="F29" s="34" t="s">
        <v>2104</v>
      </c>
      <c r="G29" s="34" t="s">
        <v>2105</v>
      </c>
      <c r="H29" s="37" t="n">
        <v>212</v>
      </c>
      <c r="I29" s="37" t="n">
        <v>2999</v>
      </c>
      <c r="J29" s="37" t="n">
        <f aca="false">H29*I29</f>
        <v>635788</v>
      </c>
      <c r="K29" s="37" t="n">
        <f aca="false">J29*0.61</f>
        <v>387830.68</v>
      </c>
      <c r="L29" s="37" t="n">
        <f aca="false">J29-K29</f>
        <v>247957.32</v>
      </c>
      <c r="M29" s="38" t="n">
        <f aca="false">IF(J29=0,0,L29/J29)</f>
        <v>0.39</v>
      </c>
      <c r="N29" s="38" t="n">
        <v>0.12</v>
      </c>
      <c r="O29" s="37" t="n">
        <f aca="false">J29*(1-N29)</f>
        <v>559493.44</v>
      </c>
      <c r="P29" s="37" t="n">
        <v>5</v>
      </c>
      <c r="Q29" s="38" t="n">
        <f aca="false">IF(H29=0,0,P29/H29)</f>
        <v>0.0235849056603774</v>
      </c>
      <c r="R29" s="35" t="s">
        <v>2190</v>
      </c>
      <c r="S29" s="34" t="s">
        <v>2136</v>
      </c>
      <c r="T29" s="34" t="s">
        <v>2099</v>
      </c>
    </row>
    <row r="30" customFormat="false" ht="15" hidden="false" customHeight="false" outlineLevel="0" collapsed="false">
      <c r="A30" s="43" t="s">
        <v>2191</v>
      </c>
      <c r="B30" s="43" t="s">
        <v>2162</v>
      </c>
      <c r="C30" s="51" t="n">
        <v>2024</v>
      </c>
      <c r="D30" s="44" t="s">
        <v>2138</v>
      </c>
      <c r="E30" s="44" t="s">
        <v>2128</v>
      </c>
      <c r="F30" s="43" t="s">
        <v>2111</v>
      </c>
      <c r="G30" s="43" t="s">
        <v>2096</v>
      </c>
      <c r="H30" s="46" t="n">
        <v>475</v>
      </c>
      <c r="I30" s="46" t="n">
        <v>3999</v>
      </c>
      <c r="J30" s="46" t="n">
        <f aca="false">H30*I30</f>
        <v>1899525</v>
      </c>
      <c r="K30" s="46" t="n">
        <f aca="false">J30*0.51</f>
        <v>968757.75</v>
      </c>
      <c r="L30" s="46" t="n">
        <f aca="false">J30-K30</f>
        <v>930767.25</v>
      </c>
      <c r="M30" s="47" t="n">
        <f aca="false">IF(J30=0,0,L30/J30)</f>
        <v>0.49</v>
      </c>
      <c r="N30" s="47" t="n">
        <v>0.14</v>
      </c>
      <c r="O30" s="46" t="n">
        <f aca="false">J30*(1-N30)</f>
        <v>1633591.5</v>
      </c>
      <c r="P30" s="46" t="n">
        <v>14</v>
      </c>
      <c r="Q30" s="47" t="n">
        <f aca="false">IF(H30=0,0,P30/H30)</f>
        <v>0.0294736842105263</v>
      </c>
      <c r="R30" s="44" t="s">
        <v>2192</v>
      </c>
      <c r="S30" s="43" t="s">
        <v>2107</v>
      </c>
      <c r="T30" s="43" t="s">
        <v>2124</v>
      </c>
    </row>
    <row r="31" customFormat="false" ht="15" hidden="false" customHeight="false" outlineLevel="0" collapsed="false">
      <c r="A31" s="34" t="s">
        <v>2193</v>
      </c>
      <c r="B31" s="34" t="s">
        <v>2165</v>
      </c>
      <c r="C31" s="42" t="n">
        <v>2024</v>
      </c>
      <c r="D31" s="35" t="s">
        <v>2180</v>
      </c>
      <c r="E31" s="35" t="s">
        <v>2181</v>
      </c>
      <c r="F31" s="34" t="s">
        <v>2194</v>
      </c>
      <c r="G31" s="34" t="s">
        <v>2096</v>
      </c>
      <c r="H31" s="37" t="n">
        <v>9</v>
      </c>
      <c r="I31" s="37" t="n">
        <v>1999</v>
      </c>
      <c r="J31" s="37" t="n">
        <f aca="false">H31*I31</f>
        <v>17991</v>
      </c>
      <c r="K31" s="37" t="n">
        <f aca="false">J31*0.48</f>
        <v>8635.68</v>
      </c>
      <c r="L31" s="37" t="n">
        <f aca="false">J31-K31</f>
        <v>9355.32</v>
      </c>
      <c r="M31" s="38" t="n">
        <f aca="false">IF(J31=0,0,L31/J31)</f>
        <v>0.52</v>
      </c>
      <c r="N31" s="38" t="n">
        <v>0.13</v>
      </c>
      <c r="O31" s="37" t="n">
        <f aca="false">J31*(1-N31)</f>
        <v>15652.17</v>
      </c>
      <c r="P31" s="37" t="n">
        <v>0</v>
      </c>
      <c r="Q31" s="38" t="n">
        <f aca="false">IF(H31=0,0,P31/H31)</f>
        <v>0</v>
      </c>
      <c r="R31" s="35" t="s">
        <v>2195</v>
      </c>
      <c r="S31" s="34" t="s">
        <v>2098</v>
      </c>
      <c r="T31" s="34" t="s">
        <v>2099</v>
      </c>
    </row>
    <row r="32" customFormat="false" ht="15" hidden="false" customHeight="false" outlineLevel="0" collapsed="false">
      <c r="A32" s="43" t="s">
        <v>2196</v>
      </c>
      <c r="B32" s="43" t="s">
        <v>2132</v>
      </c>
      <c r="C32" s="51" t="n">
        <v>2022</v>
      </c>
      <c r="D32" s="44" t="s">
        <v>2133</v>
      </c>
      <c r="E32" s="44" t="s">
        <v>2103</v>
      </c>
      <c r="F32" s="43" t="s">
        <v>2194</v>
      </c>
      <c r="G32" s="43" t="s">
        <v>2134</v>
      </c>
      <c r="H32" s="46" t="n">
        <v>396</v>
      </c>
      <c r="I32" s="46" t="n">
        <v>799</v>
      </c>
      <c r="J32" s="46" t="n">
        <f aca="false">H32*I32</f>
        <v>316404</v>
      </c>
      <c r="K32" s="46" t="n">
        <f aca="false">J32*0.69</f>
        <v>218318.76</v>
      </c>
      <c r="L32" s="46" t="n">
        <f aca="false">J32-K32</f>
        <v>98085.24</v>
      </c>
      <c r="M32" s="47" t="n">
        <f aca="false">IF(J32=0,0,L32/J32)</f>
        <v>0.31</v>
      </c>
      <c r="N32" s="47" t="n">
        <v>0.12</v>
      </c>
      <c r="O32" s="46" t="n">
        <f aca="false">J32*(1-N32)</f>
        <v>278435.52</v>
      </c>
      <c r="P32" s="46" t="n">
        <v>17</v>
      </c>
      <c r="Q32" s="47" t="n">
        <f aca="false">IF(H32=0,0,P32/H32)</f>
        <v>0.0429292929292929</v>
      </c>
      <c r="R32" s="44" t="s">
        <v>2197</v>
      </c>
      <c r="S32" s="43" t="s">
        <v>2136</v>
      </c>
      <c r="T32" s="43" t="s">
        <v>2099</v>
      </c>
    </row>
    <row r="33" customFormat="false" ht="15" hidden="false" customHeight="false" outlineLevel="0" collapsed="false">
      <c r="A33" s="34" t="s">
        <v>2198</v>
      </c>
      <c r="B33" s="34" t="s">
        <v>2092</v>
      </c>
      <c r="C33" s="42" t="n">
        <v>2022</v>
      </c>
      <c r="D33" s="35" t="s">
        <v>2121</v>
      </c>
      <c r="E33" s="35" t="s">
        <v>2122</v>
      </c>
      <c r="F33" s="34" t="s">
        <v>2194</v>
      </c>
      <c r="G33" s="34" t="s">
        <v>2129</v>
      </c>
      <c r="H33" s="37" t="n">
        <v>71</v>
      </c>
      <c r="I33" s="37" t="n">
        <v>35999</v>
      </c>
      <c r="J33" s="37" t="n">
        <f aca="false">H33*I33</f>
        <v>2555929</v>
      </c>
      <c r="K33" s="37" t="n">
        <f aca="false">J33*0.54</f>
        <v>1380201.66</v>
      </c>
      <c r="L33" s="37" t="n">
        <f aca="false">J33-K33</f>
        <v>1175727.34</v>
      </c>
      <c r="M33" s="38" t="n">
        <f aca="false">IF(J33=0,0,L33/J33)</f>
        <v>0.46</v>
      </c>
      <c r="N33" s="38" t="n">
        <v>0.09</v>
      </c>
      <c r="O33" s="37" t="n">
        <f aca="false">J33*(1-N33)</f>
        <v>2325895.39</v>
      </c>
      <c r="P33" s="37" t="n">
        <v>1</v>
      </c>
      <c r="Q33" s="38" t="n">
        <f aca="false">IF(H33=0,0,P33/H33)</f>
        <v>0.0140845070422535</v>
      </c>
      <c r="R33" s="35" t="s">
        <v>2199</v>
      </c>
      <c r="S33" s="34" t="s">
        <v>2098</v>
      </c>
      <c r="T33" s="34" t="s">
        <v>2099</v>
      </c>
    </row>
    <row r="34" customFormat="false" ht="15" hidden="false" customHeight="false" outlineLevel="0" collapsed="false">
      <c r="A34" s="43" t="s">
        <v>2200</v>
      </c>
      <c r="B34" s="43" t="s">
        <v>2148</v>
      </c>
      <c r="C34" s="51" t="n">
        <v>2022</v>
      </c>
      <c r="D34" s="44" t="s">
        <v>2109</v>
      </c>
      <c r="E34" s="44" t="s">
        <v>2110</v>
      </c>
      <c r="F34" s="43" t="s">
        <v>2111</v>
      </c>
      <c r="G34" s="43" t="s">
        <v>2096</v>
      </c>
      <c r="H34" s="46" t="n">
        <v>470</v>
      </c>
      <c r="I34" s="46" t="n">
        <v>2499</v>
      </c>
      <c r="J34" s="46" t="n">
        <f aca="false">H34*I34</f>
        <v>1174530</v>
      </c>
      <c r="K34" s="46" t="n">
        <f aca="false">J34*0.63</f>
        <v>739953.9</v>
      </c>
      <c r="L34" s="46" t="n">
        <f aca="false">J34-K34</f>
        <v>434576.1</v>
      </c>
      <c r="M34" s="47" t="n">
        <f aca="false">IF(J34=0,0,L34/J34)</f>
        <v>0.37</v>
      </c>
      <c r="N34" s="47" t="n">
        <v>0.11</v>
      </c>
      <c r="O34" s="46" t="n">
        <f aca="false">J34*(1-N34)</f>
        <v>1045331.7</v>
      </c>
      <c r="P34" s="46" t="n">
        <v>15</v>
      </c>
      <c r="Q34" s="47" t="n">
        <f aca="false">IF(H34=0,0,P34/H34)</f>
        <v>0.0319148936170213</v>
      </c>
      <c r="R34" s="44" t="s">
        <v>2201</v>
      </c>
      <c r="S34" s="43" t="s">
        <v>2136</v>
      </c>
      <c r="T34" s="43" t="s">
        <v>2099</v>
      </c>
    </row>
    <row r="35" customFormat="false" ht="15" hidden="false" customHeight="false" outlineLevel="0" collapsed="false">
      <c r="A35" s="34" t="s">
        <v>2202</v>
      </c>
      <c r="B35" s="34" t="s">
        <v>2156</v>
      </c>
      <c r="C35" s="42" t="n">
        <v>2024</v>
      </c>
      <c r="D35" s="35" t="s">
        <v>2174</v>
      </c>
      <c r="E35" s="35" t="s">
        <v>2103</v>
      </c>
      <c r="F35" s="34" t="s">
        <v>2175</v>
      </c>
      <c r="G35" s="34" t="s">
        <v>2134</v>
      </c>
      <c r="H35" s="37" t="n">
        <v>305</v>
      </c>
      <c r="I35" s="37" t="n">
        <v>24999</v>
      </c>
      <c r="J35" s="37" t="n">
        <f aca="false">H35*I35</f>
        <v>7624695</v>
      </c>
      <c r="K35" s="37" t="n">
        <f aca="false">J35*0.53</f>
        <v>4041088.35</v>
      </c>
      <c r="L35" s="37" t="n">
        <f aca="false">J35-K35</f>
        <v>3583606.65</v>
      </c>
      <c r="M35" s="38" t="n">
        <f aca="false">IF(J35=0,0,L35/J35)</f>
        <v>0.47</v>
      </c>
      <c r="N35" s="38" t="n">
        <v>0.11</v>
      </c>
      <c r="O35" s="37" t="n">
        <f aca="false">J35*(1-N35)</f>
        <v>6785978.55</v>
      </c>
      <c r="P35" s="37" t="n">
        <v>12</v>
      </c>
      <c r="Q35" s="38" t="n">
        <f aca="false">IF(H35=0,0,P35/H35)</f>
        <v>0.039344262295082</v>
      </c>
      <c r="R35" s="35" t="s">
        <v>2203</v>
      </c>
      <c r="S35" s="34" t="s">
        <v>2118</v>
      </c>
      <c r="T35" s="34" t="s">
        <v>2099</v>
      </c>
    </row>
    <row r="36" customFormat="false" ht="15" hidden="false" customHeight="false" outlineLevel="0" collapsed="false">
      <c r="A36" s="43" t="s">
        <v>2204</v>
      </c>
      <c r="B36" s="43" t="s">
        <v>2165</v>
      </c>
      <c r="C36" s="51" t="n">
        <v>2023</v>
      </c>
      <c r="D36" s="44" t="s">
        <v>2127</v>
      </c>
      <c r="E36" s="44" t="s">
        <v>2128</v>
      </c>
      <c r="F36" s="43" t="s">
        <v>2104</v>
      </c>
      <c r="G36" s="43" t="s">
        <v>2157</v>
      </c>
      <c r="H36" s="46" t="n">
        <v>214</v>
      </c>
      <c r="I36" s="46" t="n">
        <v>299</v>
      </c>
      <c r="J36" s="46" t="n">
        <f aca="false">H36*I36</f>
        <v>63986</v>
      </c>
      <c r="K36" s="46" t="n">
        <f aca="false">J36*0.67</f>
        <v>42870.62</v>
      </c>
      <c r="L36" s="46" t="n">
        <f aca="false">J36-K36</f>
        <v>21115.38</v>
      </c>
      <c r="M36" s="47" t="n">
        <f aca="false">IF(J36=0,0,L36/J36)</f>
        <v>0.33</v>
      </c>
      <c r="N36" s="47" t="n">
        <v>0.13</v>
      </c>
      <c r="O36" s="46" t="n">
        <f aca="false">J36*(1-N36)</f>
        <v>55667.82</v>
      </c>
      <c r="P36" s="46" t="n">
        <v>3</v>
      </c>
      <c r="Q36" s="47" t="n">
        <f aca="false">IF(H36=0,0,P36/H36)</f>
        <v>0.014018691588785</v>
      </c>
      <c r="R36" s="44" t="s">
        <v>2205</v>
      </c>
      <c r="S36" s="43" t="s">
        <v>2098</v>
      </c>
      <c r="T36" s="43" t="s">
        <v>2099</v>
      </c>
    </row>
    <row r="37" customFormat="false" ht="15" hidden="false" customHeight="false" outlineLevel="0" collapsed="false">
      <c r="A37" s="34" t="s">
        <v>2206</v>
      </c>
      <c r="B37" s="34" t="s">
        <v>2101</v>
      </c>
      <c r="C37" s="42" t="n">
        <v>2024</v>
      </c>
      <c r="D37" s="35" t="s">
        <v>2207</v>
      </c>
      <c r="E37" s="35" t="s">
        <v>2208</v>
      </c>
      <c r="F37" s="34" t="s">
        <v>2116</v>
      </c>
      <c r="G37" s="34" t="s">
        <v>2105</v>
      </c>
      <c r="H37" s="37" t="n">
        <v>269</v>
      </c>
      <c r="I37" s="37" t="n">
        <v>4999</v>
      </c>
      <c r="J37" s="37" t="n">
        <f aca="false">H37*I37</f>
        <v>1344731</v>
      </c>
      <c r="K37" s="37" t="n">
        <f aca="false">J37*0.53</f>
        <v>712707.43</v>
      </c>
      <c r="L37" s="37" t="n">
        <f aca="false">J37-K37</f>
        <v>632023.57</v>
      </c>
      <c r="M37" s="38" t="n">
        <f aca="false">IF(J37=0,0,L37/J37)</f>
        <v>0.47</v>
      </c>
      <c r="N37" s="38" t="n">
        <v>0.08</v>
      </c>
      <c r="O37" s="37" t="n">
        <f aca="false">J37*(1-N37)</f>
        <v>1237152.52</v>
      </c>
      <c r="P37" s="37" t="n">
        <v>5</v>
      </c>
      <c r="Q37" s="38" t="n">
        <f aca="false">IF(H37=0,0,P37/H37)</f>
        <v>0.0185873605947955</v>
      </c>
      <c r="R37" s="35" t="s">
        <v>2209</v>
      </c>
      <c r="S37" s="34" t="s">
        <v>2107</v>
      </c>
      <c r="T37" s="34" t="s">
        <v>2099</v>
      </c>
    </row>
    <row r="38" customFormat="false" ht="15" hidden="false" customHeight="false" outlineLevel="0" collapsed="false">
      <c r="A38" s="43" t="s">
        <v>2210</v>
      </c>
      <c r="B38" s="43" t="s">
        <v>2120</v>
      </c>
      <c r="C38" s="51" t="n">
        <v>2022</v>
      </c>
      <c r="D38" s="44" t="s">
        <v>2093</v>
      </c>
      <c r="E38" s="44" t="s">
        <v>2094</v>
      </c>
      <c r="F38" s="43" t="s">
        <v>2142</v>
      </c>
      <c r="G38" s="43" t="s">
        <v>2157</v>
      </c>
      <c r="H38" s="46" t="n">
        <v>498</v>
      </c>
      <c r="I38" s="46" t="n">
        <v>9999</v>
      </c>
      <c r="J38" s="46" t="n">
        <f aca="false">H38*I38</f>
        <v>4979502</v>
      </c>
      <c r="K38" s="46" t="n">
        <f aca="false">J38*0.64</f>
        <v>3186881.28</v>
      </c>
      <c r="L38" s="46" t="n">
        <f aca="false">J38-K38</f>
        <v>1792620.72</v>
      </c>
      <c r="M38" s="47" t="n">
        <f aca="false">IF(J38=0,0,L38/J38)</f>
        <v>0.36</v>
      </c>
      <c r="N38" s="47" t="n">
        <v>0.09</v>
      </c>
      <c r="O38" s="46" t="n">
        <f aca="false">J38*(1-N38)</f>
        <v>4531346.82</v>
      </c>
      <c r="P38" s="46" t="n">
        <v>2</v>
      </c>
      <c r="Q38" s="47" t="n">
        <f aca="false">IF(H38=0,0,P38/H38)</f>
        <v>0.00401606425702811</v>
      </c>
      <c r="R38" s="44" t="s">
        <v>2211</v>
      </c>
      <c r="S38" s="43" t="s">
        <v>2098</v>
      </c>
      <c r="T38" s="43" t="s">
        <v>2099</v>
      </c>
    </row>
    <row r="39" customFormat="false" ht="15" hidden="false" customHeight="false" outlineLevel="0" collapsed="false">
      <c r="A39" s="34" t="s">
        <v>2212</v>
      </c>
      <c r="B39" s="34" t="s">
        <v>2213</v>
      </c>
      <c r="C39" s="42" t="n">
        <v>2023</v>
      </c>
      <c r="D39" s="35" t="s">
        <v>2214</v>
      </c>
      <c r="E39" s="35" t="s">
        <v>2103</v>
      </c>
      <c r="F39" s="34" t="s">
        <v>2111</v>
      </c>
      <c r="G39" s="34" t="s">
        <v>2129</v>
      </c>
      <c r="H39" s="37" t="n">
        <v>68</v>
      </c>
      <c r="I39" s="37" t="n">
        <v>8999</v>
      </c>
      <c r="J39" s="37" t="n">
        <f aca="false">H39*I39</f>
        <v>611932</v>
      </c>
      <c r="K39" s="37" t="n">
        <f aca="false">J39*0.47</f>
        <v>287608.04</v>
      </c>
      <c r="L39" s="37" t="n">
        <f aca="false">J39-K39</f>
        <v>324323.96</v>
      </c>
      <c r="M39" s="38" t="n">
        <f aca="false">IF(J39=0,0,L39/J39)</f>
        <v>0.53</v>
      </c>
      <c r="N39" s="38" t="n">
        <v>0.09</v>
      </c>
      <c r="O39" s="37" t="n">
        <f aca="false">J39*(1-N39)</f>
        <v>556858.12</v>
      </c>
      <c r="P39" s="37" t="n">
        <v>0</v>
      </c>
      <c r="Q39" s="38" t="n">
        <f aca="false">IF(H39=0,0,P39/H39)</f>
        <v>0</v>
      </c>
      <c r="R39" s="35" t="s">
        <v>2215</v>
      </c>
      <c r="S39" s="34" t="s">
        <v>2118</v>
      </c>
      <c r="T39" s="34" t="s">
        <v>2124</v>
      </c>
    </row>
    <row r="40" customFormat="false" ht="15" hidden="false" customHeight="false" outlineLevel="0" collapsed="false">
      <c r="A40" s="43" t="s">
        <v>2216</v>
      </c>
      <c r="B40" s="43" t="s">
        <v>2148</v>
      </c>
      <c r="C40" s="51" t="n">
        <v>2022</v>
      </c>
      <c r="D40" s="44" t="s">
        <v>2207</v>
      </c>
      <c r="E40" s="44" t="s">
        <v>2208</v>
      </c>
      <c r="F40" s="43" t="s">
        <v>2175</v>
      </c>
      <c r="G40" s="43" t="s">
        <v>2157</v>
      </c>
      <c r="H40" s="46" t="n">
        <v>397</v>
      </c>
      <c r="I40" s="46" t="n">
        <v>3999</v>
      </c>
      <c r="J40" s="46" t="n">
        <f aca="false">H40*I40</f>
        <v>1587603</v>
      </c>
      <c r="K40" s="46" t="n">
        <f aca="false">J40*0.48</f>
        <v>762049.44</v>
      </c>
      <c r="L40" s="46" t="n">
        <f aca="false">J40-K40</f>
        <v>825553.56</v>
      </c>
      <c r="M40" s="47" t="n">
        <f aca="false">IF(J40=0,0,L40/J40)</f>
        <v>0.52</v>
      </c>
      <c r="N40" s="47" t="n">
        <v>0.02</v>
      </c>
      <c r="O40" s="46" t="n">
        <f aca="false">J40*(1-N40)</f>
        <v>1555850.94</v>
      </c>
      <c r="P40" s="46" t="n">
        <v>17</v>
      </c>
      <c r="Q40" s="47" t="n">
        <f aca="false">IF(H40=0,0,P40/H40)</f>
        <v>0.0428211586901763</v>
      </c>
      <c r="R40" s="44" t="s">
        <v>2217</v>
      </c>
      <c r="S40" s="43" t="s">
        <v>2136</v>
      </c>
      <c r="T40" s="43" t="s">
        <v>2099</v>
      </c>
    </row>
    <row r="41" customFormat="false" ht="15" hidden="false" customHeight="false" outlineLevel="0" collapsed="false">
      <c r="A41" s="34" t="s">
        <v>2218</v>
      </c>
      <c r="B41" s="34" t="s">
        <v>2156</v>
      </c>
      <c r="C41" s="42" t="n">
        <v>2023</v>
      </c>
      <c r="D41" s="35" t="s">
        <v>2093</v>
      </c>
      <c r="E41" s="35" t="s">
        <v>2094</v>
      </c>
      <c r="F41" s="34" t="s">
        <v>2175</v>
      </c>
      <c r="G41" s="34" t="s">
        <v>2129</v>
      </c>
      <c r="H41" s="37" t="n">
        <v>288</v>
      </c>
      <c r="I41" s="37" t="n">
        <v>11999</v>
      </c>
      <c r="J41" s="37" t="n">
        <f aca="false">H41*I41</f>
        <v>3455712</v>
      </c>
      <c r="K41" s="37" t="n">
        <f aca="false">J41*0.7</f>
        <v>2418998.4</v>
      </c>
      <c r="L41" s="37" t="n">
        <f aca="false">J41-K41</f>
        <v>1036713.6</v>
      </c>
      <c r="M41" s="38" t="n">
        <f aca="false">IF(J41=0,0,L41/J41)</f>
        <v>0.3</v>
      </c>
      <c r="N41" s="38" t="n">
        <v>0.08</v>
      </c>
      <c r="O41" s="37" t="n">
        <f aca="false">J41*(1-N41)</f>
        <v>3179255.04</v>
      </c>
      <c r="P41" s="37" t="n">
        <v>3</v>
      </c>
      <c r="Q41" s="38" t="n">
        <f aca="false">IF(H41=0,0,P41/H41)</f>
        <v>0.0104166666666667</v>
      </c>
      <c r="R41" s="35" t="s">
        <v>2219</v>
      </c>
      <c r="S41" s="34" t="s">
        <v>2118</v>
      </c>
      <c r="T41" s="34" t="s">
        <v>2099</v>
      </c>
    </row>
    <row r="42" customFormat="false" ht="15" hidden="false" customHeight="false" outlineLevel="0" collapsed="false">
      <c r="A42" s="43" t="s">
        <v>2220</v>
      </c>
      <c r="B42" s="43" t="s">
        <v>2148</v>
      </c>
      <c r="C42" s="51" t="n">
        <v>2023</v>
      </c>
      <c r="D42" s="44" t="s">
        <v>2127</v>
      </c>
      <c r="E42" s="44" t="s">
        <v>2128</v>
      </c>
      <c r="F42" s="43" t="s">
        <v>2142</v>
      </c>
      <c r="G42" s="43" t="s">
        <v>2096</v>
      </c>
      <c r="H42" s="46" t="n">
        <v>46</v>
      </c>
      <c r="I42" s="46" t="n">
        <v>7999</v>
      </c>
      <c r="J42" s="46" t="n">
        <f aca="false">H42*I42</f>
        <v>367954</v>
      </c>
      <c r="K42" s="46" t="n">
        <f aca="false">J42*0.62</f>
        <v>228131.48</v>
      </c>
      <c r="L42" s="46" t="n">
        <f aca="false">J42-K42</f>
        <v>139822.52</v>
      </c>
      <c r="M42" s="47" t="n">
        <f aca="false">IF(J42=0,0,L42/J42)</f>
        <v>0.38</v>
      </c>
      <c r="N42" s="47" t="n">
        <v>0.06</v>
      </c>
      <c r="O42" s="46" t="n">
        <f aca="false">J42*(1-N42)</f>
        <v>345876.76</v>
      </c>
      <c r="P42" s="46" t="n">
        <v>1</v>
      </c>
      <c r="Q42" s="47" t="n">
        <f aca="false">IF(H42=0,0,P42/H42)</f>
        <v>0.0217391304347826</v>
      </c>
      <c r="R42" s="44" t="s">
        <v>2221</v>
      </c>
      <c r="S42" s="43" t="s">
        <v>2136</v>
      </c>
      <c r="T42" s="43" t="s">
        <v>2099</v>
      </c>
    </row>
    <row r="43" customFormat="false" ht="15" hidden="false" customHeight="false" outlineLevel="0" collapsed="false">
      <c r="A43" s="34" t="s">
        <v>2222</v>
      </c>
      <c r="B43" s="34" t="s">
        <v>2141</v>
      </c>
      <c r="C43" s="42" t="n">
        <v>2023</v>
      </c>
      <c r="D43" s="35" t="s">
        <v>2109</v>
      </c>
      <c r="E43" s="35" t="s">
        <v>2110</v>
      </c>
      <c r="F43" s="34" t="s">
        <v>2142</v>
      </c>
      <c r="G43" s="34" t="s">
        <v>2134</v>
      </c>
      <c r="H43" s="37" t="n">
        <v>395</v>
      </c>
      <c r="I43" s="37" t="n">
        <v>35999</v>
      </c>
      <c r="J43" s="37" t="n">
        <f aca="false">H43*I43</f>
        <v>14219605</v>
      </c>
      <c r="K43" s="37" t="n">
        <f aca="false">J43*0.49</f>
        <v>6967606.45</v>
      </c>
      <c r="L43" s="37" t="n">
        <f aca="false">J43-K43</f>
        <v>7251998.55</v>
      </c>
      <c r="M43" s="38" t="n">
        <f aca="false">IF(J43=0,0,L43/J43)</f>
        <v>0.51</v>
      </c>
      <c r="N43" s="38" t="n">
        <v>0.05</v>
      </c>
      <c r="O43" s="37" t="n">
        <f aca="false">J43*(1-N43)</f>
        <v>13508624.75</v>
      </c>
      <c r="P43" s="37" t="n">
        <v>14</v>
      </c>
      <c r="Q43" s="38" t="n">
        <f aca="false">IF(H43=0,0,P43/H43)</f>
        <v>0.0354430379746835</v>
      </c>
      <c r="R43" s="35" t="s">
        <v>2223</v>
      </c>
      <c r="S43" s="34" t="s">
        <v>2136</v>
      </c>
      <c r="T43" s="34" t="s">
        <v>2099</v>
      </c>
    </row>
    <row r="44" customFormat="false" ht="15" hidden="false" customHeight="false" outlineLevel="0" collapsed="false">
      <c r="A44" s="43" t="s">
        <v>2224</v>
      </c>
      <c r="B44" s="43" t="s">
        <v>2156</v>
      </c>
      <c r="C44" s="51" t="n">
        <v>2022</v>
      </c>
      <c r="D44" s="44" t="s">
        <v>2145</v>
      </c>
      <c r="E44" s="44" t="s">
        <v>2103</v>
      </c>
      <c r="F44" s="43" t="s">
        <v>2104</v>
      </c>
      <c r="G44" s="43" t="s">
        <v>2129</v>
      </c>
      <c r="H44" s="46" t="n">
        <v>103</v>
      </c>
      <c r="I44" s="46" t="n">
        <v>24999</v>
      </c>
      <c r="J44" s="46" t="n">
        <f aca="false">H44*I44</f>
        <v>2574897</v>
      </c>
      <c r="K44" s="46" t="n">
        <f aca="false">J44*0.54</f>
        <v>1390444.38</v>
      </c>
      <c r="L44" s="46" t="n">
        <f aca="false">J44-K44</f>
        <v>1184452.62</v>
      </c>
      <c r="M44" s="47" t="n">
        <f aca="false">IF(J44=0,0,L44/J44)</f>
        <v>0.46</v>
      </c>
      <c r="N44" s="47" t="n">
        <v>0.11</v>
      </c>
      <c r="O44" s="46" t="n">
        <f aca="false">J44*(1-N44)</f>
        <v>2291658.33</v>
      </c>
      <c r="P44" s="46" t="n">
        <v>0</v>
      </c>
      <c r="Q44" s="47" t="n">
        <f aca="false">IF(H44=0,0,P44/H44)</f>
        <v>0</v>
      </c>
      <c r="R44" s="44" t="s">
        <v>2225</v>
      </c>
      <c r="S44" s="43" t="s">
        <v>2118</v>
      </c>
      <c r="T44" s="43" t="s">
        <v>2099</v>
      </c>
    </row>
    <row r="45" customFormat="false" ht="15" hidden="false" customHeight="false" outlineLevel="0" collapsed="false">
      <c r="A45" s="34" t="s">
        <v>2226</v>
      </c>
      <c r="B45" s="34" t="s">
        <v>2126</v>
      </c>
      <c r="C45" s="42" t="n">
        <v>2022</v>
      </c>
      <c r="D45" s="35" t="s">
        <v>2138</v>
      </c>
      <c r="E45" s="35" t="s">
        <v>2128</v>
      </c>
      <c r="F45" s="34" t="s">
        <v>2175</v>
      </c>
      <c r="G45" s="34" t="s">
        <v>2129</v>
      </c>
      <c r="H45" s="37" t="n">
        <v>445</v>
      </c>
      <c r="I45" s="37" t="n">
        <v>799</v>
      </c>
      <c r="J45" s="37" t="n">
        <f aca="false">H45*I45</f>
        <v>355555</v>
      </c>
      <c r="K45" s="37" t="n">
        <f aca="false">J45*0.66</f>
        <v>234666.3</v>
      </c>
      <c r="L45" s="37" t="n">
        <f aca="false">J45-K45</f>
        <v>120888.7</v>
      </c>
      <c r="M45" s="38" t="n">
        <f aca="false">IF(J45=0,0,L45/J45)</f>
        <v>0.34</v>
      </c>
      <c r="N45" s="38" t="n">
        <v>0</v>
      </c>
      <c r="O45" s="37" t="n">
        <f aca="false">J45*(1-N45)</f>
        <v>355555</v>
      </c>
      <c r="P45" s="37" t="n">
        <v>22</v>
      </c>
      <c r="Q45" s="38" t="n">
        <f aca="false">IF(H45=0,0,P45/H45)</f>
        <v>0.049438202247191</v>
      </c>
      <c r="R45" s="35" t="s">
        <v>2227</v>
      </c>
      <c r="S45" s="34" t="s">
        <v>2107</v>
      </c>
      <c r="T45" s="34" t="s">
        <v>2099</v>
      </c>
    </row>
    <row r="46" customFormat="false" ht="15" hidden="false" customHeight="false" outlineLevel="0" collapsed="false">
      <c r="A46" s="43" t="s">
        <v>2228</v>
      </c>
      <c r="B46" s="43" t="s">
        <v>2148</v>
      </c>
      <c r="C46" s="51" t="n">
        <v>2023</v>
      </c>
      <c r="D46" s="44" t="s">
        <v>2121</v>
      </c>
      <c r="E46" s="44" t="s">
        <v>2122</v>
      </c>
      <c r="F46" s="43" t="s">
        <v>2116</v>
      </c>
      <c r="G46" s="43" t="s">
        <v>2105</v>
      </c>
      <c r="H46" s="46" t="n">
        <v>108</v>
      </c>
      <c r="I46" s="46" t="n">
        <v>3999</v>
      </c>
      <c r="J46" s="46" t="n">
        <f aca="false">H46*I46</f>
        <v>431892</v>
      </c>
      <c r="K46" s="46" t="n">
        <f aca="false">J46*0.58</f>
        <v>250497.36</v>
      </c>
      <c r="L46" s="46" t="n">
        <f aca="false">J46-K46</f>
        <v>181394.64</v>
      </c>
      <c r="M46" s="47" t="n">
        <f aca="false">IF(J46=0,0,L46/J46)</f>
        <v>0.42</v>
      </c>
      <c r="N46" s="47" t="n">
        <v>0.03</v>
      </c>
      <c r="O46" s="46" t="n">
        <f aca="false">J46*(1-N46)</f>
        <v>418935.24</v>
      </c>
      <c r="P46" s="46" t="n">
        <v>4</v>
      </c>
      <c r="Q46" s="47" t="n">
        <f aca="false">IF(H46=0,0,P46/H46)</f>
        <v>0.037037037037037</v>
      </c>
      <c r="R46" s="44" t="s">
        <v>2229</v>
      </c>
      <c r="S46" s="43" t="s">
        <v>2136</v>
      </c>
      <c r="T46" s="43" t="s">
        <v>2099</v>
      </c>
    </row>
    <row r="47" customFormat="false" ht="15" hidden="false" customHeight="false" outlineLevel="0" collapsed="false">
      <c r="A47" s="34" t="s">
        <v>2230</v>
      </c>
      <c r="B47" s="34" t="s">
        <v>2114</v>
      </c>
      <c r="C47" s="42" t="n">
        <v>2023</v>
      </c>
      <c r="D47" s="35" t="s">
        <v>2109</v>
      </c>
      <c r="E47" s="35" t="s">
        <v>2110</v>
      </c>
      <c r="F47" s="34" t="s">
        <v>2142</v>
      </c>
      <c r="G47" s="34" t="s">
        <v>2129</v>
      </c>
      <c r="H47" s="37" t="n">
        <v>356</v>
      </c>
      <c r="I47" s="37" t="n">
        <v>3999</v>
      </c>
      <c r="J47" s="37" t="n">
        <f aca="false">H47*I47</f>
        <v>1423644</v>
      </c>
      <c r="K47" s="37" t="n">
        <f aca="false">J47*0.62</f>
        <v>882659.28</v>
      </c>
      <c r="L47" s="37" t="n">
        <f aca="false">J47-K47</f>
        <v>540984.72</v>
      </c>
      <c r="M47" s="38" t="n">
        <f aca="false">IF(J47=0,0,L47/J47)</f>
        <v>0.38</v>
      </c>
      <c r="N47" s="38" t="n">
        <v>0.06</v>
      </c>
      <c r="O47" s="37" t="n">
        <f aca="false">J47*(1-N47)</f>
        <v>1338225.36</v>
      </c>
      <c r="P47" s="37" t="n">
        <v>16</v>
      </c>
      <c r="Q47" s="38" t="n">
        <f aca="false">IF(H47=0,0,P47/H47)</f>
        <v>0.0449438202247191</v>
      </c>
      <c r="R47" s="35" t="s">
        <v>2231</v>
      </c>
      <c r="S47" s="34" t="s">
        <v>2118</v>
      </c>
      <c r="T47" s="34" t="s">
        <v>2099</v>
      </c>
    </row>
    <row r="48" customFormat="false" ht="15" hidden="false" customHeight="false" outlineLevel="0" collapsed="false">
      <c r="A48" s="43" t="s">
        <v>2232</v>
      </c>
      <c r="B48" s="43" t="s">
        <v>2148</v>
      </c>
      <c r="C48" s="51" t="n">
        <v>2022</v>
      </c>
      <c r="D48" s="44" t="s">
        <v>2180</v>
      </c>
      <c r="E48" s="44" t="s">
        <v>2181</v>
      </c>
      <c r="F48" s="43" t="s">
        <v>2194</v>
      </c>
      <c r="G48" s="43" t="s">
        <v>2129</v>
      </c>
      <c r="H48" s="46" t="n">
        <v>405</v>
      </c>
      <c r="I48" s="46" t="n">
        <v>3999</v>
      </c>
      <c r="J48" s="46" t="n">
        <f aca="false">H48*I48</f>
        <v>1619595</v>
      </c>
      <c r="K48" s="46" t="n">
        <f aca="false">J48*0.6</f>
        <v>971757</v>
      </c>
      <c r="L48" s="46" t="n">
        <f aca="false">J48-K48</f>
        <v>647838</v>
      </c>
      <c r="M48" s="47" t="n">
        <f aca="false">IF(J48=0,0,L48/J48)</f>
        <v>0.4</v>
      </c>
      <c r="N48" s="47" t="n">
        <v>0.01</v>
      </c>
      <c r="O48" s="46" t="n">
        <f aca="false">J48*(1-N48)</f>
        <v>1603399.05</v>
      </c>
      <c r="P48" s="46" t="n">
        <v>20</v>
      </c>
      <c r="Q48" s="47" t="n">
        <f aca="false">IF(H48=0,0,P48/H48)</f>
        <v>0.0493827160493827</v>
      </c>
      <c r="R48" s="44" t="s">
        <v>2233</v>
      </c>
      <c r="S48" s="43" t="s">
        <v>2136</v>
      </c>
      <c r="T48" s="43" t="s">
        <v>2099</v>
      </c>
    </row>
    <row r="49" customFormat="false" ht="15" hidden="false" customHeight="false" outlineLevel="0" collapsed="false">
      <c r="A49" s="34" t="s">
        <v>2234</v>
      </c>
      <c r="B49" s="34" t="s">
        <v>2092</v>
      </c>
      <c r="C49" s="42" t="n">
        <v>2023</v>
      </c>
      <c r="D49" s="35" t="s">
        <v>2093</v>
      </c>
      <c r="E49" s="35" t="s">
        <v>2094</v>
      </c>
      <c r="F49" s="34" t="s">
        <v>2194</v>
      </c>
      <c r="G49" s="34" t="s">
        <v>2105</v>
      </c>
      <c r="H49" s="37" t="n">
        <v>443</v>
      </c>
      <c r="I49" s="37" t="n">
        <v>7999</v>
      </c>
      <c r="J49" s="37" t="n">
        <f aca="false">H49*I49</f>
        <v>3543557</v>
      </c>
      <c r="K49" s="37" t="n">
        <f aca="false">J49*0.45</f>
        <v>1594600.65</v>
      </c>
      <c r="L49" s="37" t="n">
        <f aca="false">J49-K49</f>
        <v>1948956.35</v>
      </c>
      <c r="M49" s="38" t="n">
        <f aca="false">IF(J49=0,0,L49/J49)</f>
        <v>0.55</v>
      </c>
      <c r="N49" s="38" t="n">
        <v>0.13</v>
      </c>
      <c r="O49" s="37" t="n">
        <f aca="false">J49*(1-N49)</f>
        <v>3082894.59</v>
      </c>
      <c r="P49" s="37" t="n">
        <v>20</v>
      </c>
      <c r="Q49" s="38" t="n">
        <f aca="false">IF(H49=0,0,P49/H49)</f>
        <v>0.0451467268623025</v>
      </c>
      <c r="R49" s="35" t="s">
        <v>2235</v>
      </c>
      <c r="S49" s="34" t="s">
        <v>2098</v>
      </c>
      <c r="T49" s="34" t="s">
        <v>2124</v>
      </c>
    </row>
    <row r="50" customFormat="false" ht="15" hidden="false" customHeight="false" outlineLevel="0" collapsed="false">
      <c r="A50" s="43" t="s">
        <v>2236</v>
      </c>
      <c r="B50" s="43" t="s">
        <v>2132</v>
      </c>
      <c r="C50" s="51" t="n">
        <v>2023</v>
      </c>
      <c r="D50" s="44" t="s">
        <v>2102</v>
      </c>
      <c r="E50" s="44" t="s">
        <v>2103</v>
      </c>
      <c r="F50" s="43" t="s">
        <v>2142</v>
      </c>
      <c r="G50" s="43" t="s">
        <v>2134</v>
      </c>
      <c r="H50" s="46" t="n">
        <v>463</v>
      </c>
      <c r="I50" s="46" t="n">
        <v>8999</v>
      </c>
      <c r="J50" s="46" t="n">
        <f aca="false">H50*I50</f>
        <v>4166537</v>
      </c>
      <c r="K50" s="46" t="n">
        <f aca="false">J50*0.57</f>
        <v>2374926.09</v>
      </c>
      <c r="L50" s="46" t="n">
        <f aca="false">J50-K50</f>
        <v>1791610.91</v>
      </c>
      <c r="M50" s="47" t="n">
        <f aca="false">IF(J50=0,0,L50/J50)</f>
        <v>0.43</v>
      </c>
      <c r="N50" s="47" t="n">
        <v>0.09</v>
      </c>
      <c r="O50" s="46" t="n">
        <f aca="false">J50*(1-N50)</f>
        <v>3791548.67</v>
      </c>
      <c r="P50" s="46" t="n">
        <v>2</v>
      </c>
      <c r="Q50" s="47" t="n">
        <f aca="false">IF(H50=0,0,P50/H50)</f>
        <v>0.00431965442764579</v>
      </c>
      <c r="R50" s="44" t="s">
        <v>2237</v>
      </c>
      <c r="S50" s="43" t="s">
        <v>2136</v>
      </c>
      <c r="T50" s="43" t="s">
        <v>2099</v>
      </c>
    </row>
    <row r="51" customFormat="false" ht="15" hidden="false" customHeight="false" outlineLevel="0" collapsed="false">
      <c r="A51" s="34" t="s">
        <v>2238</v>
      </c>
      <c r="B51" s="34" t="s">
        <v>2132</v>
      </c>
      <c r="C51" s="42" t="n">
        <v>2024</v>
      </c>
      <c r="D51" s="35" t="s">
        <v>2121</v>
      </c>
      <c r="E51" s="35" t="s">
        <v>2122</v>
      </c>
      <c r="F51" s="34" t="s">
        <v>2175</v>
      </c>
      <c r="G51" s="34" t="s">
        <v>2134</v>
      </c>
      <c r="H51" s="37" t="n">
        <v>21</v>
      </c>
      <c r="I51" s="37" t="n">
        <v>2499</v>
      </c>
      <c r="J51" s="37" t="n">
        <f aca="false">H51*I51</f>
        <v>52479</v>
      </c>
      <c r="K51" s="37" t="n">
        <f aca="false">J51*0.68</f>
        <v>35685.72</v>
      </c>
      <c r="L51" s="37" t="n">
        <f aca="false">J51-K51</f>
        <v>16793.28</v>
      </c>
      <c r="M51" s="38" t="n">
        <f aca="false">IF(J51=0,0,L51/J51)</f>
        <v>0.32</v>
      </c>
      <c r="N51" s="38" t="n">
        <v>0.05</v>
      </c>
      <c r="O51" s="37" t="n">
        <f aca="false">J51*(1-N51)</f>
        <v>49855.05</v>
      </c>
      <c r="P51" s="37" t="n">
        <v>1</v>
      </c>
      <c r="Q51" s="38" t="n">
        <f aca="false">IF(H51=0,0,P51/H51)</f>
        <v>0.0476190476190476</v>
      </c>
      <c r="R51" s="35" t="s">
        <v>2239</v>
      </c>
      <c r="S51" s="34" t="s">
        <v>2136</v>
      </c>
      <c r="T51" s="34" t="s">
        <v>2124</v>
      </c>
    </row>
    <row r="52" customFormat="false" ht="15" hidden="false" customHeight="false" outlineLevel="0" collapsed="false">
      <c r="A52" s="43" t="s">
        <v>2240</v>
      </c>
      <c r="B52" s="43" t="s">
        <v>2126</v>
      </c>
      <c r="C52" s="51" t="n">
        <v>2022</v>
      </c>
      <c r="D52" s="44" t="s">
        <v>2180</v>
      </c>
      <c r="E52" s="44" t="s">
        <v>2181</v>
      </c>
      <c r="F52" s="43" t="s">
        <v>2194</v>
      </c>
      <c r="G52" s="43" t="s">
        <v>2105</v>
      </c>
      <c r="H52" s="46" t="n">
        <v>182</v>
      </c>
      <c r="I52" s="46" t="n">
        <v>24999</v>
      </c>
      <c r="J52" s="46" t="n">
        <f aca="false">H52*I52</f>
        <v>4549818</v>
      </c>
      <c r="K52" s="46" t="n">
        <f aca="false">J52*0.53</f>
        <v>2411403.54</v>
      </c>
      <c r="L52" s="46" t="n">
        <f aca="false">J52-K52</f>
        <v>2138414.46</v>
      </c>
      <c r="M52" s="47" t="n">
        <f aca="false">IF(J52=0,0,L52/J52)</f>
        <v>0.47</v>
      </c>
      <c r="N52" s="47" t="n">
        <v>0.15</v>
      </c>
      <c r="O52" s="46" t="n">
        <f aca="false">J52*(1-N52)</f>
        <v>3867345.3</v>
      </c>
      <c r="P52" s="46" t="n">
        <v>8</v>
      </c>
      <c r="Q52" s="47" t="n">
        <f aca="false">IF(H52=0,0,P52/H52)</f>
        <v>0.043956043956044</v>
      </c>
      <c r="R52" s="44" t="s">
        <v>2241</v>
      </c>
      <c r="S52" s="43" t="s">
        <v>2107</v>
      </c>
      <c r="T52" s="43" t="s">
        <v>2099</v>
      </c>
    </row>
    <row r="53" customFormat="false" ht="15" hidden="false" customHeight="false" outlineLevel="0" collapsed="false">
      <c r="A53" s="34" t="s">
        <v>2242</v>
      </c>
      <c r="B53" s="34" t="s">
        <v>2165</v>
      </c>
      <c r="C53" s="42" t="n">
        <v>2024</v>
      </c>
      <c r="D53" s="35" t="s">
        <v>2243</v>
      </c>
      <c r="E53" s="35" t="s">
        <v>2244</v>
      </c>
      <c r="F53" s="34" t="s">
        <v>2111</v>
      </c>
      <c r="G53" s="34" t="s">
        <v>2134</v>
      </c>
      <c r="H53" s="37" t="n">
        <v>484</v>
      </c>
      <c r="I53" s="37" t="n">
        <v>1999</v>
      </c>
      <c r="J53" s="37" t="n">
        <f aca="false">H53*I53</f>
        <v>967516</v>
      </c>
      <c r="K53" s="37" t="n">
        <f aca="false">J53*0.69</f>
        <v>667586.04</v>
      </c>
      <c r="L53" s="37" t="n">
        <f aca="false">J53-K53</f>
        <v>299929.96</v>
      </c>
      <c r="M53" s="38" t="n">
        <f aca="false">IF(J53=0,0,L53/J53)</f>
        <v>0.31</v>
      </c>
      <c r="N53" s="38" t="n">
        <v>0.03</v>
      </c>
      <c r="O53" s="37" t="n">
        <f aca="false">J53*(1-N53)</f>
        <v>938490.52</v>
      </c>
      <c r="P53" s="37" t="n">
        <v>10</v>
      </c>
      <c r="Q53" s="38" t="n">
        <f aca="false">IF(H53=0,0,P53/H53)</f>
        <v>0.0206611570247934</v>
      </c>
      <c r="R53" s="35" t="s">
        <v>2245</v>
      </c>
      <c r="S53" s="34" t="s">
        <v>2098</v>
      </c>
      <c r="T53" s="34" t="s">
        <v>2124</v>
      </c>
    </row>
    <row r="54" customFormat="false" ht="15" hidden="false" customHeight="false" outlineLevel="0" collapsed="false">
      <c r="A54" s="43" t="s">
        <v>2246</v>
      </c>
      <c r="B54" s="43" t="s">
        <v>2101</v>
      </c>
      <c r="C54" s="51" t="n">
        <v>2022</v>
      </c>
      <c r="D54" s="44" t="s">
        <v>2149</v>
      </c>
      <c r="E54" s="44" t="s">
        <v>2128</v>
      </c>
      <c r="F54" s="43" t="s">
        <v>2142</v>
      </c>
      <c r="G54" s="43" t="s">
        <v>2157</v>
      </c>
      <c r="H54" s="46" t="n">
        <v>267</v>
      </c>
      <c r="I54" s="46" t="n">
        <v>24999</v>
      </c>
      <c r="J54" s="46" t="n">
        <f aca="false">H54*I54</f>
        <v>6674733</v>
      </c>
      <c r="K54" s="46" t="n">
        <f aca="false">J54*0.6</f>
        <v>4004839.8</v>
      </c>
      <c r="L54" s="46" t="n">
        <f aca="false">J54-K54</f>
        <v>2669893.2</v>
      </c>
      <c r="M54" s="47" t="n">
        <f aca="false">IF(J54=0,0,L54/J54)</f>
        <v>0.4</v>
      </c>
      <c r="N54" s="47" t="n">
        <v>0.09</v>
      </c>
      <c r="O54" s="46" t="n">
        <f aca="false">J54*(1-N54)</f>
        <v>6074007.03</v>
      </c>
      <c r="P54" s="46" t="n">
        <v>3</v>
      </c>
      <c r="Q54" s="47" t="n">
        <f aca="false">IF(H54=0,0,P54/H54)</f>
        <v>0.0112359550561798</v>
      </c>
      <c r="R54" s="44" t="s">
        <v>2247</v>
      </c>
      <c r="S54" s="43" t="s">
        <v>2107</v>
      </c>
      <c r="T54" s="43" t="s">
        <v>2124</v>
      </c>
    </row>
    <row r="55" customFormat="false" ht="15" hidden="false" customHeight="false" outlineLevel="0" collapsed="false">
      <c r="A55" s="34" t="s">
        <v>2248</v>
      </c>
      <c r="B55" s="34" t="s">
        <v>2132</v>
      </c>
      <c r="C55" s="42" t="n">
        <v>2024</v>
      </c>
      <c r="D55" s="35" t="s">
        <v>2115</v>
      </c>
      <c r="E55" s="35" t="s">
        <v>2103</v>
      </c>
      <c r="F55" s="34" t="s">
        <v>2111</v>
      </c>
      <c r="G55" s="34" t="s">
        <v>2105</v>
      </c>
      <c r="H55" s="37" t="n">
        <v>466</v>
      </c>
      <c r="I55" s="37" t="n">
        <v>11999</v>
      </c>
      <c r="J55" s="37" t="n">
        <f aca="false">H55*I55</f>
        <v>5591534</v>
      </c>
      <c r="K55" s="37" t="n">
        <f aca="false">J55*0.53</f>
        <v>2963513.02</v>
      </c>
      <c r="L55" s="37" t="n">
        <f aca="false">J55-K55</f>
        <v>2628020.98</v>
      </c>
      <c r="M55" s="38" t="n">
        <f aca="false">IF(J55=0,0,L55/J55)</f>
        <v>0.47</v>
      </c>
      <c r="N55" s="38" t="n">
        <v>0.08</v>
      </c>
      <c r="O55" s="37" t="n">
        <f aca="false">J55*(1-N55)</f>
        <v>5144211.28</v>
      </c>
      <c r="P55" s="37" t="n">
        <v>6</v>
      </c>
      <c r="Q55" s="38" t="n">
        <f aca="false">IF(H55=0,0,P55/H55)</f>
        <v>0.0128755364806867</v>
      </c>
      <c r="R55" s="35" t="s">
        <v>2249</v>
      </c>
      <c r="S55" s="34" t="s">
        <v>2136</v>
      </c>
      <c r="T55" s="34" t="s">
        <v>2099</v>
      </c>
    </row>
    <row r="56" customFormat="false" ht="15" hidden="false" customHeight="false" outlineLevel="0" collapsed="false">
      <c r="A56" s="43" t="s">
        <v>2250</v>
      </c>
      <c r="B56" s="43" t="s">
        <v>2162</v>
      </c>
      <c r="C56" s="51" t="n">
        <v>2024</v>
      </c>
      <c r="D56" s="44" t="s">
        <v>2093</v>
      </c>
      <c r="E56" s="44" t="s">
        <v>2094</v>
      </c>
      <c r="F56" s="43" t="s">
        <v>2104</v>
      </c>
      <c r="G56" s="43" t="s">
        <v>2129</v>
      </c>
      <c r="H56" s="46" t="n">
        <v>442</v>
      </c>
      <c r="I56" s="46" t="n">
        <v>12999</v>
      </c>
      <c r="J56" s="46" t="n">
        <f aca="false">H56*I56</f>
        <v>5745558</v>
      </c>
      <c r="K56" s="46" t="n">
        <f aca="false">J56*0.53</f>
        <v>3045145.74</v>
      </c>
      <c r="L56" s="46" t="n">
        <f aca="false">J56-K56</f>
        <v>2700412.26</v>
      </c>
      <c r="M56" s="47" t="n">
        <f aca="false">IF(J56=0,0,L56/J56)</f>
        <v>0.47</v>
      </c>
      <c r="N56" s="47" t="n">
        <v>0.11</v>
      </c>
      <c r="O56" s="46" t="n">
        <f aca="false">J56*(1-N56)</f>
        <v>5113546.62</v>
      </c>
      <c r="P56" s="46" t="n">
        <v>16</v>
      </c>
      <c r="Q56" s="47" t="n">
        <f aca="false">IF(H56=0,0,P56/H56)</f>
        <v>0.0361990950226244</v>
      </c>
      <c r="R56" s="44" t="s">
        <v>2251</v>
      </c>
      <c r="S56" s="43" t="s">
        <v>2107</v>
      </c>
      <c r="T56" s="43" t="s">
        <v>2099</v>
      </c>
    </row>
    <row r="57" customFormat="false" ht="15" hidden="false" customHeight="false" outlineLevel="0" collapsed="false">
      <c r="A57" s="34" t="s">
        <v>2252</v>
      </c>
      <c r="B57" s="34" t="s">
        <v>2213</v>
      </c>
      <c r="C57" s="42" t="n">
        <v>2022</v>
      </c>
      <c r="D57" s="35" t="s">
        <v>2093</v>
      </c>
      <c r="E57" s="35" t="s">
        <v>2094</v>
      </c>
      <c r="F57" s="34" t="s">
        <v>2175</v>
      </c>
      <c r="G57" s="34" t="s">
        <v>2129</v>
      </c>
      <c r="H57" s="37" t="n">
        <v>163</v>
      </c>
      <c r="I57" s="37" t="n">
        <v>7999</v>
      </c>
      <c r="J57" s="37" t="n">
        <f aca="false">H57*I57</f>
        <v>1303837</v>
      </c>
      <c r="K57" s="37" t="n">
        <f aca="false">J57*0.59</f>
        <v>769263.83</v>
      </c>
      <c r="L57" s="37" t="n">
        <f aca="false">J57-K57</f>
        <v>534573.17</v>
      </c>
      <c r="M57" s="38" t="n">
        <f aca="false">IF(J57=0,0,L57/J57)</f>
        <v>0.41</v>
      </c>
      <c r="N57" s="38" t="n">
        <v>0.14</v>
      </c>
      <c r="O57" s="37" t="n">
        <f aca="false">J57*(1-N57)</f>
        <v>1121299.82</v>
      </c>
      <c r="P57" s="37" t="n">
        <v>1</v>
      </c>
      <c r="Q57" s="38" t="n">
        <f aca="false">IF(H57=0,0,P57/H57)</f>
        <v>0.00613496932515337</v>
      </c>
      <c r="R57" s="35" t="s">
        <v>2253</v>
      </c>
      <c r="S57" s="34" t="s">
        <v>2118</v>
      </c>
      <c r="T57" s="34" t="s">
        <v>2099</v>
      </c>
    </row>
    <row r="58" customFormat="false" ht="15" hidden="false" customHeight="false" outlineLevel="0" collapsed="false">
      <c r="A58" s="43" t="s">
        <v>2254</v>
      </c>
      <c r="B58" s="43" t="s">
        <v>2141</v>
      </c>
      <c r="C58" s="51" t="n">
        <v>2022</v>
      </c>
      <c r="D58" s="44" t="s">
        <v>2174</v>
      </c>
      <c r="E58" s="44" t="s">
        <v>2103</v>
      </c>
      <c r="F58" s="43" t="s">
        <v>2116</v>
      </c>
      <c r="G58" s="43" t="s">
        <v>2105</v>
      </c>
      <c r="H58" s="46" t="n">
        <v>451</v>
      </c>
      <c r="I58" s="46" t="n">
        <v>15999</v>
      </c>
      <c r="J58" s="46" t="n">
        <f aca="false">H58*I58</f>
        <v>7215549</v>
      </c>
      <c r="K58" s="46" t="n">
        <f aca="false">J58*0.69</f>
        <v>4978728.81</v>
      </c>
      <c r="L58" s="46" t="n">
        <f aca="false">J58-K58</f>
        <v>2236820.19</v>
      </c>
      <c r="M58" s="47" t="n">
        <f aca="false">IF(J58=0,0,L58/J58)</f>
        <v>0.31</v>
      </c>
      <c r="N58" s="47" t="n">
        <v>0.05</v>
      </c>
      <c r="O58" s="46" t="n">
        <f aca="false">J58*(1-N58)</f>
        <v>6854771.55</v>
      </c>
      <c r="P58" s="46" t="n">
        <v>20</v>
      </c>
      <c r="Q58" s="47" t="n">
        <f aca="false">IF(H58=0,0,P58/H58)</f>
        <v>0.0443458980044346</v>
      </c>
      <c r="R58" s="44" t="s">
        <v>2255</v>
      </c>
      <c r="S58" s="43" t="s">
        <v>2136</v>
      </c>
      <c r="T58" s="43" t="s">
        <v>2099</v>
      </c>
    </row>
    <row r="59" customFormat="false" ht="15" hidden="false" customHeight="false" outlineLevel="0" collapsed="false">
      <c r="A59" s="34" t="s">
        <v>2256</v>
      </c>
      <c r="B59" s="34" t="s">
        <v>2120</v>
      </c>
      <c r="C59" s="42" t="n">
        <v>2022</v>
      </c>
      <c r="D59" s="35" t="s">
        <v>2149</v>
      </c>
      <c r="E59" s="35" t="s">
        <v>2128</v>
      </c>
      <c r="F59" s="34" t="s">
        <v>2095</v>
      </c>
      <c r="G59" s="34" t="s">
        <v>2129</v>
      </c>
      <c r="H59" s="37" t="n">
        <v>14</v>
      </c>
      <c r="I59" s="37" t="n">
        <v>2999</v>
      </c>
      <c r="J59" s="37" t="n">
        <f aca="false">H59*I59</f>
        <v>41986</v>
      </c>
      <c r="K59" s="37" t="n">
        <f aca="false">J59*0.7</f>
        <v>29390.2</v>
      </c>
      <c r="L59" s="37" t="n">
        <f aca="false">J59-K59</f>
        <v>12595.8</v>
      </c>
      <c r="M59" s="38" t="n">
        <f aca="false">IF(J59=0,0,L59/J59)</f>
        <v>0.3</v>
      </c>
      <c r="N59" s="38" t="n">
        <v>0.09</v>
      </c>
      <c r="O59" s="37" t="n">
        <f aca="false">J59*(1-N59)</f>
        <v>38207.26</v>
      </c>
      <c r="P59" s="37" t="n">
        <v>0</v>
      </c>
      <c r="Q59" s="38" t="n">
        <f aca="false">IF(H59=0,0,P59/H59)</f>
        <v>0</v>
      </c>
      <c r="R59" s="35" t="s">
        <v>2257</v>
      </c>
      <c r="S59" s="34" t="s">
        <v>2098</v>
      </c>
      <c r="T59" s="34" t="s">
        <v>2099</v>
      </c>
    </row>
    <row r="60" customFormat="false" ht="15" hidden="false" customHeight="false" outlineLevel="0" collapsed="false">
      <c r="A60" s="43" t="s">
        <v>2258</v>
      </c>
      <c r="B60" s="43" t="s">
        <v>2132</v>
      </c>
      <c r="C60" s="51" t="n">
        <v>2024</v>
      </c>
      <c r="D60" s="44" t="s">
        <v>2180</v>
      </c>
      <c r="E60" s="44" t="s">
        <v>2181</v>
      </c>
      <c r="F60" s="43" t="s">
        <v>2194</v>
      </c>
      <c r="G60" s="43" t="s">
        <v>2134</v>
      </c>
      <c r="H60" s="46" t="n">
        <v>353</v>
      </c>
      <c r="I60" s="46" t="n">
        <v>2999</v>
      </c>
      <c r="J60" s="46" t="n">
        <f aca="false">H60*I60</f>
        <v>1058647</v>
      </c>
      <c r="K60" s="46" t="n">
        <f aca="false">J60*0.57</f>
        <v>603428.79</v>
      </c>
      <c r="L60" s="46" t="n">
        <f aca="false">J60-K60</f>
        <v>455218.21</v>
      </c>
      <c r="M60" s="47" t="n">
        <f aca="false">IF(J60=0,0,L60/J60)</f>
        <v>0.43</v>
      </c>
      <c r="N60" s="47" t="n">
        <v>0.08</v>
      </c>
      <c r="O60" s="46" t="n">
        <f aca="false">J60*(1-N60)</f>
        <v>973955.24</v>
      </c>
      <c r="P60" s="46" t="n">
        <v>15</v>
      </c>
      <c r="Q60" s="47" t="n">
        <f aca="false">IF(H60=0,0,P60/H60)</f>
        <v>0.0424929178470255</v>
      </c>
      <c r="R60" s="44" t="s">
        <v>2259</v>
      </c>
      <c r="S60" s="43" t="s">
        <v>2136</v>
      </c>
      <c r="T60" s="43" t="s">
        <v>2099</v>
      </c>
    </row>
    <row r="61" customFormat="false" ht="15" hidden="false" customHeight="false" outlineLevel="0" collapsed="false">
      <c r="A61" s="34" t="s">
        <v>2260</v>
      </c>
      <c r="B61" s="34" t="s">
        <v>2120</v>
      </c>
      <c r="C61" s="42" t="n">
        <v>2023</v>
      </c>
      <c r="D61" s="35" t="s">
        <v>2121</v>
      </c>
      <c r="E61" s="35" t="s">
        <v>2122</v>
      </c>
      <c r="F61" s="34" t="s">
        <v>2111</v>
      </c>
      <c r="G61" s="34" t="s">
        <v>2129</v>
      </c>
      <c r="H61" s="37" t="n">
        <v>84</v>
      </c>
      <c r="I61" s="37" t="n">
        <v>2499</v>
      </c>
      <c r="J61" s="37" t="n">
        <f aca="false">H61*I61</f>
        <v>209916</v>
      </c>
      <c r="K61" s="37" t="n">
        <f aca="false">J61*0.51</f>
        <v>107057.16</v>
      </c>
      <c r="L61" s="37" t="n">
        <f aca="false">J61-K61</f>
        <v>102858.84</v>
      </c>
      <c r="M61" s="38" t="n">
        <f aca="false">IF(J61=0,0,L61/J61)</f>
        <v>0.49</v>
      </c>
      <c r="N61" s="38" t="n">
        <v>0.06</v>
      </c>
      <c r="O61" s="37" t="n">
        <f aca="false">J61*(1-N61)</f>
        <v>197321.04</v>
      </c>
      <c r="P61" s="37" t="n">
        <v>0</v>
      </c>
      <c r="Q61" s="38" t="n">
        <f aca="false">IF(H61=0,0,P61/H61)</f>
        <v>0</v>
      </c>
      <c r="R61" s="35" t="s">
        <v>2261</v>
      </c>
      <c r="S61" s="34" t="s">
        <v>2098</v>
      </c>
      <c r="T61" s="34" t="s">
        <v>2099</v>
      </c>
    </row>
    <row r="62" customFormat="false" ht="15" hidden="false" customHeight="false" outlineLevel="0" collapsed="false">
      <c r="A62" s="43" t="s">
        <v>2262</v>
      </c>
      <c r="B62" s="43" t="s">
        <v>2213</v>
      </c>
      <c r="C62" s="51" t="n">
        <v>2022</v>
      </c>
      <c r="D62" s="44" t="s">
        <v>2174</v>
      </c>
      <c r="E62" s="44" t="s">
        <v>2103</v>
      </c>
      <c r="F62" s="43" t="s">
        <v>2142</v>
      </c>
      <c r="G62" s="43" t="s">
        <v>2129</v>
      </c>
      <c r="H62" s="46" t="n">
        <v>388</v>
      </c>
      <c r="I62" s="46" t="n">
        <v>2499</v>
      </c>
      <c r="J62" s="46" t="n">
        <f aca="false">H62*I62</f>
        <v>969612</v>
      </c>
      <c r="K62" s="46" t="n">
        <f aca="false">J62*0.47</f>
        <v>455717.64</v>
      </c>
      <c r="L62" s="46" t="n">
        <f aca="false">J62-K62</f>
        <v>513894.36</v>
      </c>
      <c r="M62" s="47" t="n">
        <f aca="false">IF(J62=0,0,L62/J62)</f>
        <v>0.53</v>
      </c>
      <c r="N62" s="47" t="n">
        <v>0.14</v>
      </c>
      <c r="O62" s="46" t="n">
        <f aca="false">J62*(1-N62)</f>
        <v>833866.32</v>
      </c>
      <c r="P62" s="46" t="n">
        <v>14</v>
      </c>
      <c r="Q62" s="47" t="n">
        <f aca="false">IF(H62=0,0,P62/H62)</f>
        <v>0.0360824742268041</v>
      </c>
      <c r="R62" s="44" t="s">
        <v>2263</v>
      </c>
      <c r="S62" s="43" t="s">
        <v>2118</v>
      </c>
      <c r="T62" s="43" t="s">
        <v>2124</v>
      </c>
    </row>
    <row r="63" customFormat="false" ht="15" hidden="false" customHeight="false" outlineLevel="0" collapsed="false">
      <c r="A63" s="34" t="s">
        <v>2264</v>
      </c>
      <c r="B63" s="34" t="s">
        <v>2126</v>
      </c>
      <c r="C63" s="42" t="n">
        <v>2023</v>
      </c>
      <c r="D63" s="35" t="s">
        <v>2133</v>
      </c>
      <c r="E63" s="35" t="s">
        <v>2103</v>
      </c>
      <c r="F63" s="34" t="s">
        <v>2111</v>
      </c>
      <c r="G63" s="34" t="s">
        <v>2129</v>
      </c>
      <c r="H63" s="37" t="n">
        <v>219</v>
      </c>
      <c r="I63" s="37" t="n">
        <v>15999</v>
      </c>
      <c r="J63" s="37" t="n">
        <f aca="false">H63*I63</f>
        <v>3503781</v>
      </c>
      <c r="K63" s="37" t="n">
        <f aca="false">J63*0.64</f>
        <v>2242419.84</v>
      </c>
      <c r="L63" s="37" t="n">
        <f aca="false">J63-K63</f>
        <v>1261361.16</v>
      </c>
      <c r="M63" s="38" t="n">
        <f aca="false">IF(J63=0,0,L63/J63)</f>
        <v>0.36</v>
      </c>
      <c r="N63" s="38" t="n">
        <v>0.09</v>
      </c>
      <c r="O63" s="37" t="n">
        <f aca="false">J63*(1-N63)</f>
        <v>3188440.71</v>
      </c>
      <c r="P63" s="37" t="n">
        <v>6</v>
      </c>
      <c r="Q63" s="38" t="n">
        <f aca="false">IF(H63=0,0,P63/H63)</f>
        <v>0.0273972602739726</v>
      </c>
      <c r="R63" s="35" t="s">
        <v>2265</v>
      </c>
      <c r="S63" s="34" t="s">
        <v>2107</v>
      </c>
      <c r="T63" s="34" t="s">
        <v>2099</v>
      </c>
    </row>
    <row r="64" customFormat="false" ht="15" hidden="false" customHeight="false" outlineLevel="0" collapsed="false">
      <c r="A64" s="43" t="s">
        <v>2266</v>
      </c>
      <c r="B64" s="43" t="s">
        <v>2213</v>
      </c>
      <c r="C64" s="51" t="n">
        <v>2024</v>
      </c>
      <c r="D64" s="44" t="s">
        <v>2174</v>
      </c>
      <c r="E64" s="44" t="s">
        <v>2103</v>
      </c>
      <c r="F64" s="43" t="s">
        <v>2175</v>
      </c>
      <c r="G64" s="43" t="s">
        <v>2096</v>
      </c>
      <c r="H64" s="46" t="n">
        <v>275</v>
      </c>
      <c r="I64" s="46" t="n">
        <v>1999</v>
      </c>
      <c r="J64" s="46" t="n">
        <f aca="false">H64*I64</f>
        <v>549725</v>
      </c>
      <c r="K64" s="46" t="n">
        <f aca="false">J64*0.61</f>
        <v>335332.25</v>
      </c>
      <c r="L64" s="46" t="n">
        <f aca="false">J64-K64</f>
        <v>214392.75</v>
      </c>
      <c r="M64" s="47" t="n">
        <f aca="false">IF(J64=0,0,L64/J64)</f>
        <v>0.39</v>
      </c>
      <c r="N64" s="47" t="n">
        <v>0.11</v>
      </c>
      <c r="O64" s="46" t="n">
        <f aca="false">J64*(1-N64)</f>
        <v>489255.25</v>
      </c>
      <c r="P64" s="46" t="n">
        <v>0</v>
      </c>
      <c r="Q64" s="47" t="n">
        <f aca="false">IF(H64=0,0,P64/H64)</f>
        <v>0</v>
      </c>
      <c r="R64" s="44" t="s">
        <v>2267</v>
      </c>
      <c r="S64" s="43" t="s">
        <v>2118</v>
      </c>
      <c r="T64" s="43" t="s">
        <v>2099</v>
      </c>
    </row>
    <row r="65" customFormat="false" ht="15" hidden="false" customHeight="false" outlineLevel="0" collapsed="false">
      <c r="A65" s="34" t="s">
        <v>2268</v>
      </c>
      <c r="B65" s="34" t="s">
        <v>2156</v>
      </c>
      <c r="C65" s="42" t="n">
        <v>2023</v>
      </c>
      <c r="D65" s="35" t="s">
        <v>2133</v>
      </c>
      <c r="E65" s="35" t="s">
        <v>2103</v>
      </c>
      <c r="F65" s="34" t="s">
        <v>2116</v>
      </c>
      <c r="G65" s="34" t="s">
        <v>2129</v>
      </c>
      <c r="H65" s="37" t="n">
        <v>266</v>
      </c>
      <c r="I65" s="37" t="n">
        <v>1999</v>
      </c>
      <c r="J65" s="37" t="n">
        <f aca="false">H65*I65</f>
        <v>531734</v>
      </c>
      <c r="K65" s="37" t="n">
        <f aca="false">J65*0.55</f>
        <v>292453.7</v>
      </c>
      <c r="L65" s="37" t="n">
        <f aca="false">J65-K65</f>
        <v>239280.3</v>
      </c>
      <c r="M65" s="38" t="n">
        <f aca="false">IF(J65=0,0,L65/J65)</f>
        <v>0.45</v>
      </c>
      <c r="N65" s="38" t="n">
        <v>0.11</v>
      </c>
      <c r="O65" s="37" t="n">
        <f aca="false">J65*(1-N65)</f>
        <v>473243.26</v>
      </c>
      <c r="P65" s="37" t="n">
        <v>8</v>
      </c>
      <c r="Q65" s="38" t="n">
        <f aca="false">IF(H65=0,0,P65/H65)</f>
        <v>0.0300751879699248</v>
      </c>
      <c r="R65" s="35" t="s">
        <v>2269</v>
      </c>
      <c r="S65" s="34" t="s">
        <v>2118</v>
      </c>
      <c r="T65" s="34" t="s">
        <v>2124</v>
      </c>
    </row>
    <row r="66" customFormat="false" ht="15" hidden="false" customHeight="false" outlineLevel="0" collapsed="false">
      <c r="A66" s="43" t="s">
        <v>2270</v>
      </c>
      <c r="B66" s="43" t="s">
        <v>2114</v>
      </c>
      <c r="C66" s="51" t="n">
        <v>2024</v>
      </c>
      <c r="D66" s="44" t="s">
        <v>2180</v>
      </c>
      <c r="E66" s="44" t="s">
        <v>2181</v>
      </c>
      <c r="F66" s="43" t="s">
        <v>2095</v>
      </c>
      <c r="G66" s="43" t="s">
        <v>2105</v>
      </c>
      <c r="H66" s="46" t="n">
        <v>226</v>
      </c>
      <c r="I66" s="46" t="n">
        <v>15999</v>
      </c>
      <c r="J66" s="46" t="n">
        <f aca="false">H66*I66</f>
        <v>3615774</v>
      </c>
      <c r="K66" s="46" t="n">
        <f aca="false">J66*0.67</f>
        <v>2422568.58</v>
      </c>
      <c r="L66" s="46" t="n">
        <f aca="false">J66-K66</f>
        <v>1193205.42</v>
      </c>
      <c r="M66" s="47" t="n">
        <f aca="false">IF(J66=0,0,L66/J66)</f>
        <v>0.33</v>
      </c>
      <c r="N66" s="47" t="n">
        <v>0.12</v>
      </c>
      <c r="O66" s="46" t="n">
        <f aca="false">J66*(1-N66)</f>
        <v>3181881.12</v>
      </c>
      <c r="P66" s="46" t="n">
        <v>4</v>
      </c>
      <c r="Q66" s="47" t="n">
        <f aca="false">IF(H66=0,0,P66/H66)</f>
        <v>0.0176991150442478</v>
      </c>
      <c r="R66" s="44" t="s">
        <v>2271</v>
      </c>
      <c r="S66" s="43" t="s">
        <v>2118</v>
      </c>
      <c r="T66" s="43" t="s">
        <v>2124</v>
      </c>
    </row>
    <row r="67" customFormat="false" ht="15" hidden="false" customHeight="false" outlineLevel="0" collapsed="false">
      <c r="A67" s="34" t="s">
        <v>2272</v>
      </c>
      <c r="B67" s="34" t="s">
        <v>2120</v>
      </c>
      <c r="C67" s="42" t="n">
        <v>2023</v>
      </c>
      <c r="D67" s="35" t="s">
        <v>2243</v>
      </c>
      <c r="E67" s="35" t="s">
        <v>2244</v>
      </c>
      <c r="F67" s="34" t="s">
        <v>2175</v>
      </c>
      <c r="G67" s="34" t="s">
        <v>2134</v>
      </c>
      <c r="H67" s="37" t="n">
        <v>354</v>
      </c>
      <c r="I67" s="37" t="n">
        <v>1999</v>
      </c>
      <c r="J67" s="37" t="n">
        <f aca="false">H67*I67</f>
        <v>707646</v>
      </c>
      <c r="K67" s="37" t="n">
        <f aca="false">J67*0.68</f>
        <v>481199.28</v>
      </c>
      <c r="L67" s="37" t="n">
        <f aca="false">J67-K67</f>
        <v>226446.72</v>
      </c>
      <c r="M67" s="38" t="n">
        <f aca="false">IF(J67=0,0,L67/J67)</f>
        <v>0.32</v>
      </c>
      <c r="N67" s="38" t="n">
        <v>0.07</v>
      </c>
      <c r="O67" s="37" t="n">
        <f aca="false">J67*(1-N67)</f>
        <v>658110.78</v>
      </c>
      <c r="P67" s="37" t="n">
        <v>14</v>
      </c>
      <c r="Q67" s="38" t="n">
        <f aca="false">IF(H67=0,0,P67/H67)</f>
        <v>0.0395480225988701</v>
      </c>
      <c r="R67" s="35" t="s">
        <v>2273</v>
      </c>
      <c r="S67" s="34" t="s">
        <v>2098</v>
      </c>
      <c r="T67" s="34" t="s">
        <v>2099</v>
      </c>
    </row>
    <row r="68" customFormat="false" ht="15" hidden="false" customHeight="false" outlineLevel="0" collapsed="false">
      <c r="A68" s="43" t="s">
        <v>2274</v>
      </c>
      <c r="B68" s="43" t="s">
        <v>2126</v>
      </c>
      <c r="C68" s="51" t="n">
        <v>2024</v>
      </c>
      <c r="D68" s="44" t="s">
        <v>2149</v>
      </c>
      <c r="E68" s="44" t="s">
        <v>2128</v>
      </c>
      <c r="F68" s="43" t="s">
        <v>2095</v>
      </c>
      <c r="G68" s="43" t="s">
        <v>2096</v>
      </c>
      <c r="H68" s="46" t="n">
        <v>481</v>
      </c>
      <c r="I68" s="46" t="n">
        <v>299</v>
      </c>
      <c r="J68" s="46" t="n">
        <f aca="false">H68*I68</f>
        <v>143819</v>
      </c>
      <c r="K68" s="46" t="n">
        <f aca="false">J68*0.62</f>
        <v>89167.78</v>
      </c>
      <c r="L68" s="46" t="n">
        <f aca="false">J68-K68</f>
        <v>54651.22</v>
      </c>
      <c r="M68" s="47" t="n">
        <f aca="false">IF(J68=0,0,L68/J68)</f>
        <v>0.38</v>
      </c>
      <c r="N68" s="47" t="n">
        <v>0.02</v>
      </c>
      <c r="O68" s="46" t="n">
        <f aca="false">J68*(1-N68)</f>
        <v>140942.62</v>
      </c>
      <c r="P68" s="46" t="n">
        <v>13</v>
      </c>
      <c r="Q68" s="47" t="n">
        <f aca="false">IF(H68=0,0,P68/H68)</f>
        <v>0.027027027027027</v>
      </c>
      <c r="R68" s="44" t="s">
        <v>2275</v>
      </c>
      <c r="S68" s="43" t="s">
        <v>2107</v>
      </c>
      <c r="T68" s="43" t="s">
        <v>2099</v>
      </c>
    </row>
    <row r="69" customFormat="false" ht="15" hidden="false" customHeight="false" outlineLevel="0" collapsed="false">
      <c r="A69" s="34" t="s">
        <v>2276</v>
      </c>
      <c r="B69" s="34" t="s">
        <v>2156</v>
      </c>
      <c r="C69" s="42" t="n">
        <v>2022</v>
      </c>
      <c r="D69" s="35" t="s">
        <v>2115</v>
      </c>
      <c r="E69" s="35" t="s">
        <v>2103</v>
      </c>
      <c r="F69" s="34" t="s">
        <v>2111</v>
      </c>
      <c r="G69" s="34" t="s">
        <v>2096</v>
      </c>
      <c r="H69" s="37" t="n">
        <v>460</v>
      </c>
      <c r="I69" s="37" t="n">
        <v>3999</v>
      </c>
      <c r="J69" s="37" t="n">
        <f aca="false">H69*I69</f>
        <v>1839540</v>
      </c>
      <c r="K69" s="37" t="n">
        <f aca="false">J69*0.67</f>
        <v>1232491.8</v>
      </c>
      <c r="L69" s="37" t="n">
        <f aca="false">J69-K69</f>
        <v>607048.2</v>
      </c>
      <c r="M69" s="38" t="n">
        <f aca="false">IF(J69=0,0,L69/J69)</f>
        <v>0.33</v>
      </c>
      <c r="N69" s="38" t="n">
        <v>0.13</v>
      </c>
      <c r="O69" s="37" t="n">
        <f aca="false">J69*(1-N69)</f>
        <v>1600399.8</v>
      </c>
      <c r="P69" s="37" t="n">
        <v>2</v>
      </c>
      <c r="Q69" s="38" t="n">
        <f aca="false">IF(H69=0,0,P69/H69)</f>
        <v>0.00434782608695652</v>
      </c>
      <c r="R69" s="35" t="s">
        <v>2277</v>
      </c>
      <c r="S69" s="34" t="s">
        <v>2118</v>
      </c>
      <c r="T69" s="34" t="s">
        <v>2099</v>
      </c>
    </row>
    <row r="70" customFormat="false" ht="15" hidden="false" customHeight="false" outlineLevel="0" collapsed="false">
      <c r="A70" s="43" t="s">
        <v>2278</v>
      </c>
      <c r="B70" s="43" t="s">
        <v>2141</v>
      </c>
      <c r="C70" s="51" t="n">
        <v>2024</v>
      </c>
      <c r="D70" s="44" t="s">
        <v>2093</v>
      </c>
      <c r="E70" s="44" t="s">
        <v>2094</v>
      </c>
      <c r="F70" s="43" t="s">
        <v>2142</v>
      </c>
      <c r="G70" s="43" t="s">
        <v>2129</v>
      </c>
      <c r="H70" s="46" t="n">
        <v>368</v>
      </c>
      <c r="I70" s="46" t="n">
        <v>3999</v>
      </c>
      <c r="J70" s="46" t="n">
        <f aca="false">H70*I70</f>
        <v>1471632</v>
      </c>
      <c r="K70" s="46" t="n">
        <f aca="false">J70*0.48</f>
        <v>706383.36</v>
      </c>
      <c r="L70" s="46" t="n">
        <f aca="false">J70-K70</f>
        <v>765248.64</v>
      </c>
      <c r="M70" s="47" t="n">
        <f aca="false">IF(J70=0,0,L70/J70)</f>
        <v>0.52</v>
      </c>
      <c r="N70" s="47" t="n">
        <v>0.02</v>
      </c>
      <c r="O70" s="46" t="n">
        <f aca="false">J70*(1-N70)</f>
        <v>1442199.36</v>
      </c>
      <c r="P70" s="46" t="n">
        <v>14</v>
      </c>
      <c r="Q70" s="47" t="n">
        <f aca="false">IF(H70=0,0,P70/H70)</f>
        <v>0.0380434782608696</v>
      </c>
      <c r="R70" s="44" t="s">
        <v>2279</v>
      </c>
      <c r="S70" s="43" t="s">
        <v>2136</v>
      </c>
      <c r="T70" s="43" t="s">
        <v>2099</v>
      </c>
    </row>
    <row r="71" customFormat="false" ht="15" hidden="false" customHeight="false" outlineLevel="0" collapsed="false">
      <c r="A71" s="34" t="s">
        <v>2280</v>
      </c>
      <c r="B71" s="34" t="s">
        <v>2092</v>
      </c>
      <c r="C71" s="42" t="n">
        <v>2024</v>
      </c>
      <c r="D71" s="35" t="s">
        <v>2174</v>
      </c>
      <c r="E71" s="35" t="s">
        <v>2103</v>
      </c>
      <c r="F71" s="34" t="s">
        <v>2111</v>
      </c>
      <c r="G71" s="34" t="s">
        <v>2096</v>
      </c>
      <c r="H71" s="37" t="n">
        <v>314</v>
      </c>
      <c r="I71" s="37" t="n">
        <v>12999</v>
      </c>
      <c r="J71" s="37" t="n">
        <f aca="false">H71*I71</f>
        <v>4081686</v>
      </c>
      <c r="K71" s="37" t="n">
        <f aca="false">J71*0.54</f>
        <v>2204110.44</v>
      </c>
      <c r="L71" s="37" t="n">
        <f aca="false">J71-K71</f>
        <v>1877575.56</v>
      </c>
      <c r="M71" s="38" t="n">
        <f aca="false">IF(J71=0,0,L71/J71)</f>
        <v>0.46</v>
      </c>
      <c r="N71" s="38" t="n">
        <v>0.06</v>
      </c>
      <c r="O71" s="37" t="n">
        <f aca="false">J71*(1-N71)</f>
        <v>3836784.84</v>
      </c>
      <c r="P71" s="37" t="n">
        <v>5</v>
      </c>
      <c r="Q71" s="38" t="n">
        <f aca="false">IF(H71=0,0,P71/H71)</f>
        <v>0.0159235668789809</v>
      </c>
      <c r="R71" s="35" t="s">
        <v>2281</v>
      </c>
      <c r="S71" s="34" t="s">
        <v>2098</v>
      </c>
      <c r="T71" s="34" t="s">
        <v>2099</v>
      </c>
    </row>
    <row r="72" customFormat="false" ht="15" hidden="false" customHeight="false" outlineLevel="0" collapsed="false">
      <c r="A72" s="43" t="s">
        <v>2282</v>
      </c>
      <c r="B72" s="43" t="s">
        <v>2162</v>
      </c>
      <c r="C72" s="51" t="n">
        <v>2024</v>
      </c>
      <c r="D72" s="44" t="s">
        <v>2133</v>
      </c>
      <c r="E72" s="44" t="s">
        <v>2103</v>
      </c>
      <c r="F72" s="43" t="s">
        <v>2095</v>
      </c>
      <c r="G72" s="43" t="s">
        <v>2129</v>
      </c>
      <c r="H72" s="46" t="n">
        <v>445</v>
      </c>
      <c r="I72" s="46" t="n">
        <v>12999</v>
      </c>
      <c r="J72" s="46" t="n">
        <f aca="false">H72*I72</f>
        <v>5784555</v>
      </c>
      <c r="K72" s="46" t="n">
        <f aca="false">J72*0.49</f>
        <v>2834431.95</v>
      </c>
      <c r="L72" s="46" t="n">
        <f aca="false">J72-K72</f>
        <v>2950123.05</v>
      </c>
      <c r="M72" s="47" t="n">
        <f aca="false">IF(J72=0,0,L72/J72)</f>
        <v>0.51</v>
      </c>
      <c r="N72" s="47" t="n">
        <v>0.11</v>
      </c>
      <c r="O72" s="46" t="n">
        <f aca="false">J72*(1-N72)</f>
        <v>5148253.95</v>
      </c>
      <c r="P72" s="46" t="n">
        <v>13</v>
      </c>
      <c r="Q72" s="47" t="n">
        <f aca="false">IF(H72=0,0,P72/H72)</f>
        <v>0.0292134831460674</v>
      </c>
      <c r="R72" s="44" t="s">
        <v>2283</v>
      </c>
      <c r="S72" s="43" t="s">
        <v>2107</v>
      </c>
      <c r="T72" s="43" t="s">
        <v>2099</v>
      </c>
    </row>
    <row r="73" customFormat="false" ht="15" hidden="false" customHeight="false" outlineLevel="0" collapsed="false">
      <c r="A73" s="34" t="s">
        <v>2284</v>
      </c>
      <c r="B73" s="34" t="s">
        <v>2148</v>
      </c>
      <c r="C73" s="42" t="n">
        <v>2024</v>
      </c>
      <c r="D73" s="35" t="s">
        <v>2214</v>
      </c>
      <c r="E73" s="35" t="s">
        <v>2103</v>
      </c>
      <c r="F73" s="34" t="s">
        <v>2111</v>
      </c>
      <c r="G73" s="34" t="s">
        <v>2105</v>
      </c>
      <c r="H73" s="37" t="n">
        <v>321</v>
      </c>
      <c r="I73" s="37" t="n">
        <v>12999</v>
      </c>
      <c r="J73" s="37" t="n">
        <f aca="false">H73*I73</f>
        <v>4172679</v>
      </c>
      <c r="K73" s="37" t="n">
        <f aca="false">J73*0.48</f>
        <v>2002885.92</v>
      </c>
      <c r="L73" s="37" t="n">
        <f aca="false">J73-K73</f>
        <v>2169793.08</v>
      </c>
      <c r="M73" s="38" t="n">
        <f aca="false">IF(J73=0,0,L73/J73)</f>
        <v>0.52</v>
      </c>
      <c r="N73" s="38" t="n">
        <v>0.02</v>
      </c>
      <c r="O73" s="37" t="n">
        <f aca="false">J73*(1-N73)</f>
        <v>4089225.42</v>
      </c>
      <c r="P73" s="37" t="n">
        <v>6</v>
      </c>
      <c r="Q73" s="38" t="n">
        <f aca="false">IF(H73=0,0,P73/H73)</f>
        <v>0.0186915887850467</v>
      </c>
      <c r="R73" s="35" t="s">
        <v>2285</v>
      </c>
      <c r="S73" s="34" t="s">
        <v>2136</v>
      </c>
      <c r="T73" s="34" t="s">
        <v>2099</v>
      </c>
    </row>
    <row r="74" customFormat="false" ht="15" hidden="false" customHeight="false" outlineLevel="0" collapsed="false">
      <c r="A74" s="43" t="s">
        <v>2286</v>
      </c>
      <c r="B74" s="43" t="s">
        <v>2162</v>
      </c>
      <c r="C74" s="51" t="n">
        <v>2023</v>
      </c>
      <c r="D74" s="44" t="s">
        <v>2180</v>
      </c>
      <c r="E74" s="44" t="s">
        <v>2181</v>
      </c>
      <c r="F74" s="43" t="s">
        <v>2111</v>
      </c>
      <c r="G74" s="43" t="s">
        <v>2157</v>
      </c>
      <c r="H74" s="46" t="n">
        <v>438</v>
      </c>
      <c r="I74" s="46" t="n">
        <v>9999</v>
      </c>
      <c r="J74" s="46" t="n">
        <f aca="false">H74*I74</f>
        <v>4379562</v>
      </c>
      <c r="K74" s="46" t="n">
        <f aca="false">J74*0.59</f>
        <v>2583941.58</v>
      </c>
      <c r="L74" s="46" t="n">
        <f aca="false">J74-K74</f>
        <v>1795620.42</v>
      </c>
      <c r="M74" s="47" t="n">
        <f aca="false">IF(J74=0,0,L74/J74)</f>
        <v>0.41</v>
      </c>
      <c r="N74" s="47" t="n">
        <v>0</v>
      </c>
      <c r="O74" s="46" t="n">
        <f aca="false">J74*(1-N74)</f>
        <v>4379562</v>
      </c>
      <c r="P74" s="46" t="n">
        <v>15</v>
      </c>
      <c r="Q74" s="47" t="n">
        <f aca="false">IF(H74=0,0,P74/H74)</f>
        <v>0.0342465753424658</v>
      </c>
      <c r="R74" s="44" t="s">
        <v>2287</v>
      </c>
      <c r="S74" s="43" t="s">
        <v>2107</v>
      </c>
      <c r="T74" s="43" t="s">
        <v>2099</v>
      </c>
    </row>
    <row r="75" customFormat="false" ht="15" hidden="false" customHeight="false" outlineLevel="0" collapsed="false">
      <c r="A75" s="34" t="s">
        <v>2288</v>
      </c>
      <c r="B75" s="34" t="s">
        <v>2132</v>
      </c>
      <c r="C75" s="42" t="n">
        <v>2024</v>
      </c>
      <c r="D75" s="35" t="s">
        <v>2093</v>
      </c>
      <c r="E75" s="35" t="s">
        <v>2094</v>
      </c>
      <c r="F75" s="34" t="s">
        <v>2111</v>
      </c>
      <c r="G75" s="34" t="s">
        <v>2157</v>
      </c>
      <c r="H75" s="37" t="n">
        <v>210</v>
      </c>
      <c r="I75" s="37" t="n">
        <v>9999</v>
      </c>
      <c r="J75" s="37" t="n">
        <f aca="false">H75*I75</f>
        <v>2099790</v>
      </c>
      <c r="K75" s="37" t="n">
        <f aca="false">J75*0.47</f>
        <v>986901.3</v>
      </c>
      <c r="L75" s="37" t="n">
        <f aca="false">J75-K75</f>
        <v>1112888.7</v>
      </c>
      <c r="M75" s="38" t="n">
        <f aca="false">IF(J75=0,0,L75/J75)</f>
        <v>0.53</v>
      </c>
      <c r="N75" s="38" t="n">
        <v>0.09</v>
      </c>
      <c r="O75" s="37" t="n">
        <f aca="false">J75*(1-N75)</f>
        <v>1910808.9</v>
      </c>
      <c r="P75" s="37" t="n">
        <v>3</v>
      </c>
      <c r="Q75" s="38" t="n">
        <f aca="false">IF(H75=0,0,P75/H75)</f>
        <v>0.0142857142857143</v>
      </c>
      <c r="R75" s="35" t="s">
        <v>2289</v>
      </c>
      <c r="S75" s="34" t="s">
        <v>2136</v>
      </c>
      <c r="T75" s="34" t="s">
        <v>2099</v>
      </c>
    </row>
    <row r="76" customFormat="false" ht="15" hidden="false" customHeight="false" outlineLevel="0" collapsed="false">
      <c r="A76" s="43" t="s">
        <v>2290</v>
      </c>
      <c r="B76" s="43" t="s">
        <v>2162</v>
      </c>
      <c r="C76" s="51" t="n">
        <v>2024</v>
      </c>
      <c r="D76" s="44" t="s">
        <v>2102</v>
      </c>
      <c r="E76" s="44" t="s">
        <v>2103</v>
      </c>
      <c r="F76" s="43" t="s">
        <v>2104</v>
      </c>
      <c r="G76" s="43" t="s">
        <v>2129</v>
      </c>
      <c r="H76" s="46" t="n">
        <v>26</v>
      </c>
      <c r="I76" s="46" t="n">
        <v>12999</v>
      </c>
      <c r="J76" s="46" t="n">
        <f aca="false">H76*I76</f>
        <v>337974</v>
      </c>
      <c r="K76" s="46" t="n">
        <f aca="false">J76*0.49</f>
        <v>165607.26</v>
      </c>
      <c r="L76" s="46" t="n">
        <f aca="false">J76-K76</f>
        <v>172366.74</v>
      </c>
      <c r="M76" s="47" t="n">
        <f aca="false">IF(J76=0,0,L76/J76)</f>
        <v>0.51</v>
      </c>
      <c r="N76" s="47" t="n">
        <v>0.1</v>
      </c>
      <c r="O76" s="46" t="n">
        <f aca="false">J76*(1-N76)</f>
        <v>304176.6</v>
      </c>
      <c r="P76" s="46" t="n">
        <v>0</v>
      </c>
      <c r="Q76" s="47" t="n">
        <f aca="false">IF(H76=0,0,P76/H76)</f>
        <v>0</v>
      </c>
      <c r="R76" s="44" t="s">
        <v>2291</v>
      </c>
      <c r="S76" s="43" t="s">
        <v>2107</v>
      </c>
      <c r="T76" s="43" t="s">
        <v>2099</v>
      </c>
    </row>
    <row r="77" customFormat="false" ht="15" hidden="false" customHeight="false" outlineLevel="0" collapsed="false">
      <c r="A77" s="34" t="s">
        <v>2292</v>
      </c>
      <c r="B77" s="34" t="s">
        <v>2165</v>
      </c>
      <c r="C77" s="42" t="n">
        <v>2024</v>
      </c>
      <c r="D77" s="35" t="s">
        <v>2109</v>
      </c>
      <c r="E77" s="35" t="s">
        <v>2110</v>
      </c>
      <c r="F77" s="34" t="s">
        <v>2104</v>
      </c>
      <c r="G77" s="34" t="s">
        <v>2096</v>
      </c>
      <c r="H77" s="37" t="n">
        <v>153</v>
      </c>
      <c r="I77" s="37" t="n">
        <v>8999</v>
      </c>
      <c r="J77" s="37" t="n">
        <f aca="false">H77*I77</f>
        <v>1376847</v>
      </c>
      <c r="K77" s="37" t="n">
        <f aca="false">J77*0.68</f>
        <v>936255.96</v>
      </c>
      <c r="L77" s="37" t="n">
        <f aca="false">J77-K77</f>
        <v>440591.04</v>
      </c>
      <c r="M77" s="38" t="n">
        <f aca="false">IF(J77=0,0,L77/J77)</f>
        <v>0.32</v>
      </c>
      <c r="N77" s="38" t="n">
        <v>0.01</v>
      </c>
      <c r="O77" s="37" t="n">
        <f aca="false">J77*(1-N77)</f>
        <v>1363078.53</v>
      </c>
      <c r="P77" s="37" t="n">
        <v>6</v>
      </c>
      <c r="Q77" s="38" t="n">
        <f aca="false">IF(H77=0,0,P77/H77)</f>
        <v>0.0392156862745098</v>
      </c>
      <c r="R77" s="35" t="s">
        <v>2293</v>
      </c>
      <c r="S77" s="34" t="s">
        <v>2098</v>
      </c>
      <c r="T77" s="34" t="s">
        <v>2099</v>
      </c>
    </row>
    <row r="78" customFormat="false" ht="15" hidden="false" customHeight="false" outlineLevel="0" collapsed="false">
      <c r="A78" s="43" t="s">
        <v>2294</v>
      </c>
      <c r="B78" s="43" t="s">
        <v>2120</v>
      </c>
      <c r="C78" s="51" t="n">
        <v>2024</v>
      </c>
      <c r="D78" s="44" t="s">
        <v>2243</v>
      </c>
      <c r="E78" s="44" t="s">
        <v>2244</v>
      </c>
      <c r="F78" s="43" t="s">
        <v>2175</v>
      </c>
      <c r="G78" s="43" t="s">
        <v>2096</v>
      </c>
      <c r="H78" s="46" t="n">
        <v>294</v>
      </c>
      <c r="I78" s="46" t="n">
        <v>2999</v>
      </c>
      <c r="J78" s="46" t="n">
        <f aca="false">H78*I78</f>
        <v>881706</v>
      </c>
      <c r="K78" s="46" t="n">
        <f aca="false">J78*0.59</f>
        <v>520206.54</v>
      </c>
      <c r="L78" s="46" t="n">
        <f aca="false">J78-K78</f>
        <v>361499.46</v>
      </c>
      <c r="M78" s="47" t="n">
        <f aca="false">IF(J78=0,0,L78/J78)</f>
        <v>0.41</v>
      </c>
      <c r="N78" s="47" t="n">
        <v>0.14</v>
      </c>
      <c r="O78" s="46" t="n">
        <f aca="false">J78*(1-N78)</f>
        <v>758267.16</v>
      </c>
      <c r="P78" s="46" t="n">
        <v>11</v>
      </c>
      <c r="Q78" s="47" t="n">
        <f aca="false">IF(H78=0,0,P78/H78)</f>
        <v>0.0374149659863946</v>
      </c>
      <c r="R78" s="44" t="s">
        <v>2295</v>
      </c>
      <c r="S78" s="43" t="s">
        <v>2098</v>
      </c>
      <c r="T78" s="43" t="s">
        <v>2099</v>
      </c>
    </row>
    <row r="79" customFormat="false" ht="15" hidden="false" customHeight="false" outlineLevel="0" collapsed="false">
      <c r="A79" s="34" t="s">
        <v>2296</v>
      </c>
      <c r="B79" s="34" t="s">
        <v>2165</v>
      </c>
      <c r="C79" s="42" t="n">
        <v>2022</v>
      </c>
      <c r="D79" s="35" t="s">
        <v>2214</v>
      </c>
      <c r="E79" s="35" t="s">
        <v>2103</v>
      </c>
      <c r="F79" s="34" t="s">
        <v>2194</v>
      </c>
      <c r="G79" s="34" t="s">
        <v>2105</v>
      </c>
      <c r="H79" s="37" t="n">
        <v>189</v>
      </c>
      <c r="I79" s="37" t="n">
        <v>299</v>
      </c>
      <c r="J79" s="37" t="n">
        <f aca="false">H79*I79</f>
        <v>56511</v>
      </c>
      <c r="K79" s="37" t="n">
        <f aca="false">J79*0.54</f>
        <v>30515.94</v>
      </c>
      <c r="L79" s="37" t="n">
        <f aca="false">J79-K79</f>
        <v>25995.06</v>
      </c>
      <c r="M79" s="38" t="n">
        <f aca="false">IF(J79=0,0,L79/J79)</f>
        <v>0.46</v>
      </c>
      <c r="N79" s="38" t="n">
        <v>0.01</v>
      </c>
      <c r="O79" s="37" t="n">
        <f aca="false">J79*(1-N79)</f>
        <v>55945.89</v>
      </c>
      <c r="P79" s="37" t="n">
        <v>6</v>
      </c>
      <c r="Q79" s="38" t="n">
        <f aca="false">IF(H79=0,0,P79/H79)</f>
        <v>0.0317460317460317</v>
      </c>
      <c r="R79" s="35" t="s">
        <v>2297</v>
      </c>
      <c r="S79" s="34" t="s">
        <v>2098</v>
      </c>
      <c r="T79" s="34" t="s">
        <v>2099</v>
      </c>
    </row>
    <row r="80" customFormat="false" ht="15" hidden="false" customHeight="false" outlineLevel="0" collapsed="false">
      <c r="A80" s="43" t="s">
        <v>2298</v>
      </c>
      <c r="B80" s="43" t="s">
        <v>2148</v>
      </c>
      <c r="C80" s="51" t="n">
        <v>2023</v>
      </c>
      <c r="D80" s="44" t="s">
        <v>2115</v>
      </c>
      <c r="E80" s="44" t="s">
        <v>2103</v>
      </c>
      <c r="F80" s="43" t="s">
        <v>2116</v>
      </c>
      <c r="G80" s="43" t="s">
        <v>2105</v>
      </c>
      <c r="H80" s="46" t="n">
        <v>169</v>
      </c>
      <c r="I80" s="46" t="n">
        <v>1999</v>
      </c>
      <c r="J80" s="46" t="n">
        <f aca="false">H80*I80</f>
        <v>337831</v>
      </c>
      <c r="K80" s="46" t="n">
        <f aca="false">J80*0.55</f>
        <v>185807.05</v>
      </c>
      <c r="L80" s="46" t="n">
        <f aca="false">J80-K80</f>
        <v>152023.95</v>
      </c>
      <c r="M80" s="47" t="n">
        <f aca="false">IF(J80=0,0,L80/J80)</f>
        <v>0.45</v>
      </c>
      <c r="N80" s="47" t="n">
        <v>0.03</v>
      </c>
      <c r="O80" s="46" t="n">
        <f aca="false">J80*(1-N80)</f>
        <v>327696.07</v>
      </c>
      <c r="P80" s="46" t="n">
        <v>3</v>
      </c>
      <c r="Q80" s="47" t="n">
        <f aca="false">IF(H80=0,0,P80/H80)</f>
        <v>0.0177514792899408</v>
      </c>
      <c r="R80" s="44" t="s">
        <v>2299</v>
      </c>
      <c r="S80" s="43" t="s">
        <v>2136</v>
      </c>
      <c r="T80" s="43" t="s">
        <v>2099</v>
      </c>
    </row>
    <row r="81" customFormat="false" ht="15" hidden="false" customHeight="false" outlineLevel="0" collapsed="false">
      <c r="A81" s="34" t="s">
        <v>2300</v>
      </c>
      <c r="B81" s="34" t="s">
        <v>2092</v>
      </c>
      <c r="C81" s="42" t="n">
        <v>2024</v>
      </c>
      <c r="D81" s="35" t="s">
        <v>2174</v>
      </c>
      <c r="E81" s="35" t="s">
        <v>2103</v>
      </c>
      <c r="F81" s="34" t="s">
        <v>2142</v>
      </c>
      <c r="G81" s="34" t="s">
        <v>2096</v>
      </c>
      <c r="H81" s="37" t="n">
        <v>45</v>
      </c>
      <c r="I81" s="37" t="n">
        <v>9999</v>
      </c>
      <c r="J81" s="37" t="n">
        <f aca="false">H81*I81</f>
        <v>449955</v>
      </c>
      <c r="K81" s="37" t="n">
        <f aca="false">J81*0.63</f>
        <v>283471.65</v>
      </c>
      <c r="L81" s="37" t="n">
        <f aca="false">J81-K81</f>
        <v>166483.35</v>
      </c>
      <c r="M81" s="38" t="n">
        <f aca="false">IF(J81=0,0,L81/J81)</f>
        <v>0.37</v>
      </c>
      <c r="N81" s="38" t="n">
        <v>0.09</v>
      </c>
      <c r="O81" s="37" t="n">
        <f aca="false">J81*(1-N81)</f>
        <v>409459.05</v>
      </c>
      <c r="P81" s="37" t="n">
        <v>2</v>
      </c>
      <c r="Q81" s="38" t="n">
        <f aca="false">IF(H81=0,0,P81/H81)</f>
        <v>0.0444444444444444</v>
      </c>
      <c r="R81" s="35" t="s">
        <v>2301</v>
      </c>
      <c r="S81" s="34" t="s">
        <v>2098</v>
      </c>
      <c r="T81" s="34" t="s">
        <v>2099</v>
      </c>
    </row>
    <row r="82" customFormat="false" ht="15" hidden="false" customHeight="false" outlineLevel="0" collapsed="false">
      <c r="A82" s="43" t="s">
        <v>2302</v>
      </c>
      <c r="B82" s="43" t="s">
        <v>2213</v>
      </c>
      <c r="C82" s="51" t="n">
        <v>2024</v>
      </c>
      <c r="D82" s="44" t="s">
        <v>2133</v>
      </c>
      <c r="E82" s="44" t="s">
        <v>2103</v>
      </c>
      <c r="F82" s="43" t="s">
        <v>2194</v>
      </c>
      <c r="G82" s="43" t="s">
        <v>2105</v>
      </c>
      <c r="H82" s="46" t="n">
        <v>270</v>
      </c>
      <c r="I82" s="46" t="n">
        <v>11999</v>
      </c>
      <c r="J82" s="46" t="n">
        <f aca="false">H82*I82</f>
        <v>3239730</v>
      </c>
      <c r="K82" s="46" t="n">
        <f aca="false">J82*0.7</f>
        <v>2267811</v>
      </c>
      <c r="L82" s="46" t="n">
        <f aca="false">J82-K82</f>
        <v>971919</v>
      </c>
      <c r="M82" s="47" t="n">
        <f aca="false">IF(J82=0,0,L82/J82)</f>
        <v>0.3</v>
      </c>
      <c r="N82" s="47" t="n">
        <v>0.05</v>
      </c>
      <c r="O82" s="46" t="n">
        <f aca="false">J82*(1-N82)</f>
        <v>3077743.5</v>
      </c>
      <c r="P82" s="46" t="n">
        <v>2</v>
      </c>
      <c r="Q82" s="47" t="n">
        <f aca="false">IF(H82=0,0,P82/H82)</f>
        <v>0.00740740740740741</v>
      </c>
      <c r="R82" s="44" t="s">
        <v>2303</v>
      </c>
      <c r="S82" s="43" t="s">
        <v>2118</v>
      </c>
      <c r="T82" s="43" t="s">
        <v>2124</v>
      </c>
    </row>
    <row r="83" customFormat="false" ht="15" hidden="false" customHeight="false" outlineLevel="0" collapsed="false">
      <c r="A83" s="34" t="s">
        <v>2304</v>
      </c>
      <c r="B83" s="34" t="s">
        <v>2114</v>
      </c>
      <c r="C83" s="42" t="n">
        <v>2024</v>
      </c>
      <c r="D83" s="35" t="s">
        <v>2093</v>
      </c>
      <c r="E83" s="35" t="s">
        <v>2094</v>
      </c>
      <c r="F83" s="34" t="s">
        <v>2111</v>
      </c>
      <c r="G83" s="34" t="s">
        <v>2157</v>
      </c>
      <c r="H83" s="37" t="n">
        <v>414</v>
      </c>
      <c r="I83" s="37" t="n">
        <v>12999</v>
      </c>
      <c r="J83" s="37" t="n">
        <f aca="false">H83*I83</f>
        <v>5381586</v>
      </c>
      <c r="K83" s="37" t="n">
        <f aca="false">J83*0.67</f>
        <v>3605662.62</v>
      </c>
      <c r="L83" s="37" t="n">
        <f aca="false">J83-K83</f>
        <v>1775923.38</v>
      </c>
      <c r="M83" s="38" t="n">
        <f aca="false">IF(J83=0,0,L83/J83)</f>
        <v>0.33</v>
      </c>
      <c r="N83" s="38" t="n">
        <v>0.03</v>
      </c>
      <c r="O83" s="37" t="n">
        <f aca="false">J83*(1-N83)</f>
        <v>5220138.42</v>
      </c>
      <c r="P83" s="37" t="n">
        <v>9</v>
      </c>
      <c r="Q83" s="38" t="n">
        <f aca="false">IF(H83=0,0,P83/H83)</f>
        <v>0.0217391304347826</v>
      </c>
      <c r="R83" s="35" t="s">
        <v>2305</v>
      </c>
      <c r="S83" s="34" t="s">
        <v>2118</v>
      </c>
      <c r="T83" s="34" t="s">
        <v>2099</v>
      </c>
    </row>
    <row r="84" customFormat="false" ht="15" hidden="false" customHeight="false" outlineLevel="0" collapsed="false">
      <c r="A84" s="43" t="s">
        <v>2306</v>
      </c>
      <c r="B84" s="43" t="s">
        <v>2165</v>
      </c>
      <c r="C84" s="51" t="n">
        <v>2022</v>
      </c>
      <c r="D84" s="44" t="s">
        <v>2180</v>
      </c>
      <c r="E84" s="44" t="s">
        <v>2181</v>
      </c>
      <c r="F84" s="43" t="s">
        <v>2111</v>
      </c>
      <c r="G84" s="43" t="s">
        <v>2134</v>
      </c>
      <c r="H84" s="46" t="n">
        <v>378</v>
      </c>
      <c r="I84" s="46" t="n">
        <v>799</v>
      </c>
      <c r="J84" s="46" t="n">
        <f aca="false">H84*I84</f>
        <v>302022</v>
      </c>
      <c r="K84" s="46" t="n">
        <f aca="false">J84*0.5</f>
        <v>151011</v>
      </c>
      <c r="L84" s="46" t="n">
        <f aca="false">J84-K84</f>
        <v>151011</v>
      </c>
      <c r="M84" s="47" t="n">
        <f aca="false">IF(J84=0,0,L84/J84)</f>
        <v>0.5</v>
      </c>
      <c r="N84" s="47" t="n">
        <v>0.09</v>
      </c>
      <c r="O84" s="46" t="n">
        <f aca="false">J84*(1-N84)</f>
        <v>274840.02</v>
      </c>
      <c r="P84" s="46" t="n">
        <v>13</v>
      </c>
      <c r="Q84" s="47" t="n">
        <f aca="false">IF(H84=0,0,P84/H84)</f>
        <v>0.0343915343915344</v>
      </c>
      <c r="R84" s="44" t="s">
        <v>2307</v>
      </c>
      <c r="S84" s="43" t="s">
        <v>2098</v>
      </c>
      <c r="T84" s="43" t="s">
        <v>2124</v>
      </c>
    </row>
    <row r="85" customFormat="false" ht="15" hidden="false" customHeight="false" outlineLevel="0" collapsed="false">
      <c r="A85" s="34" t="s">
        <v>2308</v>
      </c>
      <c r="B85" s="34" t="s">
        <v>2165</v>
      </c>
      <c r="C85" s="42" t="n">
        <v>2023</v>
      </c>
      <c r="D85" s="35" t="s">
        <v>2127</v>
      </c>
      <c r="E85" s="35" t="s">
        <v>2128</v>
      </c>
      <c r="F85" s="34" t="s">
        <v>2175</v>
      </c>
      <c r="G85" s="34" t="s">
        <v>2129</v>
      </c>
      <c r="H85" s="37" t="n">
        <v>6</v>
      </c>
      <c r="I85" s="37" t="n">
        <v>24999</v>
      </c>
      <c r="J85" s="37" t="n">
        <f aca="false">H85*I85</f>
        <v>149994</v>
      </c>
      <c r="K85" s="37" t="n">
        <f aca="false">J85*0.5</f>
        <v>74997</v>
      </c>
      <c r="L85" s="37" t="n">
        <f aca="false">J85-K85</f>
        <v>74997</v>
      </c>
      <c r="M85" s="38" t="n">
        <f aca="false">IF(J85=0,0,L85/J85)</f>
        <v>0.5</v>
      </c>
      <c r="N85" s="38" t="n">
        <v>0.04</v>
      </c>
      <c r="O85" s="37" t="n">
        <f aca="false">J85*(1-N85)</f>
        <v>143994.24</v>
      </c>
      <c r="P85" s="37" t="n">
        <v>0</v>
      </c>
      <c r="Q85" s="38" t="n">
        <f aca="false">IF(H85=0,0,P85/H85)</f>
        <v>0</v>
      </c>
      <c r="R85" s="35" t="s">
        <v>2309</v>
      </c>
      <c r="S85" s="34" t="s">
        <v>2098</v>
      </c>
      <c r="T85" s="34" t="s">
        <v>2099</v>
      </c>
    </row>
    <row r="86" customFormat="false" ht="15" hidden="false" customHeight="false" outlineLevel="0" collapsed="false">
      <c r="A86" s="43" t="s">
        <v>2310</v>
      </c>
      <c r="B86" s="43" t="s">
        <v>2148</v>
      </c>
      <c r="C86" s="51" t="n">
        <v>2024</v>
      </c>
      <c r="D86" s="44" t="s">
        <v>2102</v>
      </c>
      <c r="E86" s="44" t="s">
        <v>2103</v>
      </c>
      <c r="F86" s="43" t="s">
        <v>2194</v>
      </c>
      <c r="G86" s="43" t="s">
        <v>2134</v>
      </c>
      <c r="H86" s="46" t="n">
        <v>59</v>
      </c>
      <c r="I86" s="46" t="n">
        <v>24999</v>
      </c>
      <c r="J86" s="46" t="n">
        <f aca="false">H86*I86</f>
        <v>1474941</v>
      </c>
      <c r="K86" s="46" t="n">
        <f aca="false">J86*0.53</f>
        <v>781718.73</v>
      </c>
      <c r="L86" s="46" t="n">
        <f aca="false">J86-K86</f>
        <v>693222.27</v>
      </c>
      <c r="M86" s="47" t="n">
        <f aca="false">IF(J86=0,0,L86/J86)</f>
        <v>0.47</v>
      </c>
      <c r="N86" s="47" t="n">
        <v>0.06</v>
      </c>
      <c r="O86" s="46" t="n">
        <f aca="false">J86*(1-N86)</f>
        <v>1386444.54</v>
      </c>
      <c r="P86" s="46" t="n">
        <v>2</v>
      </c>
      <c r="Q86" s="47" t="n">
        <f aca="false">IF(H86=0,0,P86/H86)</f>
        <v>0.0338983050847458</v>
      </c>
      <c r="R86" s="44" t="s">
        <v>2311</v>
      </c>
      <c r="S86" s="43" t="s">
        <v>2136</v>
      </c>
      <c r="T86" s="43" t="s">
        <v>2099</v>
      </c>
    </row>
    <row r="87" customFormat="false" ht="15" hidden="false" customHeight="false" outlineLevel="0" collapsed="false">
      <c r="A87" s="34" t="s">
        <v>2312</v>
      </c>
      <c r="B87" s="34" t="s">
        <v>2120</v>
      </c>
      <c r="C87" s="42" t="n">
        <v>2022</v>
      </c>
      <c r="D87" s="35" t="s">
        <v>2127</v>
      </c>
      <c r="E87" s="35" t="s">
        <v>2128</v>
      </c>
      <c r="F87" s="34" t="s">
        <v>2104</v>
      </c>
      <c r="G87" s="34" t="s">
        <v>2105</v>
      </c>
      <c r="H87" s="37" t="n">
        <v>473</v>
      </c>
      <c r="I87" s="37" t="n">
        <v>24999</v>
      </c>
      <c r="J87" s="37" t="n">
        <f aca="false">H87*I87</f>
        <v>11824527</v>
      </c>
      <c r="K87" s="37" t="n">
        <f aca="false">J87*0.57</f>
        <v>6739980.39</v>
      </c>
      <c r="L87" s="37" t="n">
        <f aca="false">J87-K87</f>
        <v>5084546.61</v>
      </c>
      <c r="M87" s="38" t="n">
        <f aca="false">IF(J87=0,0,L87/J87)</f>
        <v>0.43</v>
      </c>
      <c r="N87" s="38" t="n">
        <v>0.07</v>
      </c>
      <c r="O87" s="37" t="n">
        <f aca="false">J87*(1-N87)</f>
        <v>10996810.11</v>
      </c>
      <c r="P87" s="37" t="n">
        <v>1</v>
      </c>
      <c r="Q87" s="38" t="n">
        <f aca="false">IF(H87=0,0,P87/H87)</f>
        <v>0.00211416490486258</v>
      </c>
      <c r="R87" s="35" t="s">
        <v>2313</v>
      </c>
      <c r="S87" s="34" t="s">
        <v>2098</v>
      </c>
      <c r="T87" s="34" t="s">
        <v>2099</v>
      </c>
    </row>
    <row r="88" customFormat="false" ht="15" hidden="false" customHeight="false" outlineLevel="0" collapsed="false">
      <c r="A88" s="43" t="s">
        <v>2314</v>
      </c>
      <c r="B88" s="43" t="s">
        <v>2156</v>
      </c>
      <c r="C88" s="51" t="n">
        <v>2022</v>
      </c>
      <c r="D88" s="44" t="s">
        <v>2093</v>
      </c>
      <c r="E88" s="44" t="s">
        <v>2094</v>
      </c>
      <c r="F88" s="43" t="s">
        <v>2111</v>
      </c>
      <c r="G88" s="43" t="s">
        <v>2096</v>
      </c>
      <c r="H88" s="46" t="n">
        <v>459</v>
      </c>
      <c r="I88" s="46" t="n">
        <v>8999</v>
      </c>
      <c r="J88" s="46" t="n">
        <f aca="false">H88*I88</f>
        <v>4130541</v>
      </c>
      <c r="K88" s="46" t="n">
        <f aca="false">J88*0.57</f>
        <v>2354408.37</v>
      </c>
      <c r="L88" s="46" t="n">
        <f aca="false">J88-K88</f>
        <v>1776132.63</v>
      </c>
      <c r="M88" s="47" t="n">
        <f aca="false">IF(J88=0,0,L88/J88)</f>
        <v>0.43</v>
      </c>
      <c r="N88" s="47" t="n">
        <v>0.12</v>
      </c>
      <c r="O88" s="46" t="n">
        <f aca="false">J88*(1-N88)</f>
        <v>3634876.08</v>
      </c>
      <c r="P88" s="46" t="n">
        <v>1</v>
      </c>
      <c r="Q88" s="47" t="n">
        <f aca="false">IF(H88=0,0,P88/H88)</f>
        <v>0.00217864923747277</v>
      </c>
      <c r="R88" s="44" t="s">
        <v>2315</v>
      </c>
      <c r="S88" s="43" t="s">
        <v>2118</v>
      </c>
      <c r="T88" s="43" t="s">
        <v>2099</v>
      </c>
    </row>
    <row r="89" customFormat="false" ht="15" hidden="false" customHeight="false" outlineLevel="0" collapsed="false">
      <c r="A89" s="34" t="s">
        <v>2316</v>
      </c>
      <c r="B89" s="34" t="s">
        <v>2162</v>
      </c>
      <c r="C89" s="42" t="n">
        <v>2024</v>
      </c>
      <c r="D89" s="35" t="s">
        <v>2093</v>
      </c>
      <c r="E89" s="35" t="s">
        <v>2094</v>
      </c>
      <c r="F89" s="34" t="s">
        <v>2194</v>
      </c>
      <c r="G89" s="34" t="s">
        <v>2096</v>
      </c>
      <c r="H89" s="37" t="n">
        <v>275</v>
      </c>
      <c r="I89" s="37" t="n">
        <v>4999</v>
      </c>
      <c r="J89" s="37" t="n">
        <f aca="false">H89*I89</f>
        <v>1374725</v>
      </c>
      <c r="K89" s="37" t="n">
        <f aca="false">J89*0.5</f>
        <v>687362.5</v>
      </c>
      <c r="L89" s="37" t="n">
        <f aca="false">J89-K89</f>
        <v>687362.5</v>
      </c>
      <c r="M89" s="38" t="n">
        <f aca="false">IF(J89=0,0,L89/J89)</f>
        <v>0.5</v>
      </c>
      <c r="N89" s="38" t="n">
        <v>0.1</v>
      </c>
      <c r="O89" s="37" t="n">
        <f aca="false">J89*(1-N89)</f>
        <v>1237252.5</v>
      </c>
      <c r="P89" s="37" t="n">
        <v>12</v>
      </c>
      <c r="Q89" s="38" t="n">
        <f aca="false">IF(H89=0,0,P89/H89)</f>
        <v>0.0436363636363636</v>
      </c>
      <c r="R89" s="35" t="s">
        <v>2317</v>
      </c>
      <c r="S89" s="34" t="s">
        <v>2107</v>
      </c>
      <c r="T89" s="34" t="s">
        <v>2099</v>
      </c>
    </row>
    <row r="90" customFormat="false" ht="15" hidden="false" customHeight="false" outlineLevel="0" collapsed="false">
      <c r="A90" s="43" t="s">
        <v>2318</v>
      </c>
      <c r="B90" s="43" t="s">
        <v>2092</v>
      </c>
      <c r="C90" s="51" t="n">
        <v>2022</v>
      </c>
      <c r="D90" s="44" t="s">
        <v>2243</v>
      </c>
      <c r="E90" s="44" t="s">
        <v>2244</v>
      </c>
      <c r="F90" s="43" t="s">
        <v>2104</v>
      </c>
      <c r="G90" s="43" t="s">
        <v>2134</v>
      </c>
      <c r="H90" s="46" t="n">
        <v>174</v>
      </c>
      <c r="I90" s="46" t="n">
        <v>15999</v>
      </c>
      <c r="J90" s="46" t="n">
        <f aca="false">H90*I90</f>
        <v>2783826</v>
      </c>
      <c r="K90" s="46" t="n">
        <f aca="false">J90*0.61</f>
        <v>1698133.86</v>
      </c>
      <c r="L90" s="46" t="n">
        <f aca="false">J90-K90</f>
        <v>1085692.14</v>
      </c>
      <c r="M90" s="47" t="n">
        <f aca="false">IF(J90=0,0,L90/J90)</f>
        <v>0.39</v>
      </c>
      <c r="N90" s="47" t="n">
        <v>0.13</v>
      </c>
      <c r="O90" s="46" t="n">
        <f aca="false">J90*(1-N90)</f>
        <v>2421928.62</v>
      </c>
      <c r="P90" s="46" t="n">
        <v>6</v>
      </c>
      <c r="Q90" s="47" t="n">
        <f aca="false">IF(H90=0,0,P90/H90)</f>
        <v>0.0344827586206897</v>
      </c>
      <c r="R90" s="44" t="s">
        <v>2319</v>
      </c>
      <c r="S90" s="43" t="s">
        <v>2098</v>
      </c>
      <c r="T90" s="43" t="s">
        <v>2099</v>
      </c>
    </row>
    <row r="91" customFormat="false" ht="15" hidden="false" customHeight="false" outlineLevel="0" collapsed="false">
      <c r="A91" s="34" t="s">
        <v>2320</v>
      </c>
      <c r="B91" s="34" t="s">
        <v>2162</v>
      </c>
      <c r="C91" s="42" t="n">
        <v>2022</v>
      </c>
      <c r="D91" s="35" t="s">
        <v>2133</v>
      </c>
      <c r="E91" s="35" t="s">
        <v>2103</v>
      </c>
      <c r="F91" s="34" t="s">
        <v>2104</v>
      </c>
      <c r="G91" s="34" t="s">
        <v>2105</v>
      </c>
      <c r="H91" s="37" t="n">
        <v>362</v>
      </c>
      <c r="I91" s="37" t="n">
        <v>799</v>
      </c>
      <c r="J91" s="37" t="n">
        <f aca="false">H91*I91</f>
        <v>289238</v>
      </c>
      <c r="K91" s="37" t="n">
        <f aca="false">J91*0.53</f>
        <v>153296.14</v>
      </c>
      <c r="L91" s="37" t="n">
        <f aca="false">J91-K91</f>
        <v>135941.86</v>
      </c>
      <c r="M91" s="38" t="n">
        <f aca="false">IF(J91=0,0,L91/J91)</f>
        <v>0.47</v>
      </c>
      <c r="N91" s="38" t="n">
        <v>0</v>
      </c>
      <c r="O91" s="37" t="n">
        <f aca="false">J91*(1-N91)</f>
        <v>289238</v>
      </c>
      <c r="P91" s="37" t="n">
        <v>13</v>
      </c>
      <c r="Q91" s="38" t="n">
        <f aca="false">IF(H91=0,0,P91/H91)</f>
        <v>0.0359116022099448</v>
      </c>
      <c r="R91" s="35" t="s">
        <v>2321</v>
      </c>
      <c r="S91" s="34" t="s">
        <v>2107</v>
      </c>
      <c r="T91" s="34" t="s">
        <v>2099</v>
      </c>
    </row>
    <row r="92" customFormat="false" ht="15" hidden="false" customHeight="false" outlineLevel="0" collapsed="false">
      <c r="A92" s="43" t="s">
        <v>2322</v>
      </c>
      <c r="B92" s="43" t="s">
        <v>2156</v>
      </c>
      <c r="C92" s="51" t="n">
        <v>2022</v>
      </c>
      <c r="D92" s="44" t="s">
        <v>2127</v>
      </c>
      <c r="E92" s="44" t="s">
        <v>2128</v>
      </c>
      <c r="F92" s="43" t="s">
        <v>2111</v>
      </c>
      <c r="G92" s="43" t="s">
        <v>2105</v>
      </c>
      <c r="H92" s="46" t="n">
        <v>111</v>
      </c>
      <c r="I92" s="46" t="n">
        <v>1999</v>
      </c>
      <c r="J92" s="46" t="n">
        <f aca="false">H92*I92</f>
        <v>221889</v>
      </c>
      <c r="K92" s="46" t="n">
        <f aca="false">J92*0.53</f>
        <v>117601.17</v>
      </c>
      <c r="L92" s="46" t="n">
        <f aca="false">J92-K92</f>
        <v>104287.83</v>
      </c>
      <c r="M92" s="47" t="n">
        <f aca="false">IF(J92=0,0,L92/J92)</f>
        <v>0.47</v>
      </c>
      <c r="N92" s="47" t="n">
        <v>0.02</v>
      </c>
      <c r="O92" s="46" t="n">
        <f aca="false">J92*(1-N92)</f>
        <v>217451.22</v>
      </c>
      <c r="P92" s="46" t="n">
        <v>0</v>
      </c>
      <c r="Q92" s="47" t="n">
        <f aca="false">IF(H92=0,0,P92/H92)</f>
        <v>0</v>
      </c>
      <c r="R92" s="44" t="s">
        <v>2323</v>
      </c>
      <c r="S92" s="43" t="s">
        <v>2118</v>
      </c>
      <c r="T92" s="43" t="s">
        <v>2099</v>
      </c>
    </row>
    <row r="93" customFormat="false" ht="15" hidden="false" customHeight="false" outlineLevel="0" collapsed="false">
      <c r="A93" s="34" t="s">
        <v>2324</v>
      </c>
      <c r="B93" s="34" t="s">
        <v>2092</v>
      </c>
      <c r="C93" s="42" t="n">
        <v>2023</v>
      </c>
      <c r="D93" s="35" t="s">
        <v>2102</v>
      </c>
      <c r="E93" s="35" t="s">
        <v>2103</v>
      </c>
      <c r="F93" s="34" t="s">
        <v>2116</v>
      </c>
      <c r="G93" s="34" t="s">
        <v>2157</v>
      </c>
      <c r="H93" s="37" t="n">
        <v>464</v>
      </c>
      <c r="I93" s="37" t="n">
        <v>1999</v>
      </c>
      <c r="J93" s="37" t="n">
        <f aca="false">H93*I93</f>
        <v>927536</v>
      </c>
      <c r="K93" s="37" t="n">
        <f aca="false">J93*0.49</f>
        <v>454492.64</v>
      </c>
      <c r="L93" s="37" t="n">
        <f aca="false">J93-K93</f>
        <v>473043.36</v>
      </c>
      <c r="M93" s="38" t="n">
        <f aca="false">IF(J93=0,0,L93/J93)</f>
        <v>0.51</v>
      </c>
      <c r="N93" s="38" t="n">
        <v>0.05</v>
      </c>
      <c r="O93" s="37" t="n">
        <f aca="false">J93*(1-N93)</f>
        <v>881159.2</v>
      </c>
      <c r="P93" s="37" t="n">
        <v>15</v>
      </c>
      <c r="Q93" s="38" t="n">
        <f aca="false">IF(H93=0,0,P93/H93)</f>
        <v>0.0323275862068966</v>
      </c>
      <c r="R93" s="35" t="s">
        <v>2325</v>
      </c>
      <c r="S93" s="34" t="s">
        <v>2098</v>
      </c>
      <c r="T93" s="34" t="s">
        <v>2099</v>
      </c>
    </row>
    <row r="94" customFormat="false" ht="15" hidden="false" customHeight="false" outlineLevel="0" collapsed="false">
      <c r="A94" s="43" t="s">
        <v>2326</v>
      </c>
      <c r="B94" s="43" t="s">
        <v>2141</v>
      </c>
      <c r="C94" s="51" t="n">
        <v>2022</v>
      </c>
      <c r="D94" s="44" t="s">
        <v>2214</v>
      </c>
      <c r="E94" s="44" t="s">
        <v>2103</v>
      </c>
      <c r="F94" s="43" t="s">
        <v>2104</v>
      </c>
      <c r="G94" s="43" t="s">
        <v>2134</v>
      </c>
      <c r="H94" s="46" t="n">
        <v>421</v>
      </c>
      <c r="I94" s="46" t="n">
        <v>1999</v>
      </c>
      <c r="J94" s="46" t="n">
        <f aca="false">H94*I94</f>
        <v>841579</v>
      </c>
      <c r="K94" s="46" t="n">
        <f aca="false">J94*0.62</f>
        <v>521778.98</v>
      </c>
      <c r="L94" s="46" t="n">
        <f aca="false">J94-K94</f>
        <v>319800.02</v>
      </c>
      <c r="M94" s="47" t="n">
        <f aca="false">IF(J94=0,0,L94/J94)</f>
        <v>0.38</v>
      </c>
      <c r="N94" s="47" t="n">
        <v>0.02</v>
      </c>
      <c r="O94" s="46" t="n">
        <f aca="false">J94*(1-N94)</f>
        <v>824747.42</v>
      </c>
      <c r="P94" s="46" t="n">
        <v>1</v>
      </c>
      <c r="Q94" s="47" t="n">
        <f aca="false">IF(H94=0,0,P94/H94)</f>
        <v>0.00237529691211401</v>
      </c>
      <c r="R94" s="44" t="s">
        <v>2327</v>
      </c>
      <c r="S94" s="43" t="s">
        <v>2136</v>
      </c>
      <c r="T94" s="43" t="s">
        <v>2124</v>
      </c>
    </row>
    <row r="95" customFormat="false" ht="15" hidden="false" customHeight="false" outlineLevel="0" collapsed="false">
      <c r="A95" s="34" t="s">
        <v>2328</v>
      </c>
      <c r="B95" s="34" t="s">
        <v>2213</v>
      </c>
      <c r="C95" s="42" t="n">
        <v>2024</v>
      </c>
      <c r="D95" s="35" t="s">
        <v>2133</v>
      </c>
      <c r="E95" s="35" t="s">
        <v>2103</v>
      </c>
      <c r="F95" s="34" t="s">
        <v>2175</v>
      </c>
      <c r="G95" s="34" t="s">
        <v>2134</v>
      </c>
      <c r="H95" s="37" t="n">
        <v>3</v>
      </c>
      <c r="I95" s="37" t="n">
        <v>35999</v>
      </c>
      <c r="J95" s="37" t="n">
        <f aca="false">H95*I95</f>
        <v>107997</v>
      </c>
      <c r="K95" s="37" t="n">
        <f aca="false">J95*0.68</f>
        <v>73437.96</v>
      </c>
      <c r="L95" s="37" t="n">
        <f aca="false">J95-K95</f>
        <v>34559.04</v>
      </c>
      <c r="M95" s="38" t="n">
        <f aca="false">IF(J95=0,0,L95/J95)</f>
        <v>0.32</v>
      </c>
      <c r="N95" s="38" t="n">
        <v>0.1</v>
      </c>
      <c r="O95" s="37" t="n">
        <f aca="false">J95*(1-N95)</f>
        <v>97197.3</v>
      </c>
      <c r="P95" s="37" t="n">
        <v>0</v>
      </c>
      <c r="Q95" s="38" t="n">
        <f aca="false">IF(H95=0,0,P95/H95)</f>
        <v>0</v>
      </c>
      <c r="R95" s="35" t="s">
        <v>2329</v>
      </c>
      <c r="S95" s="34" t="s">
        <v>2118</v>
      </c>
      <c r="T95" s="34" t="s">
        <v>2099</v>
      </c>
    </row>
    <row r="96" customFormat="false" ht="15" hidden="false" customHeight="false" outlineLevel="0" collapsed="false">
      <c r="A96" s="43" t="s">
        <v>2330</v>
      </c>
      <c r="B96" s="43" t="s">
        <v>2156</v>
      </c>
      <c r="C96" s="51" t="n">
        <v>2022</v>
      </c>
      <c r="D96" s="44" t="s">
        <v>2149</v>
      </c>
      <c r="E96" s="44" t="s">
        <v>2128</v>
      </c>
      <c r="F96" s="43" t="s">
        <v>2175</v>
      </c>
      <c r="G96" s="43" t="s">
        <v>2105</v>
      </c>
      <c r="H96" s="46" t="n">
        <v>12</v>
      </c>
      <c r="I96" s="46" t="n">
        <v>11999</v>
      </c>
      <c r="J96" s="46" t="n">
        <f aca="false">H96*I96</f>
        <v>143988</v>
      </c>
      <c r="K96" s="46" t="n">
        <f aca="false">J96*0.64</f>
        <v>92152.32</v>
      </c>
      <c r="L96" s="46" t="n">
        <f aca="false">J96-K96</f>
        <v>51835.68</v>
      </c>
      <c r="M96" s="47" t="n">
        <f aca="false">IF(J96=0,0,L96/J96)</f>
        <v>0.36</v>
      </c>
      <c r="N96" s="47" t="n">
        <v>0.1</v>
      </c>
      <c r="O96" s="46" t="n">
        <f aca="false">J96*(1-N96)</f>
        <v>129589.2</v>
      </c>
      <c r="P96" s="46" t="n">
        <v>0</v>
      </c>
      <c r="Q96" s="47" t="n">
        <f aca="false">IF(H96=0,0,P96/H96)</f>
        <v>0</v>
      </c>
      <c r="R96" s="44" t="s">
        <v>2331</v>
      </c>
      <c r="S96" s="43" t="s">
        <v>2118</v>
      </c>
      <c r="T96" s="43" t="s">
        <v>2099</v>
      </c>
    </row>
    <row r="97" customFormat="false" ht="15" hidden="false" customHeight="false" outlineLevel="0" collapsed="false">
      <c r="A97" s="34" t="s">
        <v>2332</v>
      </c>
      <c r="B97" s="34" t="s">
        <v>2132</v>
      </c>
      <c r="C97" s="42" t="n">
        <v>2022</v>
      </c>
      <c r="D97" s="35" t="s">
        <v>2243</v>
      </c>
      <c r="E97" s="35" t="s">
        <v>2244</v>
      </c>
      <c r="F97" s="34" t="s">
        <v>2194</v>
      </c>
      <c r="G97" s="34" t="s">
        <v>2096</v>
      </c>
      <c r="H97" s="37" t="n">
        <v>164</v>
      </c>
      <c r="I97" s="37" t="n">
        <v>2999</v>
      </c>
      <c r="J97" s="37" t="n">
        <f aca="false">H97*I97</f>
        <v>491836</v>
      </c>
      <c r="K97" s="37" t="n">
        <f aca="false">J97*0.56</f>
        <v>275428.16</v>
      </c>
      <c r="L97" s="37" t="n">
        <f aca="false">J97-K97</f>
        <v>216407.84</v>
      </c>
      <c r="M97" s="38" t="n">
        <f aca="false">IF(J97=0,0,L97/J97)</f>
        <v>0.44</v>
      </c>
      <c r="N97" s="38" t="n">
        <v>0.02</v>
      </c>
      <c r="O97" s="37" t="n">
        <f aca="false">J97*(1-N97)</f>
        <v>481999.28</v>
      </c>
      <c r="P97" s="37" t="n">
        <v>2</v>
      </c>
      <c r="Q97" s="38" t="n">
        <f aca="false">IF(H97=0,0,P97/H97)</f>
        <v>0.0121951219512195</v>
      </c>
      <c r="R97" s="35" t="s">
        <v>2333</v>
      </c>
      <c r="S97" s="34" t="s">
        <v>2136</v>
      </c>
      <c r="T97" s="34" t="s">
        <v>2099</v>
      </c>
    </row>
    <row r="98" customFormat="false" ht="15" hidden="false" customHeight="false" outlineLevel="0" collapsed="false">
      <c r="A98" s="43" t="s">
        <v>2334</v>
      </c>
      <c r="B98" s="43" t="s">
        <v>2148</v>
      </c>
      <c r="C98" s="51" t="n">
        <v>2022</v>
      </c>
      <c r="D98" s="44" t="s">
        <v>2180</v>
      </c>
      <c r="E98" s="44" t="s">
        <v>2181</v>
      </c>
      <c r="F98" s="43" t="s">
        <v>2175</v>
      </c>
      <c r="G98" s="43" t="s">
        <v>2096</v>
      </c>
      <c r="H98" s="46" t="n">
        <v>264</v>
      </c>
      <c r="I98" s="46" t="n">
        <v>7999</v>
      </c>
      <c r="J98" s="46" t="n">
        <f aca="false">H98*I98</f>
        <v>2111736</v>
      </c>
      <c r="K98" s="46" t="n">
        <f aca="false">J98*0.5</f>
        <v>1055868</v>
      </c>
      <c r="L98" s="46" t="n">
        <f aca="false">J98-K98</f>
        <v>1055868</v>
      </c>
      <c r="M98" s="47" t="n">
        <f aca="false">IF(J98=0,0,L98/J98)</f>
        <v>0.5</v>
      </c>
      <c r="N98" s="47" t="n">
        <v>0.05</v>
      </c>
      <c r="O98" s="46" t="n">
        <f aca="false">J98*(1-N98)</f>
        <v>2006149.2</v>
      </c>
      <c r="P98" s="46" t="n">
        <v>5</v>
      </c>
      <c r="Q98" s="47" t="n">
        <f aca="false">IF(H98=0,0,P98/H98)</f>
        <v>0.0189393939393939</v>
      </c>
      <c r="R98" s="44" t="s">
        <v>2335</v>
      </c>
      <c r="S98" s="43" t="s">
        <v>2136</v>
      </c>
      <c r="T98" s="43" t="s">
        <v>2099</v>
      </c>
    </row>
    <row r="99" customFormat="false" ht="15" hidden="false" customHeight="false" outlineLevel="0" collapsed="false">
      <c r="A99" s="34" t="s">
        <v>2336</v>
      </c>
      <c r="B99" s="34" t="s">
        <v>2120</v>
      </c>
      <c r="C99" s="42" t="n">
        <v>2024</v>
      </c>
      <c r="D99" s="35" t="s">
        <v>2214</v>
      </c>
      <c r="E99" s="35" t="s">
        <v>2103</v>
      </c>
      <c r="F99" s="34" t="s">
        <v>2194</v>
      </c>
      <c r="G99" s="34" t="s">
        <v>2096</v>
      </c>
      <c r="H99" s="37" t="n">
        <v>126</v>
      </c>
      <c r="I99" s="37" t="n">
        <v>12999</v>
      </c>
      <c r="J99" s="37" t="n">
        <f aca="false">H99*I99</f>
        <v>1637874</v>
      </c>
      <c r="K99" s="37" t="n">
        <f aca="false">J99*0.47</f>
        <v>769800.78</v>
      </c>
      <c r="L99" s="37" t="n">
        <f aca="false">J99-K99</f>
        <v>868073.22</v>
      </c>
      <c r="M99" s="38" t="n">
        <f aca="false">IF(J99=0,0,L99/J99)</f>
        <v>0.53</v>
      </c>
      <c r="N99" s="38" t="n">
        <v>0.09</v>
      </c>
      <c r="O99" s="37" t="n">
        <f aca="false">J99*(1-N99)</f>
        <v>1490465.34</v>
      </c>
      <c r="P99" s="37" t="n">
        <v>2</v>
      </c>
      <c r="Q99" s="38" t="n">
        <f aca="false">IF(H99=0,0,P99/H99)</f>
        <v>0.0158730158730159</v>
      </c>
      <c r="R99" s="35" t="s">
        <v>2337</v>
      </c>
      <c r="S99" s="34" t="s">
        <v>2098</v>
      </c>
      <c r="T99" s="34" t="s">
        <v>2124</v>
      </c>
    </row>
    <row r="100" customFormat="false" ht="15" hidden="false" customHeight="false" outlineLevel="0" collapsed="false">
      <c r="A100" s="43" t="s">
        <v>2338</v>
      </c>
      <c r="B100" s="43" t="s">
        <v>2165</v>
      </c>
      <c r="C100" s="51" t="n">
        <v>2022</v>
      </c>
      <c r="D100" s="44" t="s">
        <v>2180</v>
      </c>
      <c r="E100" s="44" t="s">
        <v>2181</v>
      </c>
      <c r="F100" s="43" t="s">
        <v>2111</v>
      </c>
      <c r="G100" s="43" t="s">
        <v>2134</v>
      </c>
      <c r="H100" s="46" t="n">
        <v>55</v>
      </c>
      <c r="I100" s="46" t="n">
        <v>15999</v>
      </c>
      <c r="J100" s="46" t="n">
        <f aca="false">H100*I100</f>
        <v>879945</v>
      </c>
      <c r="K100" s="46" t="n">
        <f aca="false">J100*0.46</f>
        <v>404774.7</v>
      </c>
      <c r="L100" s="46" t="n">
        <f aca="false">J100-K100</f>
        <v>475170.3</v>
      </c>
      <c r="M100" s="47" t="n">
        <f aca="false">IF(J100=0,0,L100/J100)</f>
        <v>0.54</v>
      </c>
      <c r="N100" s="47" t="n">
        <v>0.06</v>
      </c>
      <c r="O100" s="46" t="n">
        <f aca="false">J100*(1-N100)</f>
        <v>827148.3</v>
      </c>
      <c r="P100" s="46" t="n">
        <v>0</v>
      </c>
      <c r="Q100" s="47" t="n">
        <f aca="false">IF(H100=0,0,P100/H100)</f>
        <v>0</v>
      </c>
      <c r="R100" s="44" t="s">
        <v>2339</v>
      </c>
      <c r="S100" s="43" t="s">
        <v>2098</v>
      </c>
      <c r="T100" s="43" t="s">
        <v>2124</v>
      </c>
    </row>
    <row r="101" customFormat="false" ht="15" hidden="false" customHeight="false" outlineLevel="0" collapsed="false">
      <c r="A101" s="34" t="s">
        <v>2340</v>
      </c>
      <c r="B101" s="34" t="s">
        <v>2162</v>
      </c>
      <c r="C101" s="42" t="n">
        <v>2023</v>
      </c>
      <c r="D101" s="35" t="s">
        <v>2243</v>
      </c>
      <c r="E101" s="35" t="s">
        <v>2244</v>
      </c>
      <c r="F101" s="34" t="s">
        <v>2194</v>
      </c>
      <c r="G101" s="34" t="s">
        <v>2129</v>
      </c>
      <c r="H101" s="37" t="n">
        <v>366</v>
      </c>
      <c r="I101" s="37" t="n">
        <v>2999</v>
      </c>
      <c r="J101" s="37" t="n">
        <f aca="false">H101*I101</f>
        <v>1097634</v>
      </c>
      <c r="K101" s="37" t="n">
        <f aca="false">J101*0.62</f>
        <v>680533.08</v>
      </c>
      <c r="L101" s="37" t="n">
        <f aca="false">J101-K101</f>
        <v>417100.92</v>
      </c>
      <c r="M101" s="38" t="n">
        <f aca="false">IF(J101=0,0,L101/J101)</f>
        <v>0.38</v>
      </c>
      <c r="N101" s="38" t="n">
        <v>0.08</v>
      </c>
      <c r="O101" s="37" t="n">
        <f aca="false">J101*(1-N101)</f>
        <v>1009823.28</v>
      </c>
      <c r="P101" s="37" t="n">
        <v>14</v>
      </c>
      <c r="Q101" s="38" t="n">
        <f aca="false">IF(H101=0,0,P101/H101)</f>
        <v>0.0382513661202186</v>
      </c>
      <c r="R101" s="35" t="s">
        <v>2341</v>
      </c>
      <c r="S101" s="34" t="s">
        <v>2107</v>
      </c>
      <c r="T101" s="34" t="s">
        <v>2099</v>
      </c>
    </row>
    <row r="102" customFormat="false" ht="15" hidden="false" customHeight="false" outlineLevel="0" collapsed="false">
      <c r="A102" s="43" t="s">
        <v>2342</v>
      </c>
      <c r="B102" s="43" t="s">
        <v>2092</v>
      </c>
      <c r="C102" s="51" t="n">
        <v>2024</v>
      </c>
      <c r="D102" s="44" t="s">
        <v>2121</v>
      </c>
      <c r="E102" s="44" t="s">
        <v>2122</v>
      </c>
      <c r="F102" s="43" t="s">
        <v>2116</v>
      </c>
      <c r="G102" s="43" t="s">
        <v>2157</v>
      </c>
      <c r="H102" s="46" t="n">
        <v>159</v>
      </c>
      <c r="I102" s="46" t="n">
        <v>24999</v>
      </c>
      <c r="J102" s="46" t="n">
        <f aca="false">H102*I102</f>
        <v>3974841</v>
      </c>
      <c r="K102" s="46" t="n">
        <f aca="false">J102*0.61</f>
        <v>2424653.01</v>
      </c>
      <c r="L102" s="46" t="n">
        <f aca="false">J102-K102</f>
        <v>1550187.99</v>
      </c>
      <c r="M102" s="47" t="n">
        <f aca="false">IF(J102=0,0,L102/J102)</f>
        <v>0.39</v>
      </c>
      <c r="N102" s="47" t="n">
        <v>0.11</v>
      </c>
      <c r="O102" s="46" t="n">
        <f aca="false">J102*(1-N102)</f>
        <v>3537608.49</v>
      </c>
      <c r="P102" s="46" t="n">
        <v>7</v>
      </c>
      <c r="Q102" s="47" t="n">
        <f aca="false">IF(H102=0,0,P102/H102)</f>
        <v>0.0440251572327044</v>
      </c>
      <c r="R102" s="44" t="s">
        <v>2343</v>
      </c>
      <c r="S102" s="43" t="s">
        <v>2098</v>
      </c>
      <c r="T102" s="43" t="s">
        <v>2099</v>
      </c>
    </row>
    <row r="103" customFormat="false" ht="15" hidden="false" customHeight="false" outlineLevel="0" collapsed="false">
      <c r="A103" s="34" t="s">
        <v>2344</v>
      </c>
      <c r="B103" s="34" t="s">
        <v>2132</v>
      </c>
      <c r="C103" s="42" t="n">
        <v>2022</v>
      </c>
      <c r="D103" s="35" t="s">
        <v>2133</v>
      </c>
      <c r="E103" s="35" t="s">
        <v>2103</v>
      </c>
      <c r="F103" s="34" t="s">
        <v>2175</v>
      </c>
      <c r="G103" s="34" t="s">
        <v>2105</v>
      </c>
      <c r="H103" s="37" t="n">
        <v>468</v>
      </c>
      <c r="I103" s="37" t="n">
        <v>8999</v>
      </c>
      <c r="J103" s="37" t="n">
        <f aca="false">H103*I103</f>
        <v>4211532</v>
      </c>
      <c r="K103" s="37" t="n">
        <f aca="false">J103*0.55</f>
        <v>2316342.6</v>
      </c>
      <c r="L103" s="37" t="n">
        <f aca="false">J103-K103</f>
        <v>1895189.4</v>
      </c>
      <c r="M103" s="38" t="n">
        <f aca="false">IF(J103=0,0,L103/J103)</f>
        <v>0.45</v>
      </c>
      <c r="N103" s="38" t="n">
        <v>0.1</v>
      </c>
      <c r="O103" s="37" t="n">
        <f aca="false">J103*(1-N103)</f>
        <v>3790378.8</v>
      </c>
      <c r="P103" s="37" t="n">
        <v>21</v>
      </c>
      <c r="Q103" s="38" t="n">
        <f aca="false">IF(H103=0,0,P103/H103)</f>
        <v>0.0448717948717949</v>
      </c>
      <c r="R103" s="35" t="s">
        <v>2345</v>
      </c>
      <c r="S103" s="34" t="s">
        <v>2136</v>
      </c>
      <c r="T103" s="34" t="s">
        <v>2099</v>
      </c>
    </row>
    <row r="104" customFormat="false" ht="15" hidden="false" customHeight="false" outlineLevel="0" collapsed="false">
      <c r="A104" s="43" t="s">
        <v>2346</v>
      </c>
      <c r="B104" s="43" t="s">
        <v>2141</v>
      </c>
      <c r="C104" s="51" t="n">
        <v>2023</v>
      </c>
      <c r="D104" s="44" t="s">
        <v>2121</v>
      </c>
      <c r="E104" s="44" t="s">
        <v>2122</v>
      </c>
      <c r="F104" s="43" t="s">
        <v>2116</v>
      </c>
      <c r="G104" s="43" t="s">
        <v>2134</v>
      </c>
      <c r="H104" s="46" t="n">
        <v>244</v>
      </c>
      <c r="I104" s="46" t="n">
        <v>7999</v>
      </c>
      <c r="J104" s="46" t="n">
        <f aca="false">H104*I104</f>
        <v>1951756</v>
      </c>
      <c r="K104" s="46" t="n">
        <f aca="false">J104*0.54</f>
        <v>1053948.24</v>
      </c>
      <c r="L104" s="46" t="n">
        <f aca="false">J104-K104</f>
        <v>897807.76</v>
      </c>
      <c r="M104" s="47" t="n">
        <f aca="false">IF(J104=0,0,L104/J104)</f>
        <v>0.46</v>
      </c>
      <c r="N104" s="47" t="n">
        <v>0.07</v>
      </c>
      <c r="O104" s="46" t="n">
        <f aca="false">J104*(1-N104)</f>
        <v>1815133.08</v>
      </c>
      <c r="P104" s="46" t="n">
        <v>2</v>
      </c>
      <c r="Q104" s="47" t="n">
        <f aca="false">IF(H104=0,0,P104/H104)</f>
        <v>0.00819672131147541</v>
      </c>
      <c r="R104" s="44" t="s">
        <v>2347</v>
      </c>
      <c r="S104" s="43" t="s">
        <v>2136</v>
      </c>
      <c r="T104" s="43" t="s">
        <v>2099</v>
      </c>
    </row>
    <row r="105" customFormat="false" ht="15" hidden="false" customHeight="false" outlineLevel="0" collapsed="false">
      <c r="A105" s="34" t="s">
        <v>2348</v>
      </c>
      <c r="B105" s="34" t="s">
        <v>2141</v>
      </c>
      <c r="C105" s="42" t="n">
        <v>2024</v>
      </c>
      <c r="D105" s="35" t="s">
        <v>2109</v>
      </c>
      <c r="E105" s="35" t="s">
        <v>2110</v>
      </c>
      <c r="F105" s="34" t="s">
        <v>2095</v>
      </c>
      <c r="G105" s="34" t="s">
        <v>2096</v>
      </c>
      <c r="H105" s="37" t="n">
        <v>53</v>
      </c>
      <c r="I105" s="37" t="n">
        <v>15999</v>
      </c>
      <c r="J105" s="37" t="n">
        <f aca="false">H105*I105</f>
        <v>847947</v>
      </c>
      <c r="K105" s="37" t="n">
        <f aca="false">J105*0.65</f>
        <v>551165.55</v>
      </c>
      <c r="L105" s="37" t="n">
        <f aca="false">J105-K105</f>
        <v>296781.45</v>
      </c>
      <c r="M105" s="38" t="n">
        <f aca="false">IF(J105=0,0,L105/J105)</f>
        <v>0.35</v>
      </c>
      <c r="N105" s="38" t="n">
        <v>0.12</v>
      </c>
      <c r="O105" s="37" t="n">
        <f aca="false">J105*(1-N105)</f>
        <v>746193.36</v>
      </c>
      <c r="P105" s="37" t="n">
        <v>1</v>
      </c>
      <c r="Q105" s="38" t="n">
        <f aca="false">IF(H105=0,0,P105/H105)</f>
        <v>0.0188679245283019</v>
      </c>
      <c r="R105" s="35" t="s">
        <v>2349</v>
      </c>
      <c r="S105" s="34" t="s">
        <v>2136</v>
      </c>
      <c r="T105" s="34" t="s">
        <v>2099</v>
      </c>
    </row>
    <row r="106" customFormat="false" ht="15" hidden="false" customHeight="false" outlineLevel="0" collapsed="false">
      <c r="A106" s="43" t="s">
        <v>2350</v>
      </c>
      <c r="B106" s="43" t="s">
        <v>2148</v>
      </c>
      <c r="C106" s="51" t="n">
        <v>2024</v>
      </c>
      <c r="D106" s="44" t="s">
        <v>2121</v>
      </c>
      <c r="E106" s="44" t="s">
        <v>2122</v>
      </c>
      <c r="F106" s="43" t="s">
        <v>2111</v>
      </c>
      <c r="G106" s="43" t="s">
        <v>2096</v>
      </c>
      <c r="H106" s="46" t="n">
        <v>212</v>
      </c>
      <c r="I106" s="46" t="n">
        <v>2499</v>
      </c>
      <c r="J106" s="46" t="n">
        <f aca="false">H106*I106</f>
        <v>529788</v>
      </c>
      <c r="K106" s="46" t="n">
        <f aca="false">J106*0.61</f>
        <v>323170.68</v>
      </c>
      <c r="L106" s="46" t="n">
        <f aca="false">J106-K106</f>
        <v>206617.32</v>
      </c>
      <c r="M106" s="47" t="n">
        <f aca="false">IF(J106=0,0,L106/J106)</f>
        <v>0.39</v>
      </c>
      <c r="N106" s="47" t="n">
        <v>0.08</v>
      </c>
      <c r="O106" s="46" t="n">
        <f aca="false">J106*(1-N106)</f>
        <v>487404.96</v>
      </c>
      <c r="P106" s="46" t="n">
        <v>7</v>
      </c>
      <c r="Q106" s="47" t="n">
        <f aca="false">IF(H106=0,0,P106/H106)</f>
        <v>0.0330188679245283</v>
      </c>
      <c r="R106" s="44" t="s">
        <v>2351</v>
      </c>
      <c r="S106" s="43" t="s">
        <v>2136</v>
      </c>
      <c r="T106" s="43" t="s">
        <v>2124</v>
      </c>
    </row>
    <row r="107" customFormat="false" ht="15" hidden="false" customHeight="false" outlineLevel="0" collapsed="false">
      <c r="A107" s="34" t="s">
        <v>2352</v>
      </c>
      <c r="B107" s="34" t="s">
        <v>2092</v>
      </c>
      <c r="C107" s="42" t="n">
        <v>2023</v>
      </c>
      <c r="D107" s="35" t="s">
        <v>2138</v>
      </c>
      <c r="E107" s="35" t="s">
        <v>2128</v>
      </c>
      <c r="F107" s="34" t="s">
        <v>2104</v>
      </c>
      <c r="G107" s="34" t="s">
        <v>2096</v>
      </c>
      <c r="H107" s="37" t="n">
        <v>221</v>
      </c>
      <c r="I107" s="37" t="n">
        <v>2999</v>
      </c>
      <c r="J107" s="37" t="n">
        <f aca="false">H107*I107</f>
        <v>662779</v>
      </c>
      <c r="K107" s="37" t="n">
        <f aca="false">J107*0.7</f>
        <v>463945.3</v>
      </c>
      <c r="L107" s="37" t="n">
        <f aca="false">J107-K107</f>
        <v>198833.7</v>
      </c>
      <c r="M107" s="38" t="n">
        <f aca="false">IF(J107=0,0,L107/J107)</f>
        <v>0.3</v>
      </c>
      <c r="N107" s="38" t="n">
        <v>0.09</v>
      </c>
      <c r="O107" s="37" t="n">
        <f aca="false">J107*(1-N107)</f>
        <v>603128.89</v>
      </c>
      <c r="P107" s="37" t="n">
        <v>5</v>
      </c>
      <c r="Q107" s="38" t="n">
        <f aca="false">IF(H107=0,0,P107/H107)</f>
        <v>0.0226244343891403</v>
      </c>
      <c r="R107" s="35" t="s">
        <v>2353</v>
      </c>
      <c r="S107" s="34" t="s">
        <v>2098</v>
      </c>
      <c r="T107" s="34" t="s">
        <v>2099</v>
      </c>
    </row>
    <row r="108" customFormat="false" ht="15" hidden="false" customHeight="false" outlineLevel="0" collapsed="false">
      <c r="A108" s="43" t="s">
        <v>2354</v>
      </c>
      <c r="B108" s="43" t="s">
        <v>2120</v>
      </c>
      <c r="C108" s="51" t="n">
        <v>2024</v>
      </c>
      <c r="D108" s="44" t="s">
        <v>2093</v>
      </c>
      <c r="E108" s="44" t="s">
        <v>2094</v>
      </c>
      <c r="F108" s="43" t="s">
        <v>2116</v>
      </c>
      <c r="G108" s="43" t="s">
        <v>2096</v>
      </c>
      <c r="H108" s="46" t="n">
        <v>429</v>
      </c>
      <c r="I108" s="46" t="n">
        <v>9999</v>
      </c>
      <c r="J108" s="46" t="n">
        <f aca="false">H108*I108</f>
        <v>4289571</v>
      </c>
      <c r="K108" s="46" t="n">
        <f aca="false">J108*0.48</f>
        <v>2058994.08</v>
      </c>
      <c r="L108" s="46" t="n">
        <f aca="false">J108-K108</f>
        <v>2230576.92</v>
      </c>
      <c r="M108" s="47" t="n">
        <f aca="false">IF(J108=0,0,L108/J108)</f>
        <v>0.52</v>
      </c>
      <c r="N108" s="47" t="n">
        <v>0.09</v>
      </c>
      <c r="O108" s="46" t="n">
        <f aca="false">J108*(1-N108)</f>
        <v>3903509.61</v>
      </c>
      <c r="P108" s="46" t="n">
        <v>10</v>
      </c>
      <c r="Q108" s="47" t="n">
        <f aca="false">IF(H108=0,0,P108/H108)</f>
        <v>0.0233100233100233</v>
      </c>
      <c r="R108" s="44" t="s">
        <v>2355</v>
      </c>
      <c r="S108" s="43" t="s">
        <v>2098</v>
      </c>
      <c r="T108" s="43" t="s">
        <v>2099</v>
      </c>
    </row>
    <row r="109" customFormat="false" ht="15" hidden="false" customHeight="false" outlineLevel="0" collapsed="false">
      <c r="A109" s="34" t="s">
        <v>2356</v>
      </c>
      <c r="B109" s="34" t="s">
        <v>2156</v>
      </c>
      <c r="C109" s="42" t="n">
        <v>2022</v>
      </c>
      <c r="D109" s="35" t="s">
        <v>2243</v>
      </c>
      <c r="E109" s="35" t="s">
        <v>2244</v>
      </c>
      <c r="F109" s="34" t="s">
        <v>2111</v>
      </c>
      <c r="G109" s="34" t="s">
        <v>2134</v>
      </c>
      <c r="H109" s="37" t="n">
        <v>307</v>
      </c>
      <c r="I109" s="37" t="n">
        <v>7999</v>
      </c>
      <c r="J109" s="37" t="n">
        <f aca="false">H109*I109</f>
        <v>2455693</v>
      </c>
      <c r="K109" s="37" t="n">
        <f aca="false">J109*0.62</f>
        <v>1522529.66</v>
      </c>
      <c r="L109" s="37" t="n">
        <f aca="false">J109-K109</f>
        <v>933163.34</v>
      </c>
      <c r="M109" s="38" t="n">
        <f aca="false">IF(J109=0,0,L109/J109)</f>
        <v>0.38</v>
      </c>
      <c r="N109" s="38" t="n">
        <v>0.09</v>
      </c>
      <c r="O109" s="37" t="n">
        <f aca="false">J109*(1-N109)</f>
        <v>2234680.63</v>
      </c>
      <c r="P109" s="37" t="n">
        <v>12</v>
      </c>
      <c r="Q109" s="38" t="n">
        <f aca="false">IF(H109=0,0,P109/H109)</f>
        <v>0.0390879478827362</v>
      </c>
      <c r="R109" s="35" t="s">
        <v>2357</v>
      </c>
      <c r="S109" s="34" t="s">
        <v>2118</v>
      </c>
      <c r="T109" s="34" t="s">
        <v>2099</v>
      </c>
    </row>
    <row r="110" customFormat="false" ht="15" hidden="false" customHeight="false" outlineLevel="0" collapsed="false">
      <c r="A110" s="43" t="s">
        <v>2358</v>
      </c>
      <c r="B110" s="43" t="s">
        <v>2156</v>
      </c>
      <c r="C110" s="51" t="n">
        <v>2024</v>
      </c>
      <c r="D110" s="44" t="s">
        <v>2093</v>
      </c>
      <c r="E110" s="44" t="s">
        <v>2094</v>
      </c>
      <c r="F110" s="43" t="s">
        <v>2116</v>
      </c>
      <c r="G110" s="43" t="s">
        <v>2134</v>
      </c>
      <c r="H110" s="46" t="n">
        <v>112</v>
      </c>
      <c r="I110" s="46" t="n">
        <v>799</v>
      </c>
      <c r="J110" s="46" t="n">
        <f aca="false">H110*I110</f>
        <v>89488</v>
      </c>
      <c r="K110" s="46" t="n">
        <f aca="false">J110*0.48</f>
        <v>42954.24</v>
      </c>
      <c r="L110" s="46" t="n">
        <f aca="false">J110-K110</f>
        <v>46533.76</v>
      </c>
      <c r="M110" s="47" t="n">
        <f aca="false">IF(J110=0,0,L110/J110)</f>
        <v>0.52</v>
      </c>
      <c r="N110" s="47" t="n">
        <v>0.09</v>
      </c>
      <c r="O110" s="46" t="n">
        <f aca="false">J110*(1-N110)</f>
        <v>81434.08</v>
      </c>
      <c r="P110" s="46" t="n">
        <v>5</v>
      </c>
      <c r="Q110" s="47" t="n">
        <f aca="false">IF(H110=0,0,P110/H110)</f>
        <v>0.0446428571428571</v>
      </c>
      <c r="R110" s="44" t="s">
        <v>2359</v>
      </c>
      <c r="S110" s="43" t="s">
        <v>2118</v>
      </c>
      <c r="T110" s="43" t="s">
        <v>2099</v>
      </c>
    </row>
    <row r="111" customFormat="false" ht="15" hidden="false" customHeight="false" outlineLevel="0" collapsed="false">
      <c r="A111" s="34" t="s">
        <v>2360</v>
      </c>
      <c r="B111" s="34" t="s">
        <v>2120</v>
      </c>
      <c r="C111" s="42" t="n">
        <v>2024</v>
      </c>
      <c r="D111" s="35" t="s">
        <v>2115</v>
      </c>
      <c r="E111" s="35" t="s">
        <v>2103</v>
      </c>
      <c r="F111" s="34" t="s">
        <v>2111</v>
      </c>
      <c r="G111" s="34" t="s">
        <v>2096</v>
      </c>
      <c r="H111" s="37" t="n">
        <v>150</v>
      </c>
      <c r="I111" s="37" t="n">
        <v>15999</v>
      </c>
      <c r="J111" s="37" t="n">
        <f aca="false">H111*I111</f>
        <v>2399850</v>
      </c>
      <c r="K111" s="37" t="n">
        <f aca="false">J111*0.6</f>
        <v>1439910</v>
      </c>
      <c r="L111" s="37" t="n">
        <f aca="false">J111-K111</f>
        <v>959940</v>
      </c>
      <c r="M111" s="38" t="n">
        <f aca="false">IF(J111=0,0,L111/J111)</f>
        <v>0.4</v>
      </c>
      <c r="N111" s="38" t="n">
        <v>0.07</v>
      </c>
      <c r="O111" s="37" t="n">
        <f aca="false">J111*(1-N111)</f>
        <v>2231860.5</v>
      </c>
      <c r="P111" s="37" t="n">
        <v>3</v>
      </c>
      <c r="Q111" s="38" t="n">
        <f aca="false">IF(H111=0,0,P111/H111)</f>
        <v>0.02</v>
      </c>
      <c r="R111" s="35" t="s">
        <v>2361</v>
      </c>
      <c r="S111" s="34" t="s">
        <v>2098</v>
      </c>
      <c r="T111" s="34" t="s">
        <v>2099</v>
      </c>
    </row>
    <row r="112" customFormat="false" ht="15" hidden="false" customHeight="false" outlineLevel="0" collapsed="false">
      <c r="A112" s="43" t="s">
        <v>2362</v>
      </c>
      <c r="B112" s="43" t="s">
        <v>2148</v>
      </c>
      <c r="C112" s="51" t="n">
        <v>2024</v>
      </c>
      <c r="D112" s="44" t="s">
        <v>2214</v>
      </c>
      <c r="E112" s="44" t="s">
        <v>2103</v>
      </c>
      <c r="F112" s="43" t="s">
        <v>2142</v>
      </c>
      <c r="G112" s="43" t="s">
        <v>2105</v>
      </c>
      <c r="H112" s="46" t="n">
        <v>471</v>
      </c>
      <c r="I112" s="46" t="n">
        <v>299</v>
      </c>
      <c r="J112" s="46" t="n">
        <f aca="false">H112*I112</f>
        <v>140829</v>
      </c>
      <c r="K112" s="46" t="n">
        <f aca="false">J112*0.56</f>
        <v>78864.24</v>
      </c>
      <c r="L112" s="46" t="n">
        <f aca="false">J112-K112</f>
        <v>61964.76</v>
      </c>
      <c r="M112" s="47" t="n">
        <f aca="false">IF(J112=0,0,L112/J112)</f>
        <v>0.44</v>
      </c>
      <c r="N112" s="47" t="n">
        <v>0.15</v>
      </c>
      <c r="O112" s="46" t="n">
        <f aca="false">J112*(1-N112)</f>
        <v>119704.65</v>
      </c>
      <c r="P112" s="46" t="n">
        <v>11</v>
      </c>
      <c r="Q112" s="47" t="n">
        <f aca="false">IF(H112=0,0,P112/H112)</f>
        <v>0.0233545647558386</v>
      </c>
      <c r="R112" s="44" t="s">
        <v>2363</v>
      </c>
      <c r="S112" s="43" t="s">
        <v>2136</v>
      </c>
      <c r="T112" s="43" t="s">
        <v>2099</v>
      </c>
    </row>
    <row r="113" customFormat="false" ht="15" hidden="false" customHeight="false" outlineLevel="0" collapsed="false">
      <c r="A113" s="34" t="s">
        <v>2364</v>
      </c>
      <c r="B113" s="34" t="s">
        <v>2162</v>
      </c>
      <c r="C113" s="42" t="n">
        <v>2022</v>
      </c>
      <c r="D113" s="35" t="s">
        <v>2109</v>
      </c>
      <c r="E113" s="35" t="s">
        <v>2110</v>
      </c>
      <c r="F113" s="34" t="s">
        <v>2175</v>
      </c>
      <c r="G113" s="34" t="s">
        <v>2157</v>
      </c>
      <c r="H113" s="37" t="n">
        <v>434</v>
      </c>
      <c r="I113" s="37" t="n">
        <v>12999</v>
      </c>
      <c r="J113" s="37" t="n">
        <f aca="false">H113*I113</f>
        <v>5641566</v>
      </c>
      <c r="K113" s="37" t="n">
        <f aca="false">J113*0.66</f>
        <v>3723433.56</v>
      </c>
      <c r="L113" s="37" t="n">
        <f aca="false">J113-K113</f>
        <v>1918132.44</v>
      </c>
      <c r="M113" s="38" t="n">
        <f aca="false">IF(J113=0,0,L113/J113)</f>
        <v>0.34</v>
      </c>
      <c r="N113" s="38" t="n">
        <v>0.01</v>
      </c>
      <c r="O113" s="37" t="n">
        <f aca="false">J113*(1-N113)</f>
        <v>5585150.34</v>
      </c>
      <c r="P113" s="37" t="n">
        <v>17</v>
      </c>
      <c r="Q113" s="38" t="n">
        <f aca="false">IF(H113=0,0,P113/H113)</f>
        <v>0.0391705069124424</v>
      </c>
      <c r="R113" s="35" t="s">
        <v>2365</v>
      </c>
      <c r="S113" s="34" t="s">
        <v>2107</v>
      </c>
      <c r="T113" s="34" t="s">
        <v>2099</v>
      </c>
    </row>
    <row r="114" customFormat="false" ht="15" hidden="false" customHeight="false" outlineLevel="0" collapsed="false">
      <c r="A114" s="43" t="s">
        <v>2366</v>
      </c>
      <c r="B114" s="43" t="s">
        <v>2165</v>
      </c>
      <c r="C114" s="51" t="n">
        <v>2024</v>
      </c>
      <c r="D114" s="44" t="s">
        <v>2102</v>
      </c>
      <c r="E114" s="44" t="s">
        <v>2103</v>
      </c>
      <c r="F114" s="43" t="s">
        <v>2104</v>
      </c>
      <c r="G114" s="43" t="s">
        <v>2105</v>
      </c>
      <c r="H114" s="46" t="n">
        <v>57</v>
      </c>
      <c r="I114" s="46" t="n">
        <v>799</v>
      </c>
      <c r="J114" s="46" t="n">
        <f aca="false">H114*I114</f>
        <v>45543</v>
      </c>
      <c r="K114" s="46" t="n">
        <f aca="false">J114*0.52</f>
        <v>23682.36</v>
      </c>
      <c r="L114" s="46" t="n">
        <f aca="false">J114-K114</f>
        <v>21860.64</v>
      </c>
      <c r="M114" s="47" t="n">
        <f aca="false">IF(J114=0,0,L114/J114)</f>
        <v>0.48</v>
      </c>
      <c r="N114" s="47" t="n">
        <v>0</v>
      </c>
      <c r="O114" s="46" t="n">
        <f aca="false">J114*(1-N114)</f>
        <v>45543</v>
      </c>
      <c r="P114" s="46" t="n">
        <v>1</v>
      </c>
      <c r="Q114" s="47" t="n">
        <f aca="false">IF(H114=0,0,P114/H114)</f>
        <v>0.0175438596491228</v>
      </c>
      <c r="R114" s="44" t="s">
        <v>2367</v>
      </c>
      <c r="S114" s="43" t="s">
        <v>2098</v>
      </c>
      <c r="T114" s="43" t="s">
        <v>2124</v>
      </c>
    </row>
    <row r="115" customFormat="false" ht="15" hidden="false" customHeight="false" outlineLevel="0" collapsed="false">
      <c r="A115" s="34" t="s">
        <v>2368</v>
      </c>
      <c r="B115" s="34" t="s">
        <v>2101</v>
      </c>
      <c r="C115" s="42" t="n">
        <v>2023</v>
      </c>
      <c r="D115" s="35" t="s">
        <v>2174</v>
      </c>
      <c r="E115" s="35" t="s">
        <v>2103</v>
      </c>
      <c r="F115" s="34" t="s">
        <v>2111</v>
      </c>
      <c r="G115" s="34" t="s">
        <v>2157</v>
      </c>
      <c r="H115" s="37" t="n">
        <v>196</v>
      </c>
      <c r="I115" s="37" t="n">
        <v>15999</v>
      </c>
      <c r="J115" s="37" t="n">
        <f aca="false">H115*I115</f>
        <v>3135804</v>
      </c>
      <c r="K115" s="37" t="n">
        <f aca="false">J115*0.59</f>
        <v>1850124.36</v>
      </c>
      <c r="L115" s="37" t="n">
        <f aca="false">J115-K115</f>
        <v>1285679.64</v>
      </c>
      <c r="M115" s="38" t="n">
        <f aca="false">IF(J115=0,0,L115/J115)</f>
        <v>0.41</v>
      </c>
      <c r="N115" s="38" t="n">
        <v>0.1</v>
      </c>
      <c r="O115" s="37" t="n">
        <f aca="false">J115*(1-N115)</f>
        <v>2822223.6</v>
      </c>
      <c r="P115" s="37" t="n">
        <v>7</v>
      </c>
      <c r="Q115" s="38" t="n">
        <f aca="false">IF(H115=0,0,P115/H115)</f>
        <v>0.0357142857142857</v>
      </c>
      <c r="R115" s="35" t="s">
        <v>2369</v>
      </c>
      <c r="S115" s="34" t="s">
        <v>2107</v>
      </c>
      <c r="T115" s="34" t="s">
        <v>2099</v>
      </c>
    </row>
    <row r="116" customFormat="false" ht="15" hidden="false" customHeight="false" outlineLevel="0" collapsed="false">
      <c r="A116" s="43" t="s">
        <v>2370</v>
      </c>
      <c r="B116" s="43" t="s">
        <v>2132</v>
      </c>
      <c r="C116" s="51" t="n">
        <v>2024</v>
      </c>
      <c r="D116" s="44" t="s">
        <v>2207</v>
      </c>
      <c r="E116" s="44" t="s">
        <v>2208</v>
      </c>
      <c r="F116" s="43" t="s">
        <v>2104</v>
      </c>
      <c r="G116" s="43" t="s">
        <v>2105</v>
      </c>
      <c r="H116" s="46" t="n">
        <v>431</v>
      </c>
      <c r="I116" s="46" t="n">
        <v>15999</v>
      </c>
      <c r="J116" s="46" t="n">
        <f aca="false">H116*I116</f>
        <v>6895569</v>
      </c>
      <c r="K116" s="46" t="n">
        <f aca="false">J116*0.49</f>
        <v>3378828.81</v>
      </c>
      <c r="L116" s="46" t="n">
        <f aca="false">J116-K116</f>
        <v>3516740.19</v>
      </c>
      <c r="M116" s="47" t="n">
        <f aca="false">IF(J116=0,0,L116/J116)</f>
        <v>0.51</v>
      </c>
      <c r="N116" s="47" t="n">
        <v>0.15</v>
      </c>
      <c r="O116" s="46" t="n">
        <f aca="false">J116*(1-N116)</f>
        <v>5861233.65</v>
      </c>
      <c r="P116" s="46" t="n">
        <v>21</v>
      </c>
      <c r="Q116" s="47" t="n">
        <f aca="false">IF(H116=0,0,P116/H116)</f>
        <v>0.0487238979118329</v>
      </c>
      <c r="R116" s="44" t="s">
        <v>2371</v>
      </c>
      <c r="S116" s="43" t="s">
        <v>2136</v>
      </c>
      <c r="T116" s="43" t="s">
        <v>2099</v>
      </c>
    </row>
    <row r="117" customFormat="false" ht="15" hidden="false" customHeight="false" outlineLevel="0" collapsed="false">
      <c r="A117" s="34" t="s">
        <v>2372</v>
      </c>
      <c r="B117" s="34" t="s">
        <v>2120</v>
      </c>
      <c r="C117" s="42" t="n">
        <v>2022</v>
      </c>
      <c r="D117" s="35" t="s">
        <v>2149</v>
      </c>
      <c r="E117" s="35" t="s">
        <v>2128</v>
      </c>
      <c r="F117" s="34" t="s">
        <v>2142</v>
      </c>
      <c r="G117" s="34" t="s">
        <v>2134</v>
      </c>
      <c r="H117" s="37" t="n">
        <v>74</v>
      </c>
      <c r="I117" s="37" t="n">
        <v>3999</v>
      </c>
      <c r="J117" s="37" t="n">
        <f aca="false">H117*I117</f>
        <v>295926</v>
      </c>
      <c r="K117" s="37" t="n">
        <f aca="false">J117*0.67</f>
        <v>198270.42</v>
      </c>
      <c r="L117" s="37" t="n">
        <f aca="false">J117-K117</f>
        <v>97655.58</v>
      </c>
      <c r="M117" s="38" t="n">
        <f aca="false">IF(J117=0,0,L117/J117)</f>
        <v>0.33</v>
      </c>
      <c r="N117" s="38" t="n">
        <v>0.1</v>
      </c>
      <c r="O117" s="37" t="n">
        <f aca="false">J117*(1-N117)</f>
        <v>266333.4</v>
      </c>
      <c r="P117" s="37" t="n">
        <v>1</v>
      </c>
      <c r="Q117" s="38" t="n">
        <f aca="false">IF(H117=0,0,P117/H117)</f>
        <v>0.0135135135135135</v>
      </c>
      <c r="R117" s="35" t="s">
        <v>2373</v>
      </c>
      <c r="S117" s="34" t="s">
        <v>2098</v>
      </c>
      <c r="T117" s="34" t="s">
        <v>2099</v>
      </c>
    </row>
    <row r="118" customFormat="false" ht="15" hidden="false" customHeight="false" outlineLevel="0" collapsed="false">
      <c r="A118" s="43" t="s">
        <v>2374</v>
      </c>
      <c r="B118" s="43" t="s">
        <v>2120</v>
      </c>
      <c r="C118" s="51" t="n">
        <v>2024</v>
      </c>
      <c r="D118" s="44" t="s">
        <v>2214</v>
      </c>
      <c r="E118" s="44" t="s">
        <v>2103</v>
      </c>
      <c r="F118" s="43" t="s">
        <v>2111</v>
      </c>
      <c r="G118" s="43" t="s">
        <v>2157</v>
      </c>
      <c r="H118" s="46" t="n">
        <v>458</v>
      </c>
      <c r="I118" s="46" t="n">
        <v>2999</v>
      </c>
      <c r="J118" s="46" t="n">
        <f aca="false">H118*I118</f>
        <v>1373542</v>
      </c>
      <c r="K118" s="46" t="n">
        <f aca="false">J118*0.62</f>
        <v>851596.04</v>
      </c>
      <c r="L118" s="46" t="n">
        <f aca="false">J118-K118</f>
        <v>521945.96</v>
      </c>
      <c r="M118" s="47" t="n">
        <f aca="false">IF(J118=0,0,L118/J118)</f>
        <v>0.38</v>
      </c>
      <c r="N118" s="47" t="n">
        <v>0.14</v>
      </c>
      <c r="O118" s="46" t="n">
        <f aca="false">J118*(1-N118)</f>
        <v>1181246.12</v>
      </c>
      <c r="P118" s="46" t="n">
        <v>19</v>
      </c>
      <c r="Q118" s="47" t="n">
        <f aca="false">IF(H118=0,0,P118/H118)</f>
        <v>0.0414847161572052</v>
      </c>
      <c r="R118" s="44" t="s">
        <v>2375</v>
      </c>
      <c r="S118" s="43" t="s">
        <v>2098</v>
      </c>
      <c r="T118" s="43" t="s">
        <v>2099</v>
      </c>
    </row>
    <row r="119" customFormat="false" ht="15" hidden="false" customHeight="false" outlineLevel="0" collapsed="false">
      <c r="A119" s="34" t="s">
        <v>2376</v>
      </c>
      <c r="B119" s="34" t="s">
        <v>2156</v>
      </c>
      <c r="C119" s="42" t="n">
        <v>2024</v>
      </c>
      <c r="D119" s="35" t="s">
        <v>2207</v>
      </c>
      <c r="E119" s="35" t="s">
        <v>2208</v>
      </c>
      <c r="F119" s="34" t="s">
        <v>2175</v>
      </c>
      <c r="G119" s="34" t="s">
        <v>2157</v>
      </c>
      <c r="H119" s="37" t="n">
        <v>197</v>
      </c>
      <c r="I119" s="37" t="n">
        <v>8999</v>
      </c>
      <c r="J119" s="37" t="n">
        <f aca="false">H119*I119</f>
        <v>1772803</v>
      </c>
      <c r="K119" s="37" t="n">
        <f aca="false">J119*0.51</f>
        <v>904129.53</v>
      </c>
      <c r="L119" s="37" t="n">
        <f aca="false">J119-K119</f>
        <v>868673.47</v>
      </c>
      <c r="M119" s="38" t="n">
        <f aca="false">IF(J119=0,0,L119/J119)</f>
        <v>0.49</v>
      </c>
      <c r="N119" s="38" t="n">
        <v>0.06</v>
      </c>
      <c r="O119" s="37" t="n">
        <f aca="false">J119*(1-N119)</f>
        <v>1666434.82</v>
      </c>
      <c r="P119" s="37" t="n">
        <v>0</v>
      </c>
      <c r="Q119" s="38" t="n">
        <f aca="false">IF(H119=0,0,P119/H119)</f>
        <v>0</v>
      </c>
      <c r="R119" s="35" t="s">
        <v>2377</v>
      </c>
      <c r="S119" s="34" t="s">
        <v>2118</v>
      </c>
      <c r="T119" s="34" t="s">
        <v>2124</v>
      </c>
    </row>
    <row r="120" customFormat="false" ht="15" hidden="false" customHeight="false" outlineLevel="0" collapsed="false">
      <c r="A120" s="43" t="s">
        <v>2378</v>
      </c>
      <c r="B120" s="43" t="s">
        <v>2126</v>
      </c>
      <c r="C120" s="51" t="n">
        <v>2022</v>
      </c>
      <c r="D120" s="44" t="s">
        <v>2174</v>
      </c>
      <c r="E120" s="44" t="s">
        <v>2103</v>
      </c>
      <c r="F120" s="43" t="s">
        <v>2175</v>
      </c>
      <c r="G120" s="43" t="s">
        <v>2105</v>
      </c>
      <c r="H120" s="46" t="n">
        <v>211</v>
      </c>
      <c r="I120" s="46" t="n">
        <v>299</v>
      </c>
      <c r="J120" s="46" t="n">
        <f aca="false">H120*I120</f>
        <v>63089</v>
      </c>
      <c r="K120" s="46" t="n">
        <f aca="false">J120*0.59</f>
        <v>37222.51</v>
      </c>
      <c r="L120" s="46" t="n">
        <f aca="false">J120-K120</f>
        <v>25866.49</v>
      </c>
      <c r="M120" s="47" t="n">
        <f aca="false">IF(J120=0,0,L120/J120)</f>
        <v>0.41</v>
      </c>
      <c r="N120" s="47" t="n">
        <v>0.06</v>
      </c>
      <c r="O120" s="46" t="n">
        <f aca="false">J120*(1-N120)</f>
        <v>59303.66</v>
      </c>
      <c r="P120" s="46" t="n">
        <v>0</v>
      </c>
      <c r="Q120" s="47" t="n">
        <f aca="false">IF(H120=0,0,P120/H120)</f>
        <v>0</v>
      </c>
      <c r="R120" s="44" t="s">
        <v>2379</v>
      </c>
      <c r="S120" s="43" t="s">
        <v>2107</v>
      </c>
      <c r="T120" s="43" t="s">
        <v>2124</v>
      </c>
    </row>
    <row r="121" customFormat="false" ht="15" hidden="false" customHeight="false" outlineLevel="0" collapsed="false">
      <c r="A121" s="34" t="s">
        <v>2380</v>
      </c>
      <c r="B121" s="34" t="s">
        <v>2126</v>
      </c>
      <c r="C121" s="42" t="n">
        <v>2023</v>
      </c>
      <c r="D121" s="35" t="s">
        <v>2149</v>
      </c>
      <c r="E121" s="35" t="s">
        <v>2128</v>
      </c>
      <c r="F121" s="34" t="s">
        <v>2175</v>
      </c>
      <c r="G121" s="34" t="s">
        <v>2157</v>
      </c>
      <c r="H121" s="37" t="n">
        <v>493</v>
      </c>
      <c r="I121" s="37" t="n">
        <v>3999</v>
      </c>
      <c r="J121" s="37" t="n">
        <f aca="false">H121*I121</f>
        <v>1971507</v>
      </c>
      <c r="K121" s="37" t="n">
        <f aca="false">J121*0.47</f>
        <v>926608.29</v>
      </c>
      <c r="L121" s="37" t="n">
        <f aca="false">J121-K121</f>
        <v>1044898.71</v>
      </c>
      <c r="M121" s="38" t="n">
        <f aca="false">IF(J121=0,0,L121/J121)</f>
        <v>0.53</v>
      </c>
      <c r="N121" s="38" t="n">
        <v>0.11</v>
      </c>
      <c r="O121" s="37" t="n">
        <f aca="false">J121*(1-N121)</f>
        <v>1754641.23</v>
      </c>
      <c r="P121" s="37" t="n">
        <v>16</v>
      </c>
      <c r="Q121" s="38" t="n">
        <f aca="false">IF(H121=0,0,P121/H121)</f>
        <v>0.0324543610547667</v>
      </c>
      <c r="R121" s="35" t="s">
        <v>2381</v>
      </c>
      <c r="S121" s="34" t="s">
        <v>2107</v>
      </c>
      <c r="T121" s="34" t="s">
        <v>2099</v>
      </c>
    </row>
    <row r="122" customFormat="false" ht="15" hidden="false" customHeight="false" outlineLevel="0" collapsed="false">
      <c r="A122" s="43" t="s">
        <v>2382</v>
      </c>
      <c r="B122" s="43" t="s">
        <v>2156</v>
      </c>
      <c r="C122" s="51" t="n">
        <v>2024</v>
      </c>
      <c r="D122" s="44" t="s">
        <v>2149</v>
      </c>
      <c r="E122" s="44" t="s">
        <v>2128</v>
      </c>
      <c r="F122" s="43" t="s">
        <v>2175</v>
      </c>
      <c r="G122" s="43" t="s">
        <v>2096</v>
      </c>
      <c r="H122" s="46" t="n">
        <v>46</v>
      </c>
      <c r="I122" s="46" t="n">
        <v>2499</v>
      </c>
      <c r="J122" s="46" t="n">
        <f aca="false">H122*I122</f>
        <v>114954</v>
      </c>
      <c r="K122" s="46" t="n">
        <f aca="false">J122*0.57</f>
        <v>65523.78</v>
      </c>
      <c r="L122" s="46" t="n">
        <f aca="false">J122-K122</f>
        <v>49430.22</v>
      </c>
      <c r="M122" s="47" t="n">
        <f aca="false">IF(J122=0,0,L122/J122)</f>
        <v>0.43</v>
      </c>
      <c r="N122" s="47" t="n">
        <v>0.11</v>
      </c>
      <c r="O122" s="46" t="n">
        <f aca="false">J122*(1-N122)</f>
        <v>102309.06</v>
      </c>
      <c r="P122" s="46" t="n">
        <v>2</v>
      </c>
      <c r="Q122" s="47" t="n">
        <f aca="false">IF(H122=0,0,P122/H122)</f>
        <v>0.0434782608695652</v>
      </c>
      <c r="R122" s="44" t="s">
        <v>2383</v>
      </c>
      <c r="S122" s="43" t="s">
        <v>2118</v>
      </c>
      <c r="T122" s="43" t="s">
        <v>2099</v>
      </c>
    </row>
    <row r="123" customFormat="false" ht="15" hidden="false" customHeight="false" outlineLevel="0" collapsed="false">
      <c r="A123" s="34" t="s">
        <v>2384</v>
      </c>
      <c r="B123" s="34" t="s">
        <v>2101</v>
      </c>
      <c r="C123" s="42" t="n">
        <v>2024</v>
      </c>
      <c r="D123" s="35" t="s">
        <v>2102</v>
      </c>
      <c r="E123" s="35" t="s">
        <v>2103</v>
      </c>
      <c r="F123" s="34" t="s">
        <v>2104</v>
      </c>
      <c r="G123" s="34" t="s">
        <v>2096</v>
      </c>
      <c r="H123" s="37" t="n">
        <v>160</v>
      </c>
      <c r="I123" s="37" t="n">
        <v>11999</v>
      </c>
      <c r="J123" s="37" t="n">
        <f aca="false">H123*I123</f>
        <v>1919840</v>
      </c>
      <c r="K123" s="37" t="n">
        <f aca="false">J123*0.46</f>
        <v>883126.4</v>
      </c>
      <c r="L123" s="37" t="n">
        <f aca="false">J123-K123</f>
        <v>1036713.6</v>
      </c>
      <c r="M123" s="38" t="n">
        <f aca="false">IF(J123=0,0,L123/J123)</f>
        <v>0.54</v>
      </c>
      <c r="N123" s="38" t="n">
        <v>0.05</v>
      </c>
      <c r="O123" s="37" t="n">
        <f aca="false">J123*(1-N123)</f>
        <v>1823848</v>
      </c>
      <c r="P123" s="37" t="n">
        <v>0</v>
      </c>
      <c r="Q123" s="38" t="n">
        <f aca="false">IF(H123=0,0,P123/H123)</f>
        <v>0</v>
      </c>
      <c r="R123" s="35" t="s">
        <v>2385</v>
      </c>
      <c r="S123" s="34" t="s">
        <v>2107</v>
      </c>
      <c r="T123" s="34" t="s">
        <v>2124</v>
      </c>
    </row>
    <row r="124" customFormat="false" ht="15" hidden="false" customHeight="false" outlineLevel="0" collapsed="false">
      <c r="A124" s="43" t="s">
        <v>2386</v>
      </c>
      <c r="B124" s="43" t="s">
        <v>2156</v>
      </c>
      <c r="C124" s="51" t="n">
        <v>2024</v>
      </c>
      <c r="D124" s="44" t="s">
        <v>2145</v>
      </c>
      <c r="E124" s="44" t="s">
        <v>2103</v>
      </c>
      <c r="F124" s="43" t="s">
        <v>2111</v>
      </c>
      <c r="G124" s="43" t="s">
        <v>2096</v>
      </c>
      <c r="H124" s="46" t="n">
        <v>376</v>
      </c>
      <c r="I124" s="46" t="n">
        <v>8999</v>
      </c>
      <c r="J124" s="46" t="n">
        <f aca="false">H124*I124</f>
        <v>3383624</v>
      </c>
      <c r="K124" s="46" t="n">
        <f aca="false">J124*0.56</f>
        <v>1894829.44</v>
      </c>
      <c r="L124" s="46" t="n">
        <f aca="false">J124-K124</f>
        <v>1488794.56</v>
      </c>
      <c r="M124" s="47" t="n">
        <f aca="false">IF(J124=0,0,L124/J124)</f>
        <v>0.44</v>
      </c>
      <c r="N124" s="47" t="n">
        <v>0.14</v>
      </c>
      <c r="O124" s="46" t="n">
        <f aca="false">J124*(1-N124)</f>
        <v>2909916.64</v>
      </c>
      <c r="P124" s="46" t="n">
        <v>9</v>
      </c>
      <c r="Q124" s="47" t="n">
        <f aca="false">IF(H124=0,0,P124/H124)</f>
        <v>0.023936170212766</v>
      </c>
      <c r="R124" s="44" t="s">
        <v>2387</v>
      </c>
      <c r="S124" s="43" t="s">
        <v>2118</v>
      </c>
      <c r="T124" s="43" t="s">
        <v>2099</v>
      </c>
    </row>
    <row r="125" customFormat="false" ht="15" hidden="false" customHeight="false" outlineLevel="0" collapsed="false">
      <c r="A125" s="34" t="s">
        <v>2388</v>
      </c>
      <c r="B125" s="34" t="s">
        <v>2120</v>
      </c>
      <c r="C125" s="42" t="n">
        <v>2022</v>
      </c>
      <c r="D125" s="35" t="s">
        <v>2174</v>
      </c>
      <c r="E125" s="35" t="s">
        <v>2103</v>
      </c>
      <c r="F125" s="34" t="s">
        <v>2175</v>
      </c>
      <c r="G125" s="34" t="s">
        <v>2105</v>
      </c>
      <c r="H125" s="37" t="n">
        <v>373</v>
      </c>
      <c r="I125" s="37" t="n">
        <v>2999</v>
      </c>
      <c r="J125" s="37" t="n">
        <f aca="false">H125*I125</f>
        <v>1118627</v>
      </c>
      <c r="K125" s="37" t="n">
        <f aca="false">J125*0.59</f>
        <v>659989.93</v>
      </c>
      <c r="L125" s="37" t="n">
        <f aca="false">J125-K125</f>
        <v>458637.07</v>
      </c>
      <c r="M125" s="38" t="n">
        <f aca="false">IF(J125=0,0,L125/J125)</f>
        <v>0.41</v>
      </c>
      <c r="N125" s="38" t="n">
        <v>0.01</v>
      </c>
      <c r="O125" s="37" t="n">
        <f aca="false">J125*(1-N125)</f>
        <v>1107440.73</v>
      </c>
      <c r="P125" s="37" t="n">
        <v>15</v>
      </c>
      <c r="Q125" s="38" t="n">
        <f aca="false">IF(H125=0,0,P125/H125)</f>
        <v>0.0402144772117962</v>
      </c>
      <c r="R125" s="35" t="s">
        <v>2389</v>
      </c>
      <c r="S125" s="34" t="s">
        <v>2098</v>
      </c>
      <c r="T125" s="34" t="s">
        <v>2099</v>
      </c>
    </row>
    <row r="126" customFormat="false" ht="15" hidden="false" customHeight="false" outlineLevel="0" collapsed="false">
      <c r="A126" s="43" t="s">
        <v>2390</v>
      </c>
      <c r="B126" s="43" t="s">
        <v>2162</v>
      </c>
      <c r="C126" s="51" t="n">
        <v>2022</v>
      </c>
      <c r="D126" s="44" t="s">
        <v>2093</v>
      </c>
      <c r="E126" s="44" t="s">
        <v>2094</v>
      </c>
      <c r="F126" s="43" t="s">
        <v>2194</v>
      </c>
      <c r="G126" s="43" t="s">
        <v>2096</v>
      </c>
      <c r="H126" s="46" t="n">
        <v>14</v>
      </c>
      <c r="I126" s="46" t="n">
        <v>35999</v>
      </c>
      <c r="J126" s="46" t="n">
        <f aca="false">H126*I126</f>
        <v>503986</v>
      </c>
      <c r="K126" s="46" t="n">
        <f aca="false">J126*0.57</f>
        <v>287272.02</v>
      </c>
      <c r="L126" s="46" t="n">
        <f aca="false">J126-K126</f>
        <v>216713.98</v>
      </c>
      <c r="M126" s="47" t="n">
        <f aca="false">IF(J126=0,0,L126/J126)</f>
        <v>0.43</v>
      </c>
      <c r="N126" s="47" t="n">
        <v>0.02</v>
      </c>
      <c r="O126" s="46" t="n">
        <f aca="false">J126*(1-N126)</f>
        <v>493906.28</v>
      </c>
      <c r="P126" s="46" t="n">
        <v>0</v>
      </c>
      <c r="Q126" s="47" t="n">
        <f aca="false">IF(H126=0,0,P126/H126)</f>
        <v>0</v>
      </c>
      <c r="R126" s="44" t="s">
        <v>2391</v>
      </c>
      <c r="S126" s="43" t="s">
        <v>2107</v>
      </c>
      <c r="T126" s="43" t="s">
        <v>2099</v>
      </c>
    </row>
    <row r="127" customFormat="false" ht="15" hidden="false" customHeight="false" outlineLevel="0" collapsed="false">
      <c r="A127" s="34" t="s">
        <v>2392</v>
      </c>
      <c r="B127" s="34" t="s">
        <v>2148</v>
      </c>
      <c r="C127" s="42" t="n">
        <v>2022</v>
      </c>
      <c r="D127" s="35" t="s">
        <v>2109</v>
      </c>
      <c r="E127" s="35" t="s">
        <v>2110</v>
      </c>
      <c r="F127" s="34" t="s">
        <v>2194</v>
      </c>
      <c r="G127" s="34" t="s">
        <v>2105</v>
      </c>
      <c r="H127" s="37" t="n">
        <v>440</v>
      </c>
      <c r="I127" s="37" t="n">
        <v>35999</v>
      </c>
      <c r="J127" s="37" t="n">
        <f aca="false">H127*I127</f>
        <v>15839560</v>
      </c>
      <c r="K127" s="37" t="n">
        <f aca="false">J127*0.45</f>
        <v>7127802</v>
      </c>
      <c r="L127" s="37" t="n">
        <f aca="false">J127-K127</f>
        <v>8711758</v>
      </c>
      <c r="M127" s="38" t="n">
        <f aca="false">IF(J127=0,0,L127/J127)</f>
        <v>0.55</v>
      </c>
      <c r="N127" s="38" t="n">
        <v>0.02</v>
      </c>
      <c r="O127" s="37" t="n">
        <f aca="false">J127*(1-N127)</f>
        <v>15522768.8</v>
      </c>
      <c r="P127" s="37" t="n">
        <v>5</v>
      </c>
      <c r="Q127" s="38" t="n">
        <f aca="false">IF(H127=0,0,P127/H127)</f>
        <v>0.0113636363636364</v>
      </c>
      <c r="R127" s="35" t="s">
        <v>2393</v>
      </c>
      <c r="S127" s="34" t="s">
        <v>2136</v>
      </c>
      <c r="T127" s="34" t="s">
        <v>2099</v>
      </c>
    </row>
    <row r="128" customFormat="false" ht="15" hidden="false" customHeight="false" outlineLevel="0" collapsed="false">
      <c r="A128" s="43" t="s">
        <v>2394</v>
      </c>
      <c r="B128" s="43" t="s">
        <v>2101</v>
      </c>
      <c r="C128" s="51" t="n">
        <v>2023</v>
      </c>
      <c r="D128" s="44" t="s">
        <v>2127</v>
      </c>
      <c r="E128" s="44" t="s">
        <v>2128</v>
      </c>
      <c r="F128" s="43" t="s">
        <v>2104</v>
      </c>
      <c r="G128" s="43" t="s">
        <v>2129</v>
      </c>
      <c r="H128" s="46" t="n">
        <v>134</v>
      </c>
      <c r="I128" s="46" t="n">
        <v>2999</v>
      </c>
      <c r="J128" s="46" t="n">
        <f aca="false">H128*I128</f>
        <v>401866</v>
      </c>
      <c r="K128" s="46" t="n">
        <f aca="false">J128*0.63</f>
        <v>253175.58</v>
      </c>
      <c r="L128" s="46" t="n">
        <f aca="false">J128-K128</f>
        <v>148690.42</v>
      </c>
      <c r="M128" s="47" t="n">
        <f aca="false">IF(J128=0,0,L128/J128)</f>
        <v>0.37</v>
      </c>
      <c r="N128" s="47" t="n">
        <v>0.07</v>
      </c>
      <c r="O128" s="46" t="n">
        <f aca="false">J128*(1-N128)</f>
        <v>373735.38</v>
      </c>
      <c r="P128" s="46" t="n">
        <v>6</v>
      </c>
      <c r="Q128" s="47" t="n">
        <f aca="false">IF(H128=0,0,P128/H128)</f>
        <v>0.0447761194029851</v>
      </c>
      <c r="R128" s="44" t="s">
        <v>2395</v>
      </c>
      <c r="S128" s="43" t="s">
        <v>2107</v>
      </c>
      <c r="T128" s="43" t="s">
        <v>2099</v>
      </c>
    </row>
    <row r="129" customFormat="false" ht="15" hidden="false" customHeight="false" outlineLevel="0" collapsed="false">
      <c r="A129" s="34" t="s">
        <v>2396</v>
      </c>
      <c r="B129" s="34" t="s">
        <v>2141</v>
      </c>
      <c r="C129" s="42" t="n">
        <v>2022</v>
      </c>
      <c r="D129" s="35" t="s">
        <v>2115</v>
      </c>
      <c r="E129" s="35" t="s">
        <v>2103</v>
      </c>
      <c r="F129" s="34" t="s">
        <v>2175</v>
      </c>
      <c r="G129" s="34" t="s">
        <v>2129</v>
      </c>
      <c r="H129" s="37" t="n">
        <v>429</v>
      </c>
      <c r="I129" s="37" t="n">
        <v>9999</v>
      </c>
      <c r="J129" s="37" t="n">
        <f aca="false">H129*I129</f>
        <v>4289571</v>
      </c>
      <c r="K129" s="37" t="n">
        <f aca="false">J129*0.64</f>
        <v>2745325.44</v>
      </c>
      <c r="L129" s="37" t="n">
        <f aca="false">J129-K129</f>
        <v>1544245.56</v>
      </c>
      <c r="M129" s="38" t="n">
        <f aca="false">IF(J129=0,0,L129/J129)</f>
        <v>0.36</v>
      </c>
      <c r="N129" s="38" t="n">
        <v>0.06</v>
      </c>
      <c r="O129" s="37" t="n">
        <f aca="false">J129*(1-N129)</f>
        <v>4032196.74</v>
      </c>
      <c r="P129" s="37" t="n">
        <v>12</v>
      </c>
      <c r="Q129" s="38" t="n">
        <f aca="false">IF(H129=0,0,P129/H129)</f>
        <v>0.027972027972028</v>
      </c>
      <c r="R129" s="35" t="s">
        <v>2397</v>
      </c>
      <c r="S129" s="34" t="s">
        <v>2136</v>
      </c>
      <c r="T129" s="34" t="s">
        <v>2099</v>
      </c>
    </row>
    <row r="130" customFormat="false" ht="15" hidden="false" customHeight="false" outlineLevel="0" collapsed="false">
      <c r="A130" s="43" t="s">
        <v>2398</v>
      </c>
      <c r="B130" s="43" t="s">
        <v>2101</v>
      </c>
      <c r="C130" s="51" t="n">
        <v>2023</v>
      </c>
      <c r="D130" s="44" t="s">
        <v>2174</v>
      </c>
      <c r="E130" s="44" t="s">
        <v>2103</v>
      </c>
      <c r="F130" s="43" t="s">
        <v>2142</v>
      </c>
      <c r="G130" s="43" t="s">
        <v>2129</v>
      </c>
      <c r="H130" s="46" t="n">
        <v>108</v>
      </c>
      <c r="I130" s="46" t="n">
        <v>11999</v>
      </c>
      <c r="J130" s="46" t="n">
        <f aca="false">H130*I130</f>
        <v>1295892</v>
      </c>
      <c r="K130" s="46" t="n">
        <f aca="false">J130*0.63</f>
        <v>816411.96</v>
      </c>
      <c r="L130" s="46" t="n">
        <f aca="false">J130-K130</f>
        <v>479480.04</v>
      </c>
      <c r="M130" s="47" t="n">
        <f aca="false">IF(J130=0,0,L130/J130)</f>
        <v>0.37</v>
      </c>
      <c r="N130" s="47" t="n">
        <v>0.05</v>
      </c>
      <c r="O130" s="46" t="n">
        <f aca="false">J130*(1-N130)</f>
        <v>1231097.4</v>
      </c>
      <c r="P130" s="46" t="n">
        <v>5</v>
      </c>
      <c r="Q130" s="47" t="n">
        <f aca="false">IF(H130=0,0,P130/H130)</f>
        <v>0.0462962962962963</v>
      </c>
      <c r="R130" s="44" t="s">
        <v>2399</v>
      </c>
      <c r="S130" s="43" t="s">
        <v>2107</v>
      </c>
      <c r="T130" s="43" t="s">
        <v>2099</v>
      </c>
    </row>
    <row r="131" customFormat="false" ht="15" hidden="false" customHeight="false" outlineLevel="0" collapsed="false">
      <c r="A131" s="34" t="s">
        <v>2400</v>
      </c>
      <c r="B131" s="34" t="s">
        <v>2092</v>
      </c>
      <c r="C131" s="42" t="n">
        <v>2022</v>
      </c>
      <c r="D131" s="35" t="s">
        <v>2115</v>
      </c>
      <c r="E131" s="35" t="s">
        <v>2103</v>
      </c>
      <c r="F131" s="34" t="s">
        <v>2111</v>
      </c>
      <c r="G131" s="34" t="s">
        <v>2157</v>
      </c>
      <c r="H131" s="37" t="n">
        <v>244</v>
      </c>
      <c r="I131" s="37" t="n">
        <v>35999</v>
      </c>
      <c r="J131" s="37" t="n">
        <f aca="false">H131*I131</f>
        <v>8783756</v>
      </c>
      <c r="K131" s="37" t="n">
        <f aca="false">J131*0.57</f>
        <v>5006740.92</v>
      </c>
      <c r="L131" s="37" t="n">
        <f aca="false">J131-K131</f>
        <v>3777015.08</v>
      </c>
      <c r="M131" s="38" t="n">
        <f aca="false">IF(J131=0,0,L131/J131)</f>
        <v>0.43</v>
      </c>
      <c r="N131" s="38" t="n">
        <v>0.14</v>
      </c>
      <c r="O131" s="37" t="n">
        <f aca="false">J131*(1-N131)</f>
        <v>7554030.16</v>
      </c>
      <c r="P131" s="37" t="n">
        <v>8</v>
      </c>
      <c r="Q131" s="38" t="n">
        <f aca="false">IF(H131=0,0,P131/H131)</f>
        <v>0.0327868852459016</v>
      </c>
      <c r="R131" s="35" t="s">
        <v>2401</v>
      </c>
      <c r="S131" s="34" t="s">
        <v>2098</v>
      </c>
      <c r="T131" s="34" t="s">
        <v>2099</v>
      </c>
    </row>
    <row r="132" customFormat="false" ht="15" hidden="false" customHeight="false" outlineLevel="0" collapsed="false">
      <c r="A132" s="43" t="s">
        <v>2402</v>
      </c>
      <c r="B132" s="43" t="s">
        <v>2213</v>
      </c>
      <c r="C132" s="51" t="n">
        <v>2024</v>
      </c>
      <c r="D132" s="44" t="s">
        <v>2174</v>
      </c>
      <c r="E132" s="44" t="s">
        <v>2103</v>
      </c>
      <c r="F132" s="43" t="s">
        <v>2111</v>
      </c>
      <c r="G132" s="43" t="s">
        <v>2157</v>
      </c>
      <c r="H132" s="46" t="n">
        <v>135</v>
      </c>
      <c r="I132" s="46" t="n">
        <v>12999</v>
      </c>
      <c r="J132" s="46" t="n">
        <f aca="false">H132*I132</f>
        <v>1754865</v>
      </c>
      <c r="K132" s="46" t="n">
        <f aca="false">J132*0.58</f>
        <v>1017821.7</v>
      </c>
      <c r="L132" s="46" t="n">
        <f aca="false">J132-K132</f>
        <v>737043.3</v>
      </c>
      <c r="M132" s="47" t="n">
        <f aca="false">IF(J132=0,0,L132/J132)</f>
        <v>0.42</v>
      </c>
      <c r="N132" s="47" t="n">
        <v>0.07</v>
      </c>
      <c r="O132" s="46" t="n">
        <f aca="false">J132*(1-N132)</f>
        <v>1632024.45</v>
      </c>
      <c r="P132" s="46" t="n">
        <v>2</v>
      </c>
      <c r="Q132" s="47" t="n">
        <f aca="false">IF(H132=0,0,P132/H132)</f>
        <v>0.0148148148148148</v>
      </c>
      <c r="R132" s="44" t="s">
        <v>2403</v>
      </c>
      <c r="S132" s="43" t="s">
        <v>2118</v>
      </c>
      <c r="T132" s="43" t="s">
        <v>2124</v>
      </c>
    </row>
    <row r="133" customFormat="false" ht="15" hidden="false" customHeight="false" outlineLevel="0" collapsed="false">
      <c r="A133" s="34" t="s">
        <v>2404</v>
      </c>
      <c r="B133" s="34" t="s">
        <v>2213</v>
      </c>
      <c r="C133" s="42" t="n">
        <v>2024</v>
      </c>
      <c r="D133" s="35" t="s">
        <v>2127</v>
      </c>
      <c r="E133" s="35" t="s">
        <v>2128</v>
      </c>
      <c r="F133" s="34" t="s">
        <v>2175</v>
      </c>
      <c r="G133" s="34" t="s">
        <v>2134</v>
      </c>
      <c r="H133" s="37" t="n">
        <v>50</v>
      </c>
      <c r="I133" s="37" t="n">
        <v>299</v>
      </c>
      <c r="J133" s="37" t="n">
        <f aca="false">H133*I133</f>
        <v>14950</v>
      </c>
      <c r="K133" s="37" t="n">
        <f aca="false">J133*0.58</f>
        <v>8671</v>
      </c>
      <c r="L133" s="37" t="n">
        <f aca="false">J133-K133</f>
        <v>6279</v>
      </c>
      <c r="M133" s="38" t="n">
        <f aca="false">IF(J133=0,0,L133/J133)</f>
        <v>0.42</v>
      </c>
      <c r="N133" s="38" t="n">
        <v>0.05</v>
      </c>
      <c r="O133" s="37" t="n">
        <f aca="false">J133*(1-N133)</f>
        <v>14202.5</v>
      </c>
      <c r="P133" s="37" t="n">
        <v>1</v>
      </c>
      <c r="Q133" s="38" t="n">
        <f aca="false">IF(H133=0,0,P133/H133)</f>
        <v>0.02</v>
      </c>
      <c r="R133" s="35" t="s">
        <v>2405</v>
      </c>
      <c r="S133" s="34" t="s">
        <v>2118</v>
      </c>
      <c r="T133" s="34" t="s">
        <v>2099</v>
      </c>
    </row>
    <row r="134" customFormat="false" ht="15" hidden="false" customHeight="false" outlineLevel="0" collapsed="false">
      <c r="A134" s="43" t="s">
        <v>2406</v>
      </c>
      <c r="B134" s="43" t="s">
        <v>2141</v>
      </c>
      <c r="C134" s="51" t="n">
        <v>2023</v>
      </c>
      <c r="D134" s="44" t="s">
        <v>2243</v>
      </c>
      <c r="E134" s="44" t="s">
        <v>2244</v>
      </c>
      <c r="F134" s="43" t="s">
        <v>2104</v>
      </c>
      <c r="G134" s="43" t="s">
        <v>2134</v>
      </c>
      <c r="H134" s="46" t="n">
        <v>131</v>
      </c>
      <c r="I134" s="46" t="n">
        <v>24999</v>
      </c>
      <c r="J134" s="46" t="n">
        <f aca="false">H134*I134</f>
        <v>3274869</v>
      </c>
      <c r="K134" s="46" t="n">
        <f aca="false">J134*0.6</f>
        <v>1964921.4</v>
      </c>
      <c r="L134" s="46" t="n">
        <f aca="false">J134-K134</f>
        <v>1309947.6</v>
      </c>
      <c r="M134" s="47" t="n">
        <f aca="false">IF(J134=0,0,L134/J134)</f>
        <v>0.4</v>
      </c>
      <c r="N134" s="47" t="n">
        <v>0.07</v>
      </c>
      <c r="O134" s="46" t="n">
        <f aca="false">J134*(1-N134)</f>
        <v>3045628.17</v>
      </c>
      <c r="P134" s="46" t="n">
        <v>5</v>
      </c>
      <c r="Q134" s="47" t="n">
        <f aca="false">IF(H134=0,0,P134/H134)</f>
        <v>0.0381679389312977</v>
      </c>
      <c r="R134" s="44" t="s">
        <v>2407</v>
      </c>
      <c r="S134" s="43" t="s">
        <v>2136</v>
      </c>
      <c r="T134" s="43" t="s">
        <v>2099</v>
      </c>
    </row>
    <row r="135" customFormat="false" ht="15" hidden="false" customHeight="false" outlineLevel="0" collapsed="false">
      <c r="A135" s="34" t="s">
        <v>2408</v>
      </c>
      <c r="B135" s="34" t="s">
        <v>2126</v>
      </c>
      <c r="C135" s="42" t="n">
        <v>2024</v>
      </c>
      <c r="D135" s="35" t="s">
        <v>2109</v>
      </c>
      <c r="E135" s="35" t="s">
        <v>2110</v>
      </c>
      <c r="F135" s="34" t="s">
        <v>2104</v>
      </c>
      <c r="G135" s="34" t="s">
        <v>2129</v>
      </c>
      <c r="H135" s="37" t="n">
        <v>267</v>
      </c>
      <c r="I135" s="37" t="n">
        <v>8999</v>
      </c>
      <c r="J135" s="37" t="n">
        <f aca="false">H135*I135</f>
        <v>2402733</v>
      </c>
      <c r="K135" s="37" t="n">
        <f aca="false">J135*0.62</f>
        <v>1489694.46</v>
      </c>
      <c r="L135" s="37" t="n">
        <f aca="false">J135-K135</f>
        <v>913038.54</v>
      </c>
      <c r="M135" s="38" t="n">
        <f aca="false">IF(J135=0,0,L135/J135)</f>
        <v>0.38</v>
      </c>
      <c r="N135" s="38" t="n">
        <v>0.15</v>
      </c>
      <c r="O135" s="37" t="n">
        <f aca="false">J135*(1-N135)</f>
        <v>2042323.05</v>
      </c>
      <c r="P135" s="37" t="n">
        <v>5</v>
      </c>
      <c r="Q135" s="38" t="n">
        <f aca="false">IF(H135=0,0,P135/H135)</f>
        <v>0.0187265917602996</v>
      </c>
      <c r="R135" s="35" t="s">
        <v>2409</v>
      </c>
      <c r="S135" s="34" t="s">
        <v>2107</v>
      </c>
      <c r="T135" s="34" t="s">
        <v>2099</v>
      </c>
    </row>
    <row r="136" customFormat="false" ht="15" hidden="false" customHeight="false" outlineLevel="0" collapsed="false">
      <c r="A136" s="43" t="s">
        <v>2410</v>
      </c>
      <c r="B136" s="43" t="s">
        <v>2101</v>
      </c>
      <c r="C136" s="51" t="n">
        <v>2022</v>
      </c>
      <c r="D136" s="44" t="s">
        <v>2133</v>
      </c>
      <c r="E136" s="44" t="s">
        <v>2103</v>
      </c>
      <c r="F136" s="43" t="s">
        <v>2116</v>
      </c>
      <c r="G136" s="43" t="s">
        <v>2134</v>
      </c>
      <c r="H136" s="46" t="n">
        <v>211</v>
      </c>
      <c r="I136" s="46" t="n">
        <v>7999</v>
      </c>
      <c r="J136" s="46" t="n">
        <f aca="false">H136*I136</f>
        <v>1687789</v>
      </c>
      <c r="K136" s="46" t="n">
        <f aca="false">J136*0.58</f>
        <v>978917.62</v>
      </c>
      <c r="L136" s="46" t="n">
        <f aca="false">J136-K136</f>
        <v>708871.38</v>
      </c>
      <c r="M136" s="47" t="n">
        <f aca="false">IF(J136=0,0,L136/J136)</f>
        <v>0.42</v>
      </c>
      <c r="N136" s="47" t="n">
        <v>0.1</v>
      </c>
      <c r="O136" s="46" t="n">
        <f aca="false">J136*(1-N136)</f>
        <v>1519010.1</v>
      </c>
      <c r="P136" s="46" t="n">
        <v>5</v>
      </c>
      <c r="Q136" s="47" t="n">
        <f aca="false">IF(H136=0,0,P136/H136)</f>
        <v>0.023696682464455</v>
      </c>
      <c r="R136" s="44" t="s">
        <v>2411</v>
      </c>
      <c r="S136" s="43" t="s">
        <v>2107</v>
      </c>
      <c r="T136" s="43" t="s">
        <v>2099</v>
      </c>
    </row>
    <row r="137" customFormat="false" ht="15" hidden="false" customHeight="false" outlineLevel="0" collapsed="false">
      <c r="A137" s="34" t="s">
        <v>2412</v>
      </c>
      <c r="B137" s="34" t="s">
        <v>2126</v>
      </c>
      <c r="C137" s="42" t="n">
        <v>2023</v>
      </c>
      <c r="D137" s="35" t="s">
        <v>2243</v>
      </c>
      <c r="E137" s="35" t="s">
        <v>2244</v>
      </c>
      <c r="F137" s="34" t="s">
        <v>2095</v>
      </c>
      <c r="G137" s="34" t="s">
        <v>2134</v>
      </c>
      <c r="H137" s="37" t="n">
        <v>13</v>
      </c>
      <c r="I137" s="37" t="n">
        <v>11999</v>
      </c>
      <c r="J137" s="37" t="n">
        <f aca="false">H137*I137</f>
        <v>155987</v>
      </c>
      <c r="K137" s="37" t="n">
        <f aca="false">J137*0.47</f>
        <v>73313.89</v>
      </c>
      <c r="L137" s="37" t="n">
        <f aca="false">J137-K137</f>
        <v>82673.11</v>
      </c>
      <c r="M137" s="38" t="n">
        <f aca="false">IF(J137=0,0,L137/J137)</f>
        <v>0.53</v>
      </c>
      <c r="N137" s="38" t="n">
        <v>0.14</v>
      </c>
      <c r="O137" s="37" t="n">
        <f aca="false">J137*(1-N137)</f>
        <v>134148.82</v>
      </c>
      <c r="P137" s="37" t="n">
        <v>0</v>
      </c>
      <c r="Q137" s="38" t="n">
        <f aca="false">IF(H137=0,0,P137/H137)</f>
        <v>0</v>
      </c>
      <c r="R137" s="35" t="s">
        <v>2413</v>
      </c>
      <c r="S137" s="34" t="s">
        <v>2107</v>
      </c>
      <c r="T137" s="34" t="s">
        <v>2099</v>
      </c>
    </row>
    <row r="138" customFormat="false" ht="15" hidden="false" customHeight="false" outlineLevel="0" collapsed="false">
      <c r="A138" s="43" t="s">
        <v>2414</v>
      </c>
      <c r="B138" s="43" t="s">
        <v>2126</v>
      </c>
      <c r="C138" s="51" t="n">
        <v>2022</v>
      </c>
      <c r="D138" s="44" t="s">
        <v>2149</v>
      </c>
      <c r="E138" s="44" t="s">
        <v>2128</v>
      </c>
      <c r="F138" s="43" t="s">
        <v>2104</v>
      </c>
      <c r="G138" s="43" t="s">
        <v>2096</v>
      </c>
      <c r="H138" s="46" t="n">
        <v>67</v>
      </c>
      <c r="I138" s="46" t="n">
        <v>15999</v>
      </c>
      <c r="J138" s="46" t="n">
        <f aca="false">H138*I138</f>
        <v>1071933</v>
      </c>
      <c r="K138" s="46" t="n">
        <f aca="false">J138*0.61</f>
        <v>653879.13</v>
      </c>
      <c r="L138" s="46" t="n">
        <f aca="false">J138-K138</f>
        <v>418053.87</v>
      </c>
      <c r="M138" s="47" t="n">
        <f aca="false">IF(J138=0,0,L138/J138)</f>
        <v>0.39</v>
      </c>
      <c r="N138" s="47" t="n">
        <v>0.13</v>
      </c>
      <c r="O138" s="46" t="n">
        <f aca="false">J138*(1-N138)</f>
        <v>932581.71</v>
      </c>
      <c r="P138" s="46" t="n">
        <v>1</v>
      </c>
      <c r="Q138" s="47" t="n">
        <f aca="false">IF(H138=0,0,P138/H138)</f>
        <v>0.0149253731343284</v>
      </c>
      <c r="R138" s="44" t="s">
        <v>2415</v>
      </c>
      <c r="S138" s="43" t="s">
        <v>2107</v>
      </c>
      <c r="T138" s="43" t="s">
        <v>2099</v>
      </c>
    </row>
    <row r="139" customFormat="false" ht="15" hidden="false" customHeight="false" outlineLevel="0" collapsed="false">
      <c r="A139" s="34" t="s">
        <v>2416</v>
      </c>
      <c r="B139" s="34" t="s">
        <v>2126</v>
      </c>
      <c r="C139" s="42" t="n">
        <v>2022</v>
      </c>
      <c r="D139" s="35" t="s">
        <v>2243</v>
      </c>
      <c r="E139" s="35" t="s">
        <v>2244</v>
      </c>
      <c r="F139" s="34" t="s">
        <v>2194</v>
      </c>
      <c r="G139" s="34" t="s">
        <v>2157</v>
      </c>
      <c r="H139" s="37" t="n">
        <v>339</v>
      </c>
      <c r="I139" s="37" t="n">
        <v>299</v>
      </c>
      <c r="J139" s="37" t="n">
        <f aca="false">H139*I139</f>
        <v>101361</v>
      </c>
      <c r="K139" s="37" t="n">
        <f aca="false">J139*0.47</f>
        <v>47639.67</v>
      </c>
      <c r="L139" s="37" t="n">
        <f aca="false">J139-K139</f>
        <v>53721.33</v>
      </c>
      <c r="M139" s="38" t="n">
        <f aca="false">IF(J139=0,0,L139/J139)</f>
        <v>0.53</v>
      </c>
      <c r="N139" s="38" t="n">
        <v>0.07</v>
      </c>
      <c r="O139" s="37" t="n">
        <f aca="false">J139*(1-N139)</f>
        <v>94265.73</v>
      </c>
      <c r="P139" s="37" t="n">
        <v>8</v>
      </c>
      <c r="Q139" s="38" t="n">
        <f aca="false">IF(H139=0,0,P139/H139)</f>
        <v>0.0235988200589971</v>
      </c>
      <c r="R139" s="35" t="s">
        <v>2417</v>
      </c>
      <c r="S139" s="34" t="s">
        <v>2107</v>
      </c>
      <c r="T139" s="34" t="s">
        <v>2124</v>
      </c>
    </row>
    <row r="140" customFormat="false" ht="15" hidden="false" customHeight="false" outlineLevel="0" collapsed="false">
      <c r="A140" s="43" t="s">
        <v>2418</v>
      </c>
      <c r="B140" s="43" t="s">
        <v>2126</v>
      </c>
      <c r="C140" s="51" t="n">
        <v>2024</v>
      </c>
      <c r="D140" s="44" t="s">
        <v>2214</v>
      </c>
      <c r="E140" s="44" t="s">
        <v>2103</v>
      </c>
      <c r="F140" s="43" t="s">
        <v>2104</v>
      </c>
      <c r="G140" s="43" t="s">
        <v>2105</v>
      </c>
      <c r="H140" s="46" t="n">
        <v>132</v>
      </c>
      <c r="I140" s="46" t="n">
        <v>12999</v>
      </c>
      <c r="J140" s="46" t="n">
        <f aca="false">H140*I140</f>
        <v>1715868</v>
      </c>
      <c r="K140" s="46" t="n">
        <f aca="false">J140*0.65</f>
        <v>1115314.2</v>
      </c>
      <c r="L140" s="46" t="n">
        <f aca="false">J140-K140</f>
        <v>600553.8</v>
      </c>
      <c r="M140" s="47" t="n">
        <f aca="false">IF(J140=0,0,L140/J140)</f>
        <v>0.35</v>
      </c>
      <c r="N140" s="47" t="n">
        <v>0.04</v>
      </c>
      <c r="O140" s="46" t="n">
        <f aca="false">J140*(1-N140)</f>
        <v>1647233.28</v>
      </c>
      <c r="P140" s="46" t="n">
        <v>0</v>
      </c>
      <c r="Q140" s="47" t="n">
        <f aca="false">IF(H140=0,0,P140/H140)</f>
        <v>0</v>
      </c>
      <c r="R140" s="44" t="s">
        <v>2419</v>
      </c>
      <c r="S140" s="43" t="s">
        <v>2107</v>
      </c>
      <c r="T140" s="43" t="s">
        <v>2124</v>
      </c>
    </row>
    <row r="141" customFormat="false" ht="15" hidden="false" customHeight="false" outlineLevel="0" collapsed="false">
      <c r="A141" s="34" t="s">
        <v>2420</v>
      </c>
      <c r="B141" s="34" t="s">
        <v>2213</v>
      </c>
      <c r="C141" s="42" t="n">
        <v>2023</v>
      </c>
      <c r="D141" s="35" t="s">
        <v>2180</v>
      </c>
      <c r="E141" s="35" t="s">
        <v>2181</v>
      </c>
      <c r="F141" s="34" t="s">
        <v>2194</v>
      </c>
      <c r="G141" s="34" t="s">
        <v>2105</v>
      </c>
      <c r="H141" s="37" t="n">
        <v>92</v>
      </c>
      <c r="I141" s="37" t="n">
        <v>9999</v>
      </c>
      <c r="J141" s="37" t="n">
        <f aca="false">H141*I141</f>
        <v>919908</v>
      </c>
      <c r="K141" s="37" t="n">
        <f aca="false">J141*0.47</f>
        <v>432356.76</v>
      </c>
      <c r="L141" s="37" t="n">
        <f aca="false">J141-K141</f>
        <v>487551.24</v>
      </c>
      <c r="M141" s="38" t="n">
        <f aca="false">IF(J141=0,0,L141/J141)</f>
        <v>0.53</v>
      </c>
      <c r="N141" s="38" t="n">
        <v>0.15</v>
      </c>
      <c r="O141" s="37" t="n">
        <f aca="false">J141*(1-N141)</f>
        <v>781921.8</v>
      </c>
      <c r="P141" s="37" t="n">
        <v>1</v>
      </c>
      <c r="Q141" s="38" t="n">
        <f aca="false">IF(H141=0,0,P141/H141)</f>
        <v>0.0108695652173913</v>
      </c>
      <c r="R141" s="35" t="s">
        <v>2421</v>
      </c>
      <c r="S141" s="34" t="s">
        <v>2118</v>
      </c>
      <c r="T141" s="34" t="s">
        <v>2124</v>
      </c>
    </row>
    <row r="142" customFormat="false" ht="15" hidden="false" customHeight="false" outlineLevel="0" collapsed="false">
      <c r="A142" s="43" t="s">
        <v>2422</v>
      </c>
      <c r="B142" s="43" t="s">
        <v>2120</v>
      </c>
      <c r="C142" s="51" t="n">
        <v>2024</v>
      </c>
      <c r="D142" s="44" t="s">
        <v>2121</v>
      </c>
      <c r="E142" s="44" t="s">
        <v>2122</v>
      </c>
      <c r="F142" s="43" t="s">
        <v>2116</v>
      </c>
      <c r="G142" s="43" t="s">
        <v>2129</v>
      </c>
      <c r="H142" s="46" t="n">
        <v>277</v>
      </c>
      <c r="I142" s="46" t="n">
        <v>2999</v>
      </c>
      <c r="J142" s="46" t="n">
        <f aca="false">H142*I142</f>
        <v>830723</v>
      </c>
      <c r="K142" s="46" t="n">
        <f aca="false">J142*0.56</f>
        <v>465204.88</v>
      </c>
      <c r="L142" s="46" t="n">
        <f aca="false">J142-K142</f>
        <v>365518.12</v>
      </c>
      <c r="M142" s="47" t="n">
        <f aca="false">IF(J142=0,0,L142/J142)</f>
        <v>0.44</v>
      </c>
      <c r="N142" s="47" t="n">
        <v>0.09</v>
      </c>
      <c r="O142" s="46" t="n">
        <f aca="false">J142*(1-N142)</f>
        <v>755957.93</v>
      </c>
      <c r="P142" s="46" t="n">
        <v>1</v>
      </c>
      <c r="Q142" s="47" t="n">
        <f aca="false">IF(H142=0,0,P142/H142)</f>
        <v>0.0036101083032491</v>
      </c>
      <c r="R142" s="44" t="s">
        <v>2423</v>
      </c>
      <c r="S142" s="43" t="s">
        <v>2098</v>
      </c>
      <c r="T142" s="43" t="s">
        <v>2124</v>
      </c>
    </row>
    <row r="143" customFormat="false" ht="15" hidden="false" customHeight="false" outlineLevel="0" collapsed="false">
      <c r="A143" s="34" t="s">
        <v>2424</v>
      </c>
      <c r="B143" s="34" t="s">
        <v>2126</v>
      </c>
      <c r="C143" s="42" t="n">
        <v>2023</v>
      </c>
      <c r="D143" s="35" t="s">
        <v>2149</v>
      </c>
      <c r="E143" s="35" t="s">
        <v>2128</v>
      </c>
      <c r="F143" s="34" t="s">
        <v>2116</v>
      </c>
      <c r="G143" s="34" t="s">
        <v>2134</v>
      </c>
      <c r="H143" s="37" t="n">
        <v>37</v>
      </c>
      <c r="I143" s="37" t="n">
        <v>11999</v>
      </c>
      <c r="J143" s="37" t="n">
        <f aca="false">H143*I143</f>
        <v>443963</v>
      </c>
      <c r="K143" s="37" t="n">
        <f aca="false">J143*0.63</f>
        <v>279696.69</v>
      </c>
      <c r="L143" s="37" t="n">
        <f aca="false">J143-K143</f>
        <v>164266.31</v>
      </c>
      <c r="M143" s="38" t="n">
        <f aca="false">IF(J143=0,0,L143/J143)</f>
        <v>0.37</v>
      </c>
      <c r="N143" s="38" t="n">
        <v>0.12</v>
      </c>
      <c r="O143" s="37" t="n">
        <f aca="false">J143*(1-N143)</f>
        <v>390687.44</v>
      </c>
      <c r="P143" s="37" t="n">
        <v>0</v>
      </c>
      <c r="Q143" s="38" t="n">
        <f aca="false">IF(H143=0,0,P143/H143)</f>
        <v>0</v>
      </c>
      <c r="R143" s="35" t="s">
        <v>2425</v>
      </c>
      <c r="S143" s="34" t="s">
        <v>2107</v>
      </c>
      <c r="T143" s="34" t="s">
        <v>2124</v>
      </c>
    </row>
    <row r="144" customFormat="false" ht="15" hidden="false" customHeight="false" outlineLevel="0" collapsed="false">
      <c r="A144" s="43" t="s">
        <v>2426</v>
      </c>
      <c r="B144" s="43" t="s">
        <v>2120</v>
      </c>
      <c r="C144" s="51" t="n">
        <v>2024</v>
      </c>
      <c r="D144" s="44" t="s">
        <v>2093</v>
      </c>
      <c r="E144" s="44" t="s">
        <v>2094</v>
      </c>
      <c r="F144" s="43" t="s">
        <v>2116</v>
      </c>
      <c r="G144" s="43" t="s">
        <v>2134</v>
      </c>
      <c r="H144" s="46" t="n">
        <v>341</v>
      </c>
      <c r="I144" s="46" t="n">
        <v>15999</v>
      </c>
      <c r="J144" s="46" t="n">
        <f aca="false">H144*I144</f>
        <v>5455659</v>
      </c>
      <c r="K144" s="46" t="n">
        <f aca="false">J144*0.52</f>
        <v>2836942.68</v>
      </c>
      <c r="L144" s="46" t="n">
        <f aca="false">J144-K144</f>
        <v>2618716.32</v>
      </c>
      <c r="M144" s="47" t="n">
        <f aca="false">IF(J144=0,0,L144/J144)</f>
        <v>0.48</v>
      </c>
      <c r="N144" s="47" t="n">
        <v>0.11</v>
      </c>
      <c r="O144" s="46" t="n">
        <f aca="false">J144*(1-N144)</f>
        <v>4855536.51</v>
      </c>
      <c r="P144" s="46" t="n">
        <v>12</v>
      </c>
      <c r="Q144" s="47" t="n">
        <f aca="false">IF(H144=0,0,P144/H144)</f>
        <v>0.0351906158357771</v>
      </c>
      <c r="R144" s="44" t="s">
        <v>2427</v>
      </c>
      <c r="S144" s="43" t="s">
        <v>2098</v>
      </c>
      <c r="T144" s="43" t="s">
        <v>2099</v>
      </c>
    </row>
    <row r="145" customFormat="false" ht="15" hidden="false" customHeight="false" outlineLevel="0" collapsed="false">
      <c r="A145" s="34" t="s">
        <v>2428</v>
      </c>
      <c r="B145" s="34" t="s">
        <v>2114</v>
      </c>
      <c r="C145" s="42" t="n">
        <v>2024</v>
      </c>
      <c r="D145" s="35" t="s">
        <v>2214</v>
      </c>
      <c r="E145" s="35" t="s">
        <v>2103</v>
      </c>
      <c r="F145" s="34" t="s">
        <v>2111</v>
      </c>
      <c r="G145" s="34" t="s">
        <v>2157</v>
      </c>
      <c r="H145" s="37" t="n">
        <v>224</v>
      </c>
      <c r="I145" s="37" t="n">
        <v>15999</v>
      </c>
      <c r="J145" s="37" t="n">
        <f aca="false">H145*I145</f>
        <v>3583776</v>
      </c>
      <c r="K145" s="37" t="n">
        <f aca="false">J145*0.66</f>
        <v>2365292.16</v>
      </c>
      <c r="L145" s="37" t="n">
        <f aca="false">J145-K145</f>
        <v>1218483.84</v>
      </c>
      <c r="M145" s="38" t="n">
        <f aca="false">IF(J145=0,0,L145/J145)</f>
        <v>0.34</v>
      </c>
      <c r="N145" s="38" t="n">
        <v>0.12</v>
      </c>
      <c r="O145" s="37" t="n">
        <f aca="false">J145*(1-N145)</f>
        <v>3153722.88</v>
      </c>
      <c r="P145" s="37" t="n">
        <v>1</v>
      </c>
      <c r="Q145" s="38" t="n">
        <f aca="false">IF(H145=0,0,P145/H145)</f>
        <v>0.00446428571428571</v>
      </c>
      <c r="R145" s="35" t="s">
        <v>2429</v>
      </c>
      <c r="S145" s="34" t="s">
        <v>2118</v>
      </c>
      <c r="T145" s="34" t="s">
        <v>2099</v>
      </c>
    </row>
    <row r="146" customFormat="false" ht="15" hidden="false" customHeight="false" outlineLevel="0" collapsed="false">
      <c r="A146" s="43" t="s">
        <v>2430</v>
      </c>
      <c r="B146" s="43" t="s">
        <v>2165</v>
      </c>
      <c r="C146" s="51" t="n">
        <v>2023</v>
      </c>
      <c r="D146" s="44" t="s">
        <v>2174</v>
      </c>
      <c r="E146" s="44" t="s">
        <v>2103</v>
      </c>
      <c r="F146" s="43" t="s">
        <v>2104</v>
      </c>
      <c r="G146" s="43" t="s">
        <v>2157</v>
      </c>
      <c r="H146" s="46" t="n">
        <v>63</v>
      </c>
      <c r="I146" s="46" t="n">
        <v>11999</v>
      </c>
      <c r="J146" s="46" t="n">
        <f aca="false">H146*I146</f>
        <v>755937</v>
      </c>
      <c r="K146" s="46" t="n">
        <f aca="false">J146*0.58</f>
        <v>438443.46</v>
      </c>
      <c r="L146" s="46" t="n">
        <f aca="false">J146-K146</f>
        <v>317493.54</v>
      </c>
      <c r="M146" s="47" t="n">
        <f aca="false">IF(J146=0,0,L146/J146)</f>
        <v>0.42</v>
      </c>
      <c r="N146" s="47" t="n">
        <v>0.15</v>
      </c>
      <c r="O146" s="46" t="n">
        <f aca="false">J146*(1-N146)</f>
        <v>642546.45</v>
      </c>
      <c r="P146" s="46" t="n">
        <v>2</v>
      </c>
      <c r="Q146" s="47" t="n">
        <f aca="false">IF(H146=0,0,P146/H146)</f>
        <v>0.0317460317460317</v>
      </c>
      <c r="R146" s="44" t="s">
        <v>2431</v>
      </c>
      <c r="S146" s="43" t="s">
        <v>2098</v>
      </c>
      <c r="T146" s="43" t="s">
        <v>2099</v>
      </c>
    </row>
    <row r="147" customFormat="false" ht="15" hidden="false" customHeight="false" outlineLevel="0" collapsed="false">
      <c r="A147" s="34" t="s">
        <v>2432</v>
      </c>
      <c r="B147" s="34" t="s">
        <v>2213</v>
      </c>
      <c r="C147" s="42" t="n">
        <v>2022</v>
      </c>
      <c r="D147" s="35" t="s">
        <v>2093</v>
      </c>
      <c r="E147" s="35" t="s">
        <v>2094</v>
      </c>
      <c r="F147" s="34" t="s">
        <v>2142</v>
      </c>
      <c r="G147" s="34" t="s">
        <v>2134</v>
      </c>
      <c r="H147" s="37" t="n">
        <v>188</v>
      </c>
      <c r="I147" s="37" t="n">
        <v>1999</v>
      </c>
      <c r="J147" s="37" t="n">
        <f aca="false">H147*I147</f>
        <v>375812</v>
      </c>
      <c r="K147" s="37" t="n">
        <f aca="false">J147*0.66</f>
        <v>248035.92</v>
      </c>
      <c r="L147" s="37" t="n">
        <f aca="false">J147-K147</f>
        <v>127776.08</v>
      </c>
      <c r="M147" s="38" t="n">
        <f aca="false">IF(J147=0,0,L147/J147)</f>
        <v>0.34</v>
      </c>
      <c r="N147" s="38" t="n">
        <v>0.05</v>
      </c>
      <c r="O147" s="37" t="n">
        <f aca="false">J147*(1-N147)</f>
        <v>357021.4</v>
      </c>
      <c r="P147" s="37" t="n">
        <v>7</v>
      </c>
      <c r="Q147" s="38" t="n">
        <f aca="false">IF(H147=0,0,P147/H147)</f>
        <v>0.0372340425531915</v>
      </c>
      <c r="R147" s="35" t="s">
        <v>2433</v>
      </c>
      <c r="S147" s="34" t="s">
        <v>2118</v>
      </c>
      <c r="T147" s="34" t="s">
        <v>2099</v>
      </c>
    </row>
    <row r="148" customFormat="false" ht="15" hidden="false" customHeight="false" outlineLevel="0" collapsed="false">
      <c r="A148" s="43" t="s">
        <v>2434</v>
      </c>
      <c r="B148" s="43" t="s">
        <v>2101</v>
      </c>
      <c r="C148" s="51" t="n">
        <v>2022</v>
      </c>
      <c r="D148" s="44" t="s">
        <v>2115</v>
      </c>
      <c r="E148" s="44" t="s">
        <v>2103</v>
      </c>
      <c r="F148" s="43" t="s">
        <v>2175</v>
      </c>
      <c r="G148" s="43" t="s">
        <v>2134</v>
      </c>
      <c r="H148" s="46" t="n">
        <v>496</v>
      </c>
      <c r="I148" s="46" t="n">
        <v>15999</v>
      </c>
      <c r="J148" s="46" t="n">
        <f aca="false">H148*I148</f>
        <v>7935504</v>
      </c>
      <c r="K148" s="46" t="n">
        <f aca="false">J148*0.62</f>
        <v>4920012.48</v>
      </c>
      <c r="L148" s="46" t="n">
        <f aca="false">J148-K148</f>
        <v>3015491.52</v>
      </c>
      <c r="M148" s="47" t="n">
        <f aca="false">IF(J148=0,0,L148/J148)</f>
        <v>0.38</v>
      </c>
      <c r="N148" s="47" t="n">
        <v>0.04</v>
      </c>
      <c r="O148" s="46" t="n">
        <f aca="false">J148*(1-N148)</f>
        <v>7618083.84</v>
      </c>
      <c r="P148" s="46" t="n">
        <v>12</v>
      </c>
      <c r="Q148" s="47" t="n">
        <f aca="false">IF(H148=0,0,P148/H148)</f>
        <v>0.0241935483870968</v>
      </c>
      <c r="R148" s="44" t="s">
        <v>2435</v>
      </c>
      <c r="S148" s="43" t="s">
        <v>2107</v>
      </c>
      <c r="T148" s="43" t="s">
        <v>2099</v>
      </c>
    </row>
    <row r="149" customFormat="false" ht="15" hidden="false" customHeight="false" outlineLevel="0" collapsed="false">
      <c r="A149" s="34" t="s">
        <v>2436</v>
      </c>
      <c r="B149" s="34" t="s">
        <v>2101</v>
      </c>
      <c r="C149" s="42" t="n">
        <v>2024</v>
      </c>
      <c r="D149" s="35" t="s">
        <v>2127</v>
      </c>
      <c r="E149" s="35" t="s">
        <v>2128</v>
      </c>
      <c r="F149" s="34" t="s">
        <v>2111</v>
      </c>
      <c r="G149" s="34" t="s">
        <v>2134</v>
      </c>
      <c r="H149" s="37" t="n">
        <v>454</v>
      </c>
      <c r="I149" s="37" t="n">
        <v>24999</v>
      </c>
      <c r="J149" s="37" t="n">
        <f aca="false">H149*I149</f>
        <v>11349546</v>
      </c>
      <c r="K149" s="37" t="n">
        <f aca="false">J149*0.56</f>
        <v>6355745.76</v>
      </c>
      <c r="L149" s="37" t="n">
        <f aca="false">J149-K149</f>
        <v>4993800.24</v>
      </c>
      <c r="M149" s="38" t="n">
        <f aca="false">IF(J149=0,0,L149/J149)</f>
        <v>0.44</v>
      </c>
      <c r="N149" s="38" t="n">
        <v>0.03</v>
      </c>
      <c r="O149" s="37" t="n">
        <f aca="false">J149*(1-N149)</f>
        <v>11009059.62</v>
      </c>
      <c r="P149" s="37" t="n">
        <v>1</v>
      </c>
      <c r="Q149" s="38" t="n">
        <f aca="false">IF(H149=0,0,P149/H149)</f>
        <v>0.00220264317180617</v>
      </c>
      <c r="R149" s="35" t="s">
        <v>2437</v>
      </c>
      <c r="S149" s="34" t="s">
        <v>2107</v>
      </c>
      <c r="T149" s="34" t="s">
        <v>2099</v>
      </c>
    </row>
    <row r="150" customFormat="false" ht="15" hidden="false" customHeight="false" outlineLevel="0" collapsed="false">
      <c r="A150" s="43" t="s">
        <v>2438</v>
      </c>
      <c r="B150" s="43" t="s">
        <v>2165</v>
      </c>
      <c r="C150" s="51" t="n">
        <v>2024</v>
      </c>
      <c r="D150" s="44" t="s">
        <v>2109</v>
      </c>
      <c r="E150" s="44" t="s">
        <v>2110</v>
      </c>
      <c r="F150" s="43" t="s">
        <v>2095</v>
      </c>
      <c r="G150" s="43" t="s">
        <v>2157</v>
      </c>
      <c r="H150" s="46" t="n">
        <v>200</v>
      </c>
      <c r="I150" s="46" t="n">
        <v>7999</v>
      </c>
      <c r="J150" s="46" t="n">
        <f aca="false">H150*I150</f>
        <v>1599800</v>
      </c>
      <c r="K150" s="46" t="n">
        <f aca="false">J150*0.65</f>
        <v>1039870</v>
      </c>
      <c r="L150" s="46" t="n">
        <f aca="false">J150-K150</f>
        <v>559930</v>
      </c>
      <c r="M150" s="47" t="n">
        <f aca="false">IF(J150=0,0,L150/J150)</f>
        <v>0.35</v>
      </c>
      <c r="N150" s="47" t="n">
        <v>0.1</v>
      </c>
      <c r="O150" s="46" t="n">
        <f aca="false">J150*(1-N150)</f>
        <v>1439820</v>
      </c>
      <c r="P150" s="46" t="n">
        <v>7</v>
      </c>
      <c r="Q150" s="47" t="n">
        <f aca="false">IF(H150=0,0,P150/H150)</f>
        <v>0.035</v>
      </c>
      <c r="R150" s="44" t="s">
        <v>2439</v>
      </c>
      <c r="S150" s="43" t="s">
        <v>2098</v>
      </c>
      <c r="T150" s="43" t="s">
        <v>2124</v>
      </c>
    </row>
    <row r="151" customFormat="false" ht="15" hidden="false" customHeight="false" outlineLevel="0" collapsed="false">
      <c r="A151" s="34" t="s">
        <v>2440</v>
      </c>
      <c r="B151" s="34" t="s">
        <v>2165</v>
      </c>
      <c r="C151" s="42" t="n">
        <v>2022</v>
      </c>
      <c r="D151" s="35" t="s">
        <v>2127</v>
      </c>
      <c r="E151" s="35" t="s">
        <v>2128</v>
      </c>
      <c r="F151" s="34" t="s">
        <v>2116</v>
      </c>
      <c r="G151" s="34" t="s">
        <v>2105</v>
      </c>
      <c r="H151" s="37" t="n">
        <v>404</v>
      </c>
      <c r="I151" s="37" t="n">
        <v>3999</v>
      </c>
      <c r="J151" s="37" t="n">
        <f aca="false">H151*I151</f>
        <v>1615596</v>
      </c>
      <c r="K151" s="37" t="n">
        <f aca="false">J151*0.46</f>
        <v>743174.16</v>
      </c>
      <c r="L151" s="37" t="n">
        <f aca="false">J151-K151</f>
        <v>872421.84</v>
      </c>
      <c r="M151" s="38" t="n">
        <f aca="false">IF(J151=0,0,L151/J151)</f>
        <v>0.54</v>
      </c>
      <c r="N151" s="38" t="n">
        <v>0.02</v>
      </c>
      <c r="O151" s="37" t="n">
        <f aca="false">J151*(1-N151)</f>
        <v>1583284.08</v>
      </c>
      <c r="P151" s="37" t="n">
        <v>20</v>
      </c>
      <c r="Q151" s="38" t="n">
        <f aca="false">IF(H151=0,0,P151/H151)</f>
        <v>0.0495049504950495</v>
      </c>
      <c r="R151" s="35" t="s">
        <v>2441</v>
      </c>
      <c r="S151" s="34" t="s">
        <v>2098</v>
      </c>
      <c r="T151" s="34" t="s">
        <v>2124</v>
      </c>
    </row>
    <row r="152" customFormat="false" ht="15" hidden="false" customHeight="false" outlineLevel="0" collapsed="false">
      <c r="A152" s="43" t="s">
        <v>2442</v>
      </c>
      <c r="B152" s="43" t="s">
        <v>2101</v>
      </c>
      <c r="C152" s="51" t="n">
        <v>2024</v>
      </c>
      <c r="D152" s="44" t="s">
        <v>2115</v>
      </c>
      <c r="E152" s="44" t="s">
        <v>2103</v>
      </c>
      <c r="F152" s="43" t="s">
        <v>2142</v>
      </c>
      <c r="G152" s="43" t="s">
        <v>2096</v>
      </c>
      <c r="H152" s="46" t="n">
        <v>120</v>
      </c>
      <c r="I152" s="46" t="n">
        <v>299</v>
      </c>
      <c r="J152" s="46" t="n">
        <f aca="false">H152*I152</f>
        <v>35880</v>
      </c>
      <c r="K152" s="46" t="n">
        <f aca="false">J152*0.47</f>
        <v>16863.6</v>
      </c>
      <c r="L152" s="46" t="n">
        <f aca="false">J152-K152</f>
        <v>19016.4</v>
      </c>
      <c r="M152" s="47" t="n">
        <f aca="false">IF(J152=0,0,L152/J152)</f>
        <v>0.53</v>
      </c>
      <c r="N152" s="47" t="n">
        <v>0.11</v>
      </c>
      <c r="O152" s="46" t="n">
        <f aca="false">J152*(1-N152)</f>
        <v>31933.2</v>
      </c>
      <c r="P152" s="46" t="n">
        <v>3</v>
      </c>
      <c r="Q152" s="47" t="n">
        <f aca="false">IF(H152=0,0,P152/H152)</f>
        <v>0.025</v>
      </c>
      <c r="R152" s="44" t="s">
        <v>2443</v>
      </c>
      <c r="S152" s="43" t="s">
        <v>2107</v>
      </c>
      <c r="T152" s="43" t="s">
        <v>2099</v>
      </c>
    </row>
    <row r="153" customFormat="false" ht="15" hidden="false" customHeight="false" outlineLevel="0" collapsed="false">
      <c r="A153" s="34" t="s">
        <v>2444</v>
      </c>
      <c r="B153" s="34" t="s">
        <v>2156</v>
      </c>
      <c r="C153" s="42" t="n">
        <v>2024</v>
      </c>
      <c r="D153" s="35" t="s">
        <v>2180</v>
      </c>
      <c r="E153" s="35" t="s">
        <v>2181</v>
      </c>
      <c r="F153" s="34" t="s">
        <v>2095</v>
      </c>
      <c r="G153" s="34" t="s">
        <v>2129</v>
      </c>
      <c r="H153" s="37" t="n">
        <v>8</v>
      </c>
      <c r="I153" s="37" t="n">
        <v>12999</v>
      </c>
      <c r="J153" s="37" t="n">
        <f aca="false">H153*I153</f>
        <v>103992</v>
      </c>
      <c r="K153" s="37" t="n">
        <f aca="false">J153*0.61</f>
        <v>63435.12</v>
      </c>
      <c r="L153" s="37" t="n">
        <f aca="false">J153-K153</f>
        <v>40556.88</v>
      </c>
      <c r="M153" s="38" t="n">
        <f aca="false">IF(J153=0,0,L153/J153)</f>
        <v>0.39</v>
      </c>
      <c r="N153" s="38" t="n">
        <v>0.14</v>
      </c>
      <c r="O153" s="37" t="n">
        <f aca="false">J153*(1-N153)</f>
        <v>89433.12</v>
      </c>
      <c r="P153" s="37" t="n">
        <v>0</v>
      </c>
      <c r="Q153" s="38" t="n">
        <f aca="false">IF(H153=0,0,P153/H153)</f>
        <v>0</v>
      </c>
      <c r="R153" s="35" t="s">
        <v>2445</v>
      </c>
      <c r="S153" s="34" t="s">
        <v>2118</v>
      </c>
      <c r="T153" s="34" t="s">
        <v>2124</v>
      </c>
    </row>
    <row r="154" customFormat="false" ht="15" hidden="false" customHeight="false" outlineLevel="0" collapsed="false">
      <c r="A154" s="43" t="s">
        <v>2446</v>
      </c>
      <c r="B154" s="43" t="s">
        <v>2162</v>
      </c>
      <c r="C154" s="51" t="n">
        <v>2022</v>
      </c>
      <c r="D154" s="44" t="s">
        <v>2133</v>
      </c>
      <c r="E154" s="44" t="s">
        <v>2103</v>
      </c>
      <c r="F154" s="43" t="s">
        <v>2175</v>
      </c>
      <c r="G154" s="43" t="s">
        <v>2134</v>
      </c>
      <c r="H154" s="46" t="n">
        <v>419</v>
      </c>
      <c r="I154" s="46" t="n">
        <v>799</v>
      </c>
      <c r="J154" s="46" t="n">
        <f aca="false">H154*I154</f>
        <v>334781</v>
      </c>
      <c r="K154" s="46" t="n">
        <f aca="false">J154*0.48</f>
        <v>160694.88</v>
      </c>
      <c r="L154" s="46" t="n">
        <f aca="false">J154-K154</f>
        <v>174086.12</v>
      </c>
      <c r="M154" s="47" t="n">
        <f aca="false">IF(J154=0,0,L154/J154)</f>
        <v>0.52</v>
      </c>
      <c r="N154" s="47" t="n">
        <v>0.07</v>
      </c>
      <c r="O154" s="46" t="n">
        <f aca="false">J154*(1-N154)</f>
        <v>311346.33</v>
      </c>
      <c r="P154" s="46" t="n">
        <v>19</v>
      </c>
      <c r="Q154" s="47" t="n">
        <f aca="false">IF(H154=0,0,P154/H154)</f>
        <v>0.045346062052506</v>
      </c>
      <c r="R154" s="44" t="s">
        <v>2447</v>
      </c>
      <c r="S154" s="43" t="s">
        <v>2107</v>
      </c>
      <c r="T154" s="43" t="s">
        <v>2099</v>
      </c>
    </row>
    <row r="155" customFormat="false" ht="15" hidden="false" customHeight="false" outlineLevel="0" collapsed="false">
      <c r="A155" s="34" t="s">
        <v>2448</v>
      </c>
      <c r="B155" s="34" t="s">
        <v>2092</v>
      </c>
      <c r="C155" s="42" t="n">
        <v>2022</v>
      </c>
      <c r="D155" s="35" t="s">
        <v>2207</v>
      </c>
      <c r="E155" s="35" t="s">
        <v>2208</v>
      </c>
      <c r="F155" s="34" t="s">
        <v>2194</v>
      </c>
      <c r="G155" s="34" t="s">
        <v>2157</v>
      </c>
      <c r="H155" s="37" t="n">
        <v>167</v>
      </c>
      <c r="I155" s="37" t="n">
        <v>7999</v>
      </c>
      <c r="J155" s="37" t="n">
        <f aca="false">H155*I155</f>
        <v>1335833</v>
      </c>
      <c r="K155" s="37" t="n">
        <f aca="false">J155*0.69</f>
        <v>921724.77</v>
      </c>
      <c r="L155" s="37" t="n">
        <f aca="false">J155-K155</f>
        <v>414108.23</v>
      </c>
      <c r="M155" s="38" t="n">
        <f aca="false">IF(J155=0,0,L155/J155)</f>
        <v>0.31</v>
      </c>
      <c r="N155" s="38" t="n">
        <v>0.09</v>
      </c>
      <c r="O155" s="37" t="n">
        <f aca="false">J155*(1-N155)</f>
        <v>1215608.03</v>
      </c>
      <c r="P155" s="37" t="n">
        <v>2</v>
      </c>
      <c r="Q155" s="38" t="n">
        <f aca="false">IF(H155=0,0,P155/H155)</f>
        <v>0.0119760479041916</v>
      </c>
      <c r="R155" s="35" t="s">
        <v>2449</v>
      </c>
      <c r="S155" s="34" t="s">
        <v>2098</v>
      </c>
      <c r="T155" s="34" t="s">
        <v>2099</v>
      </c>
    </row>
    <row r="156" customFormat="false" ht="15" hidden="false" customHeight="false" outlineLevel="0" collapsed="false">
      <c r="A156" s="43" t="s">
        <v>2450</v>
      </c>
      <c r="B156" s="43" t="s">
        <v>2132</v>
      </c>
      <c r="C156" s="51" t="n">
        <v>2022</v>
      </c>
      <c r="D156" s="44" t="s">
        <v>2109</v>
      </c>
      <c r="E156" s="44" t="s">
        <v>2110</v>
      </c>
      <c r="F156" s="43" t="s">
        <v>2095</v>
      </c>
      <c r="G156" s="43" t="s">
        <v>2105</v>
      </c>
      <c r="H156" s="46" t="n">
        <v>33</v>
      </c>
      <c r="I156" s="46" t="n">
        <v>7999</v>
      </c>
      <c r="J156" s="46" t="n">
        <f aca="false">H156*I156</f>
        <v>263967</v>
      </c>
      <c r="K156" s="46" t="n">
        <f aca="false">J156*0.52</f>
        <v>137262.84</v>
      </c>
      <c r="L156" s="46" t="n">
        <f aca="false">J156-K156</f>
        <v>126704.16</v>
      </c>
      <c r="M156" s="47" t="n">
        <f aca="false">IF(J156=0,0,L156/J156)</f>
        <v>0.48</v>
      </c>
      <c r="N156" s="47" t="n">
        <v>0.11</v>
      </c>
      <c r="O156" s="46" t="n">
        <f aca="false">J156*(1-N156)</f>
        <v>234930.63</v>
      </c>
      <c r="P156" s="46" t="n">
        <v>0</v>
      </c>
      <c r="Q156" s="47" t="n">
        <f aca="false">IF(H156=0,0,P156/H156)</f>
        <v>0</v>
      </c>
      <c r="R156" s="44" t="s">
        <v>2451</v>
      </c>
      <c r="S156" s="43" t="s">
        <v>2136</v>
      </c>
      <c r="T156" s="43" t="s">
        <v>2099</v>
      </c>
    </row>
    <row r="157" customFormat="false" ht="15" hidden="false" customHeight="false" outlineLevel="0" collapsed="false">
      <c r="A157" s="34" t="s">
        <v>2452</v>
      </c>
      <c r="B157" s="34" t="s">
        <v>2114</v>
      </c>
      <c r="C157" s="42" t="n">
        <v>2022</v>
      </c>
      <c r="D157" s="35" t="s">
        <v>2121</v>
      </c>
      <c r="E157" s="35" t="s">
        <v>2122</v>
      </c>
      <c r="F157" s="34" t="s">
        <v>2095</v>
      </c>
      <c r="G157" s="34" t="s">
        <v>2096</v>
      </c>
      <c r="H157" s="37" t="n">
        <v>21</v>
      </c>
      <c r="I157" s="37" t="n">
        <v>12999</v>
      </c>
      <c r="J157" s="37" t="n">
        <f aca="false">H157*I157</f>
        <v>272979</v>
      </c>
      <c r="K157" s="37" t="n">
        <f aca="false">J157*0.47</f>
        <v>128300.13</v>
      </c>
      <c r="L157" s="37" t="n">
        <f aca="false">J157-K157</f>
        <v>144678.87</v>
      </c>
      <c r="M157" s="38" t="n">
        <f aca="false">IF(J157=0,0,L157/J157)</f>
        <v>0.53</v>
      </c>
      <c r="N157" s="38" t="n">
        <v>0.13</v>
      </c>
      <c r="O157" s="37" t="n">
        <f aca="false">J157*(1-N157)</f>
        <v>237491.73</v>
      </c>
      <c r="P157" s="37" t="n">
        <v>1</v>
      </c>
      <c r="Q157" s="38" t="n">
        <f aca="false">IF(H157=0,0,P157/H157)</f>
        <v>0.0476190476190476</v>
      </c>
      <c r="R157" s="35" t="s">
        <v>2453</v>
      </c>
      <c r="S157" s="34" t="s">
        <v>2118</v>
      </c>
      <c r="T157" s="34" t="s">
        <v>2099</v>
      </c>
    </row>
    <row r="158" customFormat="false" ht="15" hidden="false" customHeight="false" outlineLevel="0" collapsed="false">
      <c r="A158" s="43" t="s">
        <v>2454</v>
      </c>
      <c r="B158" s="43" t="s">
        <v>2165</v>
      </c>
      <c r="C158" s="51" t="n">
        <v>2023</v>
      </c>
      <c r="D158" s="44" t="s">
        <v>2149</v>
      </c>
      <c r="E158" s="44" t="s">
        <v>2128</v>
      </c>
      <c r="F158" s="43" t="s">
        <v>2116</v>
      </c>
      <c r="G158" s="43" t="s">
        <v>2134</v>
      </c>
      <c r="H158" s="46" t="n">
        <v>92</v>
      </c>
      <c r="I158" s="46" t="n">
        <v>299</v>
      </c>
      <c r="J158" s="46" t="n">
        <f aca="false">H158*I158</f>
        <v>27508</v>
      </c>
      <c r="K158" s="46" t="n">
        <f aca="false">J158*0.47</f>
        <v>12928.76</v>
      </c>
      <c r="L158" s="46" t="n">
        <f aca="false">J158-K158</f>
        <v>14579.24</v>
      </c>
      <c r="M158" s="47" t="n">
        <f aca="false">IF(J158=0,0,L158/J158)</f>
        <v>0.53</v>
      </c>
      <c r="N158" s="47" t="n">
        <v>0.1</v>
      </c>
      <c r="O158" s="46" t="n">
        <f aca="false">J158*(1-N158)</f>
        <v>24757.2</v>
      </c>
      <c r="P158" s="46" t="n">
        <v>2</v>
      </c>
      <c r="Q158" s="47" t="n">
        <f aca="false">IF(H158=0,0,P158/H158)</f>
        <v>0.0217391304347826</v>
      </c>
      <c r="R158" s="44" t="s">
        <v>2455</v>
      </c>
      <c r="S158" s="43" t="s">
        <v>2098</v>
      </c>
      <c r="T158" s="43" t="s">
        <v>2124</v>
      </c>
    </row>
    <row r="159" customFormat="false" ht="15" hidden="false" customHeight="false" outlineLevel="0" collapsed="false">
      <c r="A159" s="34" t="s">
        <v>2456</v>
      </c>
      <c r="B159" s="34" t="s">
        <v>2126</v>
      </c>
      <c r="C159" s="42" t="n">
        <v>2023</v>
      </c>
      <c r="D159" s="35" t="s">
        <v>2174</v>
      </c>
      <c r="E159" s="35" t="s">
        <v>2103</v>
      </c>
      <c r="F159" s="34" t="s">
        <v>2095</v>
      </c>
      <c r="G159" s="34" t="s">
        <v>2129</v>
      </c>
      <c r="H159" s="37" t="n">
        <v>74</v>
      </c>
      <c r="I159" s="37" t="n">
        <v>24999</v>
      </c>
      <c r="J159" s="37" t="n">
        <f aca="false">H159*I159</f>
        <v>1849926</v>
      </c>
      <c r="K159" s="37" t="n">
        <f aca="false">J159*0.52</f>
        <v>961961.52</v>
      </c>
      <c r="L159" s="37" t="n">
        <f aca="false">J159-K159</f>
        <v>887964.48</v>
      </c>
      <c r="M159" s="38" t="n">
        <f aca="false">IF(J159=0,0,L159/J159)</f>
        <v>0.48</v>
      </c>
      <c r="N159" s="38" t="n">
        <v>0.07</v>
      </c>
      <c r="O159" s="37" t="n">
        <f aca="false">J159*(1-N159)</f>
        <v>1720431.18</v>
      </c>
      <c r="P159" s="37" t="n">
        <v>1</v>
      </c>
      <c r="Q159" s="38" t="n">
        <f aca="false">IF(H159=0,0,P159/H159)</f>
        <v>0.0135135135135135</v>
      </c>
      <c r="R159" s="35" t="s">
        <v>2457</v>
      </c>
      <c r="S159" s="34" t="s">
        <v>2107</v>
      </c>
      <c r="T159" s="34" t="s">
        <v>2099</v>
      </c>
    </row>
    <row r="160" customFormat="false" ht="15" hidden="false" customHeight="false" outlineLevel="0" collapsed="false">
      <c r="A160" s="43" t="s">
        <v>2458</v>
      </c>
      <c r="B160" s="43" t="s">
        <v>2162</v>
      </c>
      <c r="C160" s="51" t="n">
        <v>2024</v>
      </c>
      <c r="D160" s="44" t="s">
        <v>2180</v>
      </c>
      <c r="E160" s="44" t="s">
        <v>2181</v>
      </c>
      <c r="F160" s="43" t="s">
        <v>2175</v>
      </c>
      <c r="G160" s="43" t="s">
        <v>2129</v>
      </c>
      <c r="H160" s="46" t="n">
        <v>368</v>
      </c>
      <c r="I160" s="46" t="n">
        <v>9999</v>
      </c>
      <c r="J160" s="46" t="n">
        <f aca="false">H160*I160</f>
        <v>3679632</v>
      </c>
      <c r="K160" s="46" t="n">
        <f aca="false">J160*0.6</f>
        <v>2207779.2</v>
      </c>
      <c r="L160" s="46" t="n">
        <f aca="false">J160-K160</f>
        <v>1471852.8</v>
      </c>
      <c r="M160" s="47" t="n">
        <f aca="false">IF(J160=0,0,L160/J160)</f>
        <v>0.4</v>
      </c>
      <c r="N160" s="47" t="n">
        <v>0.01</v>
      </c>
      <c r="O160" s="46" t="n">
        <f aca="false">J160*(1-N160)</f>
        <v>3642835.68</v>
      </c>
      <c r="P160" s="46" t="n">
        <v>9</v>
      </c>
      <c r="Q160" s="47" t="n">
        <f aca="false">IF(H160=0,0,P160/H160)</f>
        <v>0.0244565217391304</v>
      </c>
      <c r="R160" s="44" t="s">
        <v>2459</v>
      </c>
      <c r="S160" s="43" t="s">
        <v>2107</v>
      </c>
      <c r="T160" s="43" t="s">
        <v>2099</v>
      </c>
    </row>
    <row r="161" customFormat="false" ht="15" hidden="false" customHeight="false" outlineLevel="0" collapsed="false">
      <c r="A161" s="34" t="s">
        <v>2460</v>
      </c>
      <c r="B161" s="34" t="s">
        <v>2213</v>
      </c>
      <c r="C161" s="42" t="n">
        <v>2022</v>
      </c>
      <c r="D161" s="35" t="s">
        <v>2102</v>
      </c>
      <c r="E161" s="35" t="s">
        <v>2103</v>
      </c>
      <c r="F161" s="34" t="s">
        <v>2095</v>
      </c>
      <c r="G161" s="34" t="s">
        <v>2129</v>
      </c>
      <c r="H161" s="37" t="n">
        <v>61</v>
      </c>
      <c r="I161" s="37" t="n">
        <v>1999</v>
      </c>
      <c r="J161" s="37" t="n">
        <f aca="false">H161*I161</f>
        <v>121939</v>
      </c>
      <c r="K161" s="37" t="n">
        <f aca="false">J161*0.69</f>
        <v>84137.91</v>
      </c>
      <c r="L161" s="37" t="n">
        <f aca="false">J161-K161</f>
        <v>37801.09</v>
      </c>
      <c r="M161" s="38" t="n">
        <f aca="false">IF(J161=0,0,L161/J161)</f>
        <v>0.31</v>
      </c>
      <c r="N161" s="38" t="n">
        <v>0.09</v>
      </c>
      <c r="O161" s="37" t="n">
        <f aca="false">J161*(1-N161)</f>
        <v>110964.49</v>
      </c>
      <c r="P161" s="37" t="n">
        <v>1</v>
      </c>
      <c r="Q161" s="38" t="n">
        <f aca="false">IF(H161=0,0,P161/H161)</f>
        <v>0.0163934426229508</v>
      </c>
      <c r="R161" s="35" t="s">
        <v>2461</v>
      </c>
      <c r="S161" s="34" t="s">
        <v>2118</v>
      </c>
      <c r="T161" s="34" t="s">
        <v>2124</v>
      </c>
    </row>
    <row r="162" customFormat="false" ht="15" hidden="false" customHeight="false" outlineLevel="0" collapsed="false">
      <c r="A162" s="43" t="s">
        <v>2462</v>
      </c>
      <c r="B162" s="43" t="s">
        <v>2101</v>
      </c>
      <c r="C162" s="51" t="n">
        <v>2024</v>
      </c>
      <c r="D162" s="44" t="s">
        <v>2138</v>
      </c>
      <c r="E162" s="44" t="s">
        <v>2128</v>
      </c>
      <c r="F162" s="43" t="s">
        <v>2194</v>
      </c>
      <c r="G162" s="43" t="s">
        <v>2134</v>
      </c>
      <c r="H162" s="46" t="n">
        <v>100</v>
      </c>
      <c r="I162" s="46" t="n">
        <v>7999</v>
      </c>
      <c r="J162" s="46" t="n">
        <f aca="false">H162*I162</f>
        <v>799900</v>
      </c>
      <c r="K162" s="46" t="n">
        <f aca="false">J162*0.65</f>
        <v>519935</v>
      </c>
      <c r="L162" s="46" t="n">
        <f aca="false">J162-K162</f>
        <v>279965</v>
      </c>
      <c r="M162" s="47" t="n">
        <f aca="false">IF(J162=0,0,L162/J162)</f>
        <v>0.35</v>
      </c>
      <c r="N162" s="47" t="n">
        <v>0.1</v>
      </c>
      <c r="O162" s="46" t="n">
        <f aca="false">J162*(1-N162)</f>
        <v>719910</v>
      </c>
      <c r="P162" s="46" t="n">
        <v>3</v>
      </c>
      <c r="Q162" s="47" t="n">
        <f aca="false">IF(H162=0,0,P162/H162)</f>
        <v>0.03</v>
      </c>
      <c r="R162" s="44" t="s">
        <v>2463</v>
      </c>
      <c r="S162" s="43" t="s">
        <v>2107</v>
      </c>
      <c r="T162" s="43" t="s">
        <v>2124</v>
      </c>
    </row>
    <row r="163" customFormat="false" ht="15" hidden="false" customHeight="false" outlineLevel="0" collapsed="false">
      <c r="A163" s="34" t="s">
        <v>2464</v>
      </c>
      <c r="B163" s="34" t="s">
        <v>2120</v>
      </c>
      <c r="C163" s="42" t="n">
        <v>2022</v>
      </c>
      <c r="D163" s="35" t="s">
        <v>2093</v>
      </c>
      <c r="E163" s="35" t="s">
        <v>2094</v>
      </c>
      <c r="F163" s="34" t="s">
        <v>2116</v>
      </c>
      <c r="G163" s="34" t="s">
        <v>2134</v>
      </c>
      <c r="H163" s="37" t="n">
        <v>331</v>
      </c>
      <c r="I163" s="37" t="n">
        <v>8999</v>
      </c>
      <c r="J163" s="37" t="n">
        <f aca="false">H163*I163</f>
        <v>2978669</v>
      </c>
      <c r="K163" s="37" t="n">
        <f aca="false">J163*0.52</f>
        <v>1548907.88</v>
      </c>
      <c r="L163" s="37" t="n">
        <f aca="false">J163-K163</f>
        <v>1429761.12</v>
      </c>
      <c r="M163" s="38" t="n">
        <f aca="false">IF(J163=0,0,L163/J163)</f>
        <v>0.48</v>
      </c>
      <c r="N163" s="38" t="n">
        <v>0.07</v>
      </c>
      <c r="O163" s="37" t="n">
        <f aca="false">J163*(1-N163)</f>
        <v>2770162.17</v>
      </c>
      <c r="P163" s="37" t="n">
        <v>10</v>
      </c>
      <c r="Q163" s="38" t="n">
        <f aca="false">IF(H163=0,0,P163/H163)</f>
        <v>0.0302114803625378</v>
      </c>
      <c r="R163" s="35" t="s">
        <v>2465</v>
      </c>
      <c r="S163" s="34" t="s">
        <v>2098</v>
      </c>
      <c r="T163" s="34" t="s">
        <v>2124</v>
      </c>
    </row>
    <row r="164" customFormat="false" ht="15" hidden="false" customHeight="false" outlineLevel="0" collapsed="false">
      <c r="A164" s="43" t="s">
        <v>2466</v>
      </c>
      <c r="B164" s="43" t="s">
        <v>2165</v>
      </c>
      <c r="C164" s="51" t="n">
        <v>2022</v>
      </c>
      <c r="D164" s="44" t="s">
        <v>2174</v>
      </c>
      <c r="E164" s="44" t="s">
        <v>2103</v>
      </c>
      <c r="F164" s="43" t="s">
        <v>2116</v>
      </c>
      <c r="G164" s="43" t="s">
        <v>2096</v>
      </c>
      <c r="H164" s="46" t="n">
        <v>91</v>
      </c>
      <c r="I164" s="46" t="n">
        <v>12999</v>
      </c>
      <c r="J164" s="46" t="n">
        <f aca="false">H164*I164</f>
        <v>1182909</v>
      </c>
      <c r="K164" s="46" t="n">
        <f aca="false">J164*0.65</f>
        <v>768890.85</v>
      </c>
      <c r="L164" s="46" t="n">
        <f aca="false">J164-K164</f>
        <v>414018.15</v>
      </c>
      <c r="M164" s="47" t="n">
        <f aca="false">IF(J164=0,0,L164/J164)</f>
        <v>0.35</v>
      </c>
      <c r="N164" s="47" t="n">
        <v>0.07</v>
      </c>
      <c r="O164" s="46" t="n">
        <f aca="false">J164*(1-N164)</f>
        <v>1100105.37</v>
      </c>
      <c r="P164" s="46" t="n">
        <v>0</v>
      </c>
      <c r="Q164" s="47" t="n">
        <f aca="false">IF(H164=0,0,P164/H164)</f>
        <v>0</v>
      </c>
      <c r="R164" s="44" t="s">
        <v>2467</v>
      </c>
      <c r="S164" s="43" t="s">
        <v>2098</v>
      </c>
      <c r="T164" s="43" t="s">
        <v>2099</v>
      </c>
    </row>
    <row r="165" customFormat="false" ht="15" hidden="false" customHeight="false" outlineLevel="0" collapsed="false">
      <c r="A165" s="34" t="s">
        <v>2468</v>
      </c>
      <c r="B165" s="34" t="s">
        <v>2132</v>
      </c>
      <c r="C165" s="42" t="n">
        <v>2024</v>
      </c>
      <c r="D165" s="35" t="s">
        <v>2121</v>
      </c>
      <c r="E165" s="35" t="s">
        <v>2122</v>
      </c>
      <c r="F165" s="34" t="s">
        <v>2175</v>
      </c>
      <c r="G165" s="34" t="s">
        <v>2096</v>
      </c>
      <c r="H165" s="37" t="n">
        <v>167</v>
      </c>
      <c r="I165" s="37" t="n">
        <v>15999</v>
      </c>
      <c r="J165" s="37" t="n">
        <f aca="false">H165*I165</f>
        <v>2671833</v>
      </c>
      <c r="K165" s="37" t="n">
        <f aca="false">J165*0.5</f>
        <v>1335916.5</v>
      </c>
      <c r="L165" s="37" t="n">
        <f aca="false">J165-K165</f>
        <v>1335916.5</v>
      </c>
      <c r="M165" s="38" t="n">
        <f aca="false">IF(J165=0,0,L165/J165)</f>
        <v>0.5</v>
      </c>
      <c r="N165" s="38" t="n">
        <v>0.1</v>
      </c>
      <c r="O165" s="37" t="n">
        <f aca="false">J165*(1-N165)</f>
        <v>2404649.7</v>
      </c>
      <c r="P165" s="37" t="n">
        <v>5</v>
      </c>
      <c r="Q165" s="38" t="n">
        <f aca="false">IF(H165=0,0,P165/H165)</f>
        <v>0.029940119760479</v>
      </c>
      <c r="R165" s="35" t="s">
        <v>2469</v>
      </c>
      <c r="S165" s="34" t="s">
        <v>2136</v>
      </c>
      <c r="T165" s="34" t="s">
        <v>2099</v>
      </c>
    </row>
    <row r="166" customFormat="false" ht="15" hidden="false" customHeight="false" outlineLevel="0" collapsed="false">
      <c r="A166" s="43" t="s">
        <v>2470</v>
      </c>
      <c r="B166" s="43" t="s">
        <v>2092</v>
      </c>
      <c r="C166" s="51" t="n">
        <v>2023</v>
      </c>
      <c r="D166" s="44" t="s">
        <v>2138</v>
      </c>
      <c r="E166" s="44" t="s">
        <v>2128</v>
      </c>
      <c r="F166" s="43" t="s">
        <v>2116</v>
      </c>
      <c r="G166" s="43" t="s">
        <v>2129</v>
      </c>
      <c r="H166" s="46" t="n">
        <v>378</v>
      </c>
      <c r="I166" s="46" t="n">
        <v>15999</v>
      </c>
      <c r="J166" s="46" t="n">
        <f aca="false">H166*I166</f>
        <v>6047622</v>
      </c>
      <c r="K166" s="46" t="n">
        <f aca="false">J166*0.67</f>
        <v>4051906.74</v>
      </c>
      <c r="L166" s="46" t="n">
        <f aca="false">J166-K166</f>
        <v>1995715.26</v>
      </c>
      <c r="M166" s="47" t="n">
        <f aca="false">IF(J166=0,0,L166/J166)</f>
        <v>0.33</v>
      </c>
      <c r="N166" s="47" t="n">
        <v>0.06</v>
      </c>
      <c r="O166" s="46" t="n">
        <f aca="false">J166*(1-N166)</f>
        <v>5684764.68</v>
      </c>
      <c r="P166" s="46" t="n">
        <v>7</v>
      </c>
      <c r="Q166" s="47" t="n">
        <f aca="false">IF(H166=0,0,P166/H166)</f>
        <v>0.0185185185185185</v>
      </c>
      <c r="R166" s="44" t="s">
        <v>2471</v>
      </c>
      <c r="S166" s="43" t="s">
        <v>2098</v>
      </c>
      <c r="T166" s="43" t="s">
        <v>2099</v>
      </c>
    </row>
    <row r="167" customFormat="false" ht="15" hidden="false" customHeight="false" outlineLevel="0" collapsed="false">
      <c r="A167" s="34" t="s">
        <v>2472</v>
      </c>
      <c r="B167" s="34" t="s">
        <v>2156</v>
      </c>
      <c r="C167" s="42" t="n">
        <v>2024</v>
      </c>
      <c r="D167" s="35" t="s">
        <v>2121</v>
      </c>
      <c r="E167" s="35" t="s">
        <v>2122</v>
      </c>
      <c r="F167" s="34" t="s">
        <v>2116</v>
      </c>
      <c r="G167" s="34" t="s">
        <v>2157</v>
      </c>
      <c r="H167" s="37" t="n">
        <v>75</v>
      </c>
      <c r="I167" s="37" t="n">
        <v>2499</v>
      </c>
      <c r="J167" s="37" t="n">
        <f aca="false">H167*I167</f>
        <v>187425</v>
      </c>
      <c r="K167" s="37" t="n">
        <f aca="false">J167*0.68</f>
        <v>127449</v>
      </c>
      <c r="L167" s="37" t="n">
        <f aca="false">J167-K167</f>
        <v>59976</v>
      </c>
      <c r="M167" s="38" t="n">
        <f aca="false">IF(J167=0,0,L167/J167)</f>
        <v>0.32</v>
      </c>
      <c r="N167" s="38" t="n">
        <v>0.07</v>
      </c>
      <c r="O167" s="37" t="n">
        <f aca="false">J167*(1-N167)</f>
        <v>174305.25</v>
      </c>
      <c r="P167" s="37" t="n">
        <v>3</v>
      </c>
      <c r="Q167" s="38" t="n">
        <f aca="false">IF(H167=0,0,P167/H167)</f>
        <v>0.04</v>
      </c>
      <c r="R167" s="35" t="s">
        <v>2473</v>
      </c>
      <c r="S167" s="34" t="s">
        <v>2118</v>
      </c>
      <c r="T167" s="34" t="s">
        <v>2099</v>
      </c>
    </row>
    <row r="168" customFormat="false" ht="15" hidden="false" customHeight="false" outlineLevel="0" collapsed="false">
      <c r="A168" s="43" t="s">
        <v>2474</v>
      </c>
      <c r="B168" s="43" t="s">
        <v>2120</v>
      </c>
      <c r="C168" s="51" t="n">
        <v>2023</v>
      </c>
      <c r="D168" s="44" t="s">
        <v>2174</v>
      </c>
      <c r="E168" s="44" t="s">
        <v>2103</v>
      </c>
      <c r="F168" s="43" t="s">
        <v>2095</v>
      </c>
      <c r="G168" s="43" t="s">
        <v>2105</v>
      </c>
      <c r="H168" s="46" t="n">
        <v>500</v>
      </c>
      <c r="I168" s="46" t="n">
        <v>35999</v>
      </c>
      <c r="J168" s="46" t="n">
        <f aca="false">H168*I168</f>
        <v>17999500</v>
      </c>
      <c r="K168" s="46" t="n">
        <f aca="false">J168*0.5</f>
        <v>8999750</v>
      </c>
      <c r="L168" s="46" t="n">
        <f aca="false">J168-K168</f>
        <v>8999750</v>
      </c>
      <c r="M168" s="47" t="n">
        <f aca="false">IF(J168=0,0,L168/J168)</f>
        <v>0.5</v>
      </c>
      <c r="N168" s="47" t="n">
        <v>0.02</v>
      </c>
      <c r="O168" s="46" t="n">
        <f aca="false">J168*(1-N168)</f>
        <v>17639510</v>
      </c>
      <c r="P168" s="46" t="n">
        <v>22</v>
      </c>
      <c r="Q168" s="47" t="n">
        <f aca="false">IF(H168=0,0,P168/H168)</f>
        <v>0.044</v>
      </c>
      <c r="R168" s="44" t="s">
        <v>2475</v>
      </c>
      <c r="S168" s="43" t="s">
        <v>2098</v>
      </c>
      <c r="T168" s="43" t="s">
        <v>2099</v>
      </c>
    </row>
    <row r="169" customFormat="false" ht="15" hidden="false" customHeight="false" outlineLevel="0" collapsed="false">
      <c r="A169" s="34" t="s">
        <v>2476</v>
      </c>
      <c r="B169" s="34" t="s">
        <v>2148</v>
      </c>
      <c r="C169" s="42" t="n">
        <v>2022</v>
      </c>
      <c r="D169" s="35" t="s">
        <v>2149</v>
      </c>
      <c r="E169" s="35" t="s">
        <v>2128</v>
      </c>
      <c r="F169" s="34" t="s">
        <v>2104</v>
      </c>
      <c r="G169" s="34" t="s">
        <v>2157</v>
      </c>
      <c r="H169" s="37" t="n">
        <v>235</v>
      </c>
      <c r="I169" s="37" t="n">
        <v>15999</v>
      </c>
      <c r="J169" s="37" t="n">
        <f aca="false">H169*I169</f>
        <v>3759765</v>
      </c>
      <c r="K169" s="37" t="n">
        <f aca="false">J169*0.49</f>
        <v>1842284.85</v>
      </c>
      <c r="L169" s="37" t="n">
        <f aca="false">J169-K169</f>
        <v>1917480.15</v>
      </c>
      <c r="M169" s="38" t="n">
        <f aca="false">IF(J169=0,0,L169/J169)</f>
        <v>0.51</v>
      </c>
      <c r="N169" s="38" t="n">
        <v>0.05</v>
      </c>
      <c r="O169" s="37" t="n">
        <f aca="false">J169*(1-N169)</f>
        <v>3571776.75</v>
      </c>
      <c r="P169" s="37" t="n">
        <v>4</v>
      </c>
      <c r="Q169" s="38" t="n">
        <f aca="false">IF(H169=0,0,P169/H169)</f>
        <v>0.0170212765957447</v>
      </c>
      <c r="R169" s="35" t="s">
        <v>2477</v>
      </c>
      <c r="S169" s="34" t="s">
        <v>2136</v>
      </c>
      <c r="T169" s="34" t="s">
        <v>2099</v>
      </c>
    </row>
    <row r="170" customFormat="false" ht="15" hidden="false" customHeight="false" outlineLevel="0" collapsed="false">
      <c r="A170" s="43" t="s">
        <v>2478</v>
      </c>
      <c r="B170" s="43" t="s">
        <v>2101</v>
      </c>
      <c r="C170" s="51" t="n">
        <v>2024</v>
      </c>
      <c r="D170" s="44" t="s">
        <v>2145</v>
      </c>
      <c r="E170" s="44" t="s">
        <v>2103</v>
      </c>
      <c r="F170" s="43" t="s">
        <v>2095</v>
      </c>
      <c r="G170" s="43" t="s">
        <v>2096</v>
      </c>
      <c r="H170" s="46" t="n">
        <v>497</v>
      </c>
      <c r="I170" s="46" t="n">
        <v>1999</v>
      </c>
      <c r="J170" s="46" t="n">
        <f aca="false">H170*I170</f>
        <v>993503</v>
      </c>
      <c r="K170" s="46" t="n">
        <f aca="false">J170*0.66</f>
        <v>655711.98</v>
      </c>
      <c r="L170" s="46" t="n">
        <f aca="false">J170-K170</f>
        <v>337791.02</v>
      </c>
      <c r="M170" s="47" t="n">
        <f aca="false">IF(J170=0,0,L170/J170)</f>
        <v>0.34</v>
      </c>
      <c r="N170" s="47" t="n">
        <v>0.01</v>
      </c>
      <c r="O170" s="46" t="n">
        <f aca="false">J170*(1-N170)</f>
        <v>983567.97</v>
      </c>
      <c r="P170" s="46" t="n">
        <v>16</v>
      </c>
      <c r="Q170" s="47" t="n">
        <f aca="false">IF(H170=0,0,P170/H170)</f>
        <v>0.0321931589537223</v>
      </c>
      <c r="R170" s="44" t="s">
        <v>2479</v>
      </c>
      <c r="S170" s="43" t="s">
        <v>2107</v>
      </c>
      <c r="T170" s="43" t="s">
        <v>2124</v>
      </c>
    </row>
    <row r="171" customFormat="false" ht="15" hidden="false" customHeight="false" outlineLevel="0" collapsed="false">
      <c r="A171" s="34" t="s">
        <v>2480</v>
      </c>
      <c r="B171" s="34" t="s">
        <v>2132</v>
      </c>
      <c r="C171" s="42" t="n">
        <v>2024</v>
      </c>
      <c r="D171" s="35" t="s">
        <v>2121</v>
      </c>
      <c r="E171" s="35" t="s">
        <v>2122</v>
      </c>
      <c r="F171" s="34" t="s">
        <v>2104</v>
      </c>
      <c r="G171" s="34" t="s">
        <v>2157</v>
      </c>
      <c r="H171" s="37" t="n">
        <v>143</v>
      </c>
      <c r="I171" s="37" t="n">
        <v>4999</v>
      </c>
      <c r="J171" s="37" t="n">
        <f aca="false">H171*I171</f>
        <v>714857</v>
      </c>
      <c r="K171" s="37" t="n">
        <f aca="false">J171*0.63</f>
        <v>450359.91</v>
      </c>
      <c r="L171" s="37" t="n">
        <f aca="false">J171-K171</f>
        <v>264497.09</v>
      </c>
      <c r="M171" s="38" t="n">
        <f aca="false">IF(J171=0,0,L171/J171)</f>
        <v>0.37</v>
      </c>
      <c r="N171" s="38" t="n">
        <v>0.11</v>
      </c>
      <c r="O171" s="37" t="n">
        <f aca="false">J171*(1-N171)</f>
        <v>636222.73</v>
      </c>
      <c r="P171" s="37" t="n">
        <v>3</v>
      </c>
      <c r="Q171" s="38" t="n">
        <f aca="false">IF(H171=0,0,P171/H171)</f>
        <v>0.020979020979021</v>
      </c>
      <c r="R171" s="35" t="s">
        <v>2481</v>
      </c>
      <c r="S171" s="34" t="s">
        <v>2136</v>
      </c>
      <c r="T171" s="34" t="s">
        <v>2099</v>
      </c>
    </row>
    <row r="172" customFormat="false" ht="15" hidden="false" customHeight="false" outlineLevel="0" collapsed="false">
      <c r="A172" s="43" t="s">
        <v>2482</v>
      </c>
      <c r="B172" s="43" t="s">
        <v>2141</v>
      </c>
      <c r="C172" s="51" t="n">
        <v>2023</v>
      </c>
      <c r="D172" s="44" t="s">
        <v>2109</v>
      </c>
      <c r="E172" s="44" t="s">
        <v>2110</v>
      </c>
      <c r="F172" s="43" t="s">
        <v>2095</v>
      </c>
      <c r="G172" s="43" t="s">
        <v>2096</v>
      </c>
      <c r="H172" s="46" t="n">
        <v>485</v>
      </c>
      <c r="I172" s="46" t="n">
        <v>12999</v>
      </c>
      <c r="J172" s="46" t="n">
        <f aca="false">H172*I172</f>
        <v>6304515</v>
      </c>
      <c r="K172" s="46" t="n">
        <f aca="false">J172*0.68</f>
        <v>4287070.2</v>
      </c>
      <c r="L172" s="46" t="n">
        <f aca="false">J172-K172</f>
        <v>2017444.8</v>
      </c>
      <c r="M172" s="47" t="n">
        <f aca="false">IF(J172=0,0,L172/J172)</f>
        <v>0.32</v>
      </c>
      <c r="N172" s="47" t="n">
        <v>0.13</v>
      </c>
      <c r="O172" s="46" t="n">
        <f aca="false">J172*(1-N172)</f>
        <v>5484928.05</v>
      </c>
      <c r="P172" s="46" t="n">
        <v>13</v>
      </c>
      <c r="Q172" s="47" t="n">
        <f aca="false">IF(H172=0,0,P172/H172)</f>
        <v>0.0268041237113402</v>
      </c>
      <c r="R172" s="44" t="s">
        <v>2483</v>
      </c>
      <c r="S172" s="43" t="s">
        <v>2136</v>
      </c>
      <c r="T172" s="43" t="s">
        <v>2099</v>
      </c>
    </row>
    <row r="173" customFormat="false" ht="15" hidden="false" customHeight="false" outlineLevel="0" collapsed="false">
      <c r="A173" s="34" t="s">
        <v>2484</v>
      </c>
      <c r="B173" s="34" t="s">
        <v>2165</v>
      </c>
      <c r="C173" s="42" t="n">
        <v>2023</v>
      </c>
      <c r="D173" s="35" t="s">
        <v>2174</v>
      </c>
      <c r="E173" s="35" t="s">
        <v>2103</v>
      </c>
      <c r="F173" s="34" t="s">
        <v>2104</v>
      </c>
      <c r="G173" s="34" t="s">
        <v>2096</v>
      </c>
      <c r="H173" s="37" t="n">
        <v>18</v>
      </c>
      <c r="I173" s="37" t="n">
        <v>15999</v>
      </c>
      <c r="J173" s="37" t="n">
        <f aca="false">H173*I173</f>
        <v>287982</v>
      </c>
      <c r="K173" s="37" t="n">
        <f aca="false">J173*0.58</f>
        <v>167029.56</v>
      </c>
      <c r="L173" s="37" t="n">
        <f aca="false">J173-K173</f>
        <v>120952.44</v>
      </c>
      <c r="M173" s="38" t="n">
        <f aca="false">IF(J173=0,0,L173/J173)</f>
        <v>0.42</v>
      </c>
      <c r="N173" s="38" t="n">
        <v>0.07</v>
      </c>
      <c r="O173" s="37" t="n">
        <f aca="false">J173*(1-N173)</f>
        <v>267823.26</v>
      </c>
      <c r="P173" s="37" t="n">
        <v>0</v>
      </c>
      <c r="Q173" s="38" t="n">
        <f aca="false">IF(H173=0,0,P173/H173)</f>
        <v>0</v>
      </c>
      <c r="R173" s="35" t="s">
        <v>2485</v>
      </c>
      <c r="S173" s="34" t="s">
        <v>2098</v>
      </c>
      <c r="T173" s="34" t="s">
        <v>2124</v>
      </c>
    </row>
    <row r="174" customFormat="false" ht="15" hidden="false" customHeight="false" outlineLevel="0" collapsed="false">
      <c r="A174" s="43" t="s">
        <v>2486</v>
      </c>
      <c r="B174" s="43" t="s">
        <v>2156</v>
      </c>
      <c r="C174" s="51" t="n">
        <v>2022</v>
      </c>
      <c r="D174" s="44" t="s">
        <v>2149</v>
      </c>
      <c r="E174" s="44" t="s">
        <v>2128</v>
      </c>
      <c r="F174" s="43" t="s">
        <v>2175</v>
      </c>
      <c r="G174" s="43" t="s">
        <v>2134</v>
      </c>
      <c r="H174" s="46" t="n">
        <v>355</v>
      </c>
      <c r="I174" s="46" t="n">
        <v>3999</v>
      </c>
      <c r="J174" s="46" t="n">
        <f aca="false">H174*I174</f>
        <v>1419645</v>
      </c>
      <c r="K174" s="46" t="n">
        <f aca="false">J174*0.55</f>
        <v>780804.75</v>
      </c>
      <c r="L174" s="46" t="n">
        <f aca="false">J174-K174</f>
        <v>638840.25</v>
      </c>
      <c r="M174" s="47" t="n">
        <f aca="false">IF(J174=0,0,L174/J174)</f>
        <v>0.45</v>
      </c>
      <c r="N174" s="47" t="n">
        <v>0.03</v>
      </c>
      <c r="O174" s="46" t="n">
        <f aca="false">J174*(1-N174)</f>
        <v>1377055.65</v>
      </c>
      <c r="P174" s="46" t="n">
        <v>11</v>
      </c>
      <c r="Q174" s="47" t="n">
        <f aca="false">IF(H174=0,0,P174/H174)</f>
        <v>0.0309859154929577</v>
      </c>
      <c r="R174" s="44" t="s">
        <v>2487</v>
      </c>
      <c r="S174" s="43" t="s">
        <v>2118</v>
      </c>
      <c r="T174" s="43" t="s">
        <v>2099</v>
      </c>
    </row>
    <row r="175" customFormat="false" ht="15" hidden="false" customHeight="false" outlineLevel="0" collapsed="false">
      <c r="A175" s="34" t="s">
        <v>2488</v>
      </c>
      <c r="B175" s="34" t="s">
        <v>2132</v>
      </c>
      <c r="C175" s="42" t="n">
        <v>2024</v>
      </c>
      <c r="D175" s="35" t="s">
        <v>2149</v>
      </c>
      <c r="E175" s="35" t="s">
        <v>2128</v>
      </c>
      <c r="F175" s="34" t="s">
        <v>2116</v>
      </c>
      <c r="G175" s="34" t="s">
        <v>2157</v>
      </c>
      <c r="H175" s="37" t="n">
        <v>343</v>
      </c>
      <c r="I175" s="37" t="n">
        <v>35999</v>
      </c>
      <c r="J175" s="37" t="n">
        <f aca="false">H175*I175</f>
        <v>12347657</v>
      </c>
      <c r="K175" s="37" t="n">
        <f aca="false">J175*0.49</f>
        <v>6050351.93</v>
      </c>
      <c r="L175" s="37" t="n">
        <f aca="false">J175-K175</f>
        <v>6297305.07</v>
      </c>
      <c r="M175" s="38" t="n">
        <f aca="false">IF(J175=0,0,L175/J175)</f>
        <v>0.51</v>
      </c>
      <c r="N175" s="38" t="n">
        <v>0.07</v>
      </c>
      <c r="O175" s="37" t="n">
        <f aca="false">J175*(1-N175)</f>
        <v>11483321.01</v>
      </c>
      <c r="P175" s="37" t="n">
        <v>0</v>
      </c>
      <c r="Q175" s="38" t="n">
        <f aca="false">IF(H175=0,0,P175/H175)</f>
        <v>0</v>
      </c>
      <c r="R175" s="35" t="s">
        <v>2489</v>
      </c>
      <c r="S175" s="34" t="s">
        <v>2136</v>
      </c>
      <c r="T175" s="34" t="s">
        <v>2124</v>
      </c>
    </row>
    <row r="176" customFormat="false" ht="15" hidden="false" customHeight="false" outlineLevel="0" collapsed="false">
      <c r="A176" s="43" t="s">
        <v>2490</v>
      </c>
      <c r="B176" s="43" t="s">
        <v>2156</v>
      </c>
      <c r="C176" s="51" t="n">
        <v>2022</v>
      </c>
      <c r="D176" s="44" t="s">
        <v>2133</v>
      </c>
      <c r="E176" s="44" t="s">
        <v>2103</v>
      </c>
      <c r="F176" s="43" t="s">
        <v>2142</v>
      </c>
      <c r="G176" s="43" t="s">
        <v>2157</v>
      </c>
      <c r="H176" s="46" t="n">
        <v>95</v>
      </c>
      <c r="I176" s="46" t="n">
        <v>2999</v>
      </c>
      <c r="J176" s="46" t="n">
        <f aca="false">H176*I176</f>
        <v>284905</v>
      </c>
      <c r="K176" s="46" t="n">
        <f aca="false">J176*0.67</f>
        <v>190886.35</v>
      </c>
      <c r="L176" s="46" t="n">
        <f aca="false">J176-K176</f>
        <v>94018.65</v>
      </c>
      <c r="M176" s="47" t="n">
        <f aca="false">IF(J176=0,0,L176/J176)</f>
        <v>0.33</v>
      </c>
      <c r="N176" s="47" t="n">
        <v>0.09</v>
      </c>
      <c r="O176" s="46" t="n">
        <f aca="false">J176*(1-N176)</f>
        <v>259263.55</v>
      </c>
      <c r="P176" s="46" t="n">
        <v>0</v>
      </c>
      <c r="Q176" s="47" t="n">
        <f aca="false">IF(H176=0,0,P176/H176)</f>
        <v>0</v>
      </c>
      <c r="R176" s="44" t="s">
        <v>2491</v>
      </c>
      <c r="S176" s="43" t="s">
        <v>2118</v>
      </c>
      <c r="T176" s="43" t="s">
        <v>2099</v>
      </c>
    </row>
    <row r="177" customFormat="false" ht="15" hidden="false" customHeight="false" outlineLevel="0" collapsed="false">
      <c r="A177" s="34" t="s">
        <v>2492</v>
      </c>
      <c r="B177" s="34" t="s">
        <v>2213</v>
      </c>
      <c r="C177" s="42" t="n">
        <v>2024</v>
      </c>
      <c r="D177" s="35" t="s">
        <v>2127</v>
      </c>
      <c r="E177" s="35" t="s">
        <v>2128</v>
      </c>
      <c r="F177" s="34" t="s">
        <v>2175</v>
      </c>
      <c r="G177" s="34" t="s">
        <v>2134</v>
      </c>
      <c r="H177" s="37" t="n">
        <v>152</v>
      </c>
      <c r="I177" s="37" t="n">
        <v>15999</v>
      </c>
      <c r="J177" s="37" t="n">
        <f aca="false">H177*I177</f>
        <v>2431848</v>
      </c>
      <c r="K177" s="37" t="n">
        <f aca="false">J177*0.64</f>
        <v>1556382.72</v>
      </c>
      <c r="L177" s="37" t="n">
        <f aca="false">J177-K177</f>
        <v>875465.28</v>
      </c>
      <c r="M177" s="38" t="n">
        <f aca="false">IF(J177=0,0,L177/J177)</f>
        <v>0.36</v>
      </c>
      <c r="N177" s="38" t="n">
        <v>0.1</v>
      </c>
      <c r="O177" s="37" t="n">
        <f aca="false">J177*(1-N177)</f>
        <v>2188663.2</v>
      </c>
      <c r="P177" s="37" t="n">
        <v>3</v>
      </c>
      <c r="Q177" s="38" t="n">
        <f aca="false">IF(H177=0,0,P177/H177)</f>
        <v>0.0197368421052632</v>
      </c>
      <c r="R177" s="35" t="s">
        <v>2493</v>
      </c>
      <c r="S177" s="34" t="s">
        <v>2118</v>
      </c>
      <c r="T177" s="34" t="s">
        <v>2099</v>
      </c>
    </row>
    <row r="178" customFormat="false" ht="15" hidden="false" customHeight="false" outlineLevel="0" collapsed="false">
      <c r="A178" s="43" t="s">
        <v>2494</v>
      </c>
      <c r="B178" s="43" t="s">
        <v>2162</v>
      </c>
      <c r="C178" s="51" t="n">
        <v>2023</v>
      </c>
      <c r="D178" s="44" t="s">
        <v>2174</v>
      </c>
      <c r="E178" s="44" t="s">
        <v>2103</v>
      </c>
      <c r="F178" s="43" t="s">
        <v>2116</v>
      </c>
      <c r="G178" s="43" t="s">
        <v>2096</v>
      </c>
      <c r="H178" s="46" t="n">
        <v>485</v>
      </c>
      <c r="I178" s="46" t="n">
        <v>299</v>
      </c>
      <c r="J178" s="46" t="n">
        <f aca="false">H178*I178</f>
        <v>145015</v>
      </c>
      <c r="K178" s="46" t="n">
        <f aca="false">J178*0.62</f>
        <v>89909.3</v>
      </c>
      <c r="L178" s="46" t="n">
        <f aca="false">J178-K178</f>
        <v>55105.7</v>
      </c>
      <c r="M178" s="47" t="n">
        <f aca="false">IF(J178=0,0,L178/J178)</f>
        <v>0.38</v>
      </c>
      <c r="N178" s="47" t="n">
        <v>0.13</v>
      </c>
      <c r="O178" s="46" t="n">
        <f aca="false">J178*(1-N178)</f>
        <v>126163.05</v>
      </c>
      <c r="P178" s="46" t="n">
        <v>3</v>
      </c>
      <c r="Q178" s="47" t="n">
        <f aca="false">IF(H178=0,0,P178/H178)</f>
        <v>0.00618556701030928</v>
      </c>
      <c r="R178" s="44" t="s">
        <v>2495</v>
      </c>
      <c r="S178" s="43" t="s">
        <v>2107</v>
      </c>
      <c r="T178" s="43" t="s">
        <v>2124</v>
      </c>
    </row>
    <row r="179" customFormat="false" ht="15" hidden="false" customHeight="false" outlineLevel="0" collapsed="false">
      <c r="A179" s="34" t="s">
        <v>2496</v>
      </c>
      <c r="B179" s="34" t="s">
        <v>2141</v>
      </c>
      <c r="C179" s="42" t="n">
        <v>2023</v>
      </c>
      <c r="D179" s="35" t="s">
        <v>2109</v>
      </c>
      <c r="E179" s="35" t="s">
        <v>2110</v>
      </c>
      <c r="F179" s="34" t="s">
        <v>2116</v>
      </c>
      <c r="G179" s="34" t="s">
        <v>2105</v>
      </c>
      <c r="H179" s="37" t="n">
        <v>188</v>
      </c>
      <c r="I179" s="37" t="n">
        <v>12999</v>
      </c>
      <c r="J179" s="37" t="n">
        <f aca="false">H179*I179</f>
        <v>2443812</v>
      </c>
      <c r="K179" s="37" t="n">
        <f aca="false">J179*0.61</f>
        <v>1490725.32</v>
      </c>
      <c r="L179" s="37" t="n">
        <f aca="false">J179-K179</f>
        <v>953086.68</v>
      </c>
      <c r="M179" s="38" t="n">
        <f aca="false">IF(J179=0,0,L179/J179)</f>
        <v>0.39</v>
      </c>
      <c r="N179" s="38" t="n">
        <v>0.11</v>
      </c>
      <c r="O179" s="37" t="n">
        <f aca="false">J179*(1-N179)</f>
        <v>2174992.68</v>
      </c>
      <c r="P179" s="37" t="n">
        <v>8</v>
      </c>
      <c r="Q179" s="38" t="n">
        <f aca="false">IF(H179=0,0,P179/H179)</f>
        <v>0.0425531914893617</v>
      </c>
      <c r="R179" s="35" t="s">
        <v>2497</v>
      </c>
      <c r="S179" s="34" t="s">
        <v>2136</v>
      </c>
      <c r="T179" s="34" t="s">
        <v>2099</v>
      </c>
    </row>
    <row r="180" customFormat="false" ht="15" hidden="false" customHeight="false" outlineLevel="0" collapsed="false">
      <c r="A180" s="43" t="s">
        <v>2498</v>
      </c>
      <c r="B180" s="43" t="s">
        <v>2120</v>
      </c>
      <c r="C180" s="51" t="n">
        <v>2023</v>
      </c>
      <c r="D180" s="44" t="s">
        <v>2138</v>
      </c>
      <c r="E180" s="44" t="s">
        <v>2128</v>
      </c>
      <c r="F180" s="43" t="s">
        <v>2175</v>
      </c>
      <c r="G180" s="43" t="s">
        <v>2134</v>
      </c>
      <c r="H180" s="46" t="n">
        <v>333</v>
      </c>
      <c r="I180" s="46" t="n">
        <v>9999</v>
      </c>
      <c r="J180" s="46" t="n">
        <f aca="false">H180*I180</f>
        <v>3329667</v>
      </c>
      <c r="K180" s="46" t="n">
        <f aca="false">J180*0.63</f>
        <v>2097690.21</v>
      </c>
      <c r="L180" s="46" t="n">
        <f aca="false">J180-K180</f>
        <v>1231976.79</v>
      </c>
      <c r="M180" s="47" t="n">
        <f aca="false">IF(J180=0,0,L180/J180)</f>
        <v>0.37</v>
      </c>
      <c r="N180" s="47" t="n">
        <v>0.11</v>
      </c>
      <c r="O180" s="46" t="n">
        <f aca="false">J180*(1-N180)</f>
        <v>2963403.63</v>
      </c>
      <c r="P180" s="46" t="n">
        <v>6</v>
      </c>
      <c r="Q180" s="47" t="n">
        <f aca="false">IF(H180=0,0,P180/H180)</f>
        <v>0.018018018018018</v>
      </c>
      <c r="R180" s="44" t="s">
        <v>2499</v>
      </c>
      <c r="S180" s="43" t="s">
        <v>2098</v>
      </c>
      <c r="T180" s="43" t="s">
        <v>2099</v>
      </c>
    </row>
    <row r="181" customFormat="false" ht="15" hidden="false" customHeight="false" outlineLevel="0" collapsed="false">
      <c r="A181" s="34" t="s">
        <v>2500</v>
      </c>
      <c r="B181" s="34" t="s">
        <v>2141</v>
      </c>
      <c r="C181" s="42" t="n">
        <v>2023</v>
      </c>
      <c r="D181" s="35" t="s">
        <v>2145</v>
      </c>
      <c r="E181" s="35" t="s">
        <v>2103</v>
      </c>
      <c r="F181" s="34" t="s">
        <v>2194</v>
      </c>
      <c r="G181" s="34" t="s">
        <v>2096</v>
      </c>
      <c r="H181" s="37" t="n">
        <v>349</v>
      </c>
      <c r="I181" s="37" t="n">
        <v>15999</v>
      </c>
      <c r="J181" s="37" t="n">
        <f aca="false">H181*I181</f>
        <v>5583651</v>
      </c>
      <c r="K181" s="37" t="n">
        <f aca="false">J181*0.52</f>
        <v>2903498.52</v>
      </c>
      <c r="L181" s="37" t="n">
        <f aca="false">J181-K181</f>
        <v>2680152.48</v>
      </c>
      <c r="M181" s="38" t="n">
        <f aca="false">IF(J181=0,0,L181/J181)</f>
        <v>0.48</v>
      </c>
      <c r="N181" s="38" t="n">
        <v>0.01</v>
      </c>
      <c r="O181" s="37" t="n">
        <f aca="false">J181*(1-N181)</f>
        <v>5527814.49</v>
      </c>
      <c r="P181" s="37" t="n">
        <v>11</v>
      </c>
      <c r="Q181" s="38" t="n">
        <f aca="false">IF(H181=0,0,P181/H181)</f>
        <v>0.0315186246418338</v>
      </c>
      <c r="R181" s="35" t="s">
        <v>2501</v>
      </c>
      <c r="S181" s="34" t="s">
        <v>2136</v>
      </c>
      <c r="T181" s="34" t="s">
        <v>2124</v>
      </c>
    </row>
    <row r="182" customFormat="false" ht="15" hidden="false" customHeight="false" outlineLevel="0" collapsed="false">
      <c r="A182" s="43" t="s">
        <v>2502</v>
      </c>
      <c r="B182" s="43" t="s">
        <v>2156</v>
      </c>
      <c r="C182" s="51" t="n">
        <v>2024</v>
      </c>
      <c r="D182" s="44" t="s">
        <v>2102</v>
      </c>
      <c r="E182" s="44" t="s">
        <v>2103</v>
      </c>
      <c r="F182" s="43" t="s">
        <v>2104</v>
      </c>
      <c r="G182" s="43" t="s">
        <v>2134</v>
      </c>
      <c r="H182" s="46" t="n">
        <v>241</v>
      </c>
      <c r="I182" s="46" t="n">
        <v>3999</v>
      </c>
      <c r="J182" s="46" t="n">
        <f aca="false">H182*I182</f>
        <v>963759</v>
      </c>
      <c r="K182" s="46" t="n">
        <f aca="false">J182*0.58</f>
        <v>558980.22</v>
      </c>
      <c r="L182" s="46" t="n">
        <f aca="false">J182-K182</f>
        <v>404778.78</v>
      </c>
      <c r="M182" s="47" t="n">
        <f aca="false">IF(J182=0,0,L182/J182)</f>
        <v>0.42</v>
      </c>
      <c r="N182" s="47" t="n">
        <v>0.12</v>
      </c>
      <c r="O182" s="46" t="n">
        <f aca="false">J182*(1-N182)</f>
        <v>848107.92</v>
      </c>
      <c r="P182" s="46" t="n">
        <v>4</v>
      </c>
      <c r="Q182" s="47" t="n">
        <f aca="false">IF(H182=0,0,P182/H182)</f>
        <v>0.016597510373444</v>
      </c>
      <c r="R182" s="44" t="s">
        <v>2503</v>
      </c>
      <c r="S182" s="43" t="s">
        <v>2118</v>
      </c>
      <c r="T182" s="43" t="s">
        <v>2124</v>
      </c>
    </row>
    <row r="183" customFormat="false" ht="15" hidden="false" customHeight="false" outlineLevel="0" collapsed="false">
      <c r="A183" s="34" t="s">
        <v>2504</v>
      </c>
      <c r="B183" s="34" t="s">
        <v>2162</v>
      </c>
      <c r="C183" s="42" t="n">
        <v>2023</v>
      </c>
      <c r="D183" s="35" t="s">
        <v>2214</v>
      </c>
      <c r="E183" s="35" t="s">
        <v>2103</v>
      </c>
      <c r="F183" s="34" t="s">
        <v>2142</v>
      </c>
      <c r="G183" s="34" t="s">
        <v>2134</v>
      </c>
      <c r="H183" s="37" t="n">
        <v>97</v>
      </c>
      <c r="I183" s="37" t="n">
        <v>299</v>
      </c>
      <c r="J183" s="37" t="n">
        <f aca="false">H183*I183</f>
        <v>29003</v>
      </c>
      <c r="K183" s="37" t="n">
        <f aca="false">J183*0.67</f>
        <v>19432.01</v>
      </c>
      <c r="L183" s="37" t="n">
        <f aca="false">J183-K183</f>
        <v>9570.99</v>
      </c>
      <c r="M183" s="38" t="n">
        <f aca="false">IF(J183=0,0,L183/J183)</f>
        <v>0.33</v>
      </c>
      <c r="N183" s="38" t="n">
        <v>0.01</v>
      </c>
      <c r="O183" s="37" t="n">
        <f aca="false">J183*(1-N183)</f>
        <v>28712.97</v>
      </c>
      <c r="P183" s="37" t="n">
        <v>3</v>
      </c>
      <c r="Q183" s="38" t="n">
        <f aca="false">IF(H183=0,0,P183/H183)</f>
        <v>0.0309278350515464</v>
      </c>
      <c r="R183" s="35" t="s">
        <v>2505</v>
      </c>
      <c r="S183" s="34" t="s">
        <v>2107</v>
      </c>
      <c r="T183" s="34" t="s">
        <v>2099</v>
      </c>
    </row>
    <row r="184" customFormat="false" ht="15" hidden="false" customHeight="false" outlineLevel="0" collapsed="false">
      <c r="A184" s="43" t="s">
        <v>2506</v>
      </c>
      <c r="B184" s="43" t="s">
        <v>2148</v>
      </c>
      <c r="C184" s="51" t="n">
        <v>2022</v>
      </c>
      <c r="D184" s="44" t="s">
        <v>2149</v>
      </c>
      <c r="E184" s="44" t="s">
        <v>2128</v>
      </c>
      <c r="F184" s="43" t="s">
        <v>2095</v>
      </c>
      <c r="G184" s="43" t="s">
        <v>2105</v>
      </c>
      <c r="H184" s="46" t="n">
        <v>58</v>
      </c>
      <c r="I184" s="46" t="n">
        <v>3999</v>
      </c>
      <c r="J184" s="46" t="n">
        <f aca="false">H184*I184</f>
        <v>231942</v>
      </c>
      <c r="K184" s="46" t="n">
        <f aca="false">J184*0.49</f>
        <v>113651.58</v>
      </c>
      <c r="L184" s="46" t="n">
        <f aca="false">J184-K184</f>
        <v>118290.42</v>
      </c>
      <c r="M184" s="47" t="n">
        <f aca="false">IF(J184=0,0,L184/J184)</f>
        <v>0.51</v>
      </c>
      <c r="N184" s="47" t="n">
        <v>0.02</v>
      </c>
      <c r="O184" s="46" t="n">
        <f aca="false">J184*(1-N184)</f>
        <v>227303.16</v>
      </c>
      <c r="P184" s="46" t="n">
        <v>0</v>
      </c>
      <c r="Q184" s="47" t="n">
        <f aca="false">IF(H184=0,0,P184/H184)</f>
        <v>0</v>
      </c>
      <c r="R184" s="44" t="s">
        <v>2507</v>
      </c>
      <c r="S184" s="43" t="s">
        <v>2136</v>
      </c>
      <c r="T184" s="43" t="s">
        <v>2099</v>
      </c>
    </row>
    <row r="185" customFormat="false" ht="15" hidden="false" customHeight="false" outlineLevel="0" collapsed="false">
      <c r="A185" s="34" t="s">
        <v>2508</v>
      </c>
      <c r="B185" s="34" t="s">
        <v>2148</v>
      </c>
      <c r="C185" s="42" t="n">
        <v>2023</v>
      </c>
      <c r="D185" s="35" t="s">
        <v>2093</v>
      </c>
      <c r="E185" s="35" t="s">
        <v>2094</v>
      </c>
      <c r="F185" s="34" t="s">
        <v>2175</v>
      </c>
      <c r="G185" s="34" t="s">
        <v>2129</v>
      </c>
      <c r="H185" s="37" t="n">
        <v>243</v>
      </c>
      <c r="I185" s="37" t="n">
        <v>8999</v>
      </c>
      <c r="J185" s="37" t="n">
        <f aca="false">H185*I185</f>
        <v>2186757</v>
      </c>
      <c r="K185" s="37" t="n">
        <f aca="false">J185*0.56</f>
        <v>1224583.92</v>
      </c>
      <c r="L185" s="37" t="n">
        <f aca="false">J185-K185</f>
        <v>962173.08</v>
      </c>
      <c r="M185" s="38" t="n">
        <f aca="false">IF(J185=0,0,L185/J185)</f>
        <v>0.44</v>
      </c>
      <c r="N185" s="38" t="n">
        <v>0.11</v>
      </c>
      <c r="O185" s="37" t="n">
        <f aca="false">J185*(1-N185)</f>
        <v>1946213.73</v>
      </c>
      <c r="P185" s="37" t="n">
        <v>0</v>
      </c>
      <c r="Q185" s="38" t="n">
        <f aca="false">IF(H185=0,0,P185/H185)</f>
        <v>0</v>
      </c>
      <c r="R185" s="35" t="s">
        <v>2509</v>
      </c>
      <c r="S185" s="34" t="s">
        <v>2136</v>
      </c>
      <c r="T185" s="34" t="s">
        <v>2099</v>
      </c>
    </row>
    <row r="186" customFormat="false" ht="15" hidden="false" customHeight="false" outlineLevel="0" collapsed="false">
      <c r="A186" s="43" t="s">
        <v>2510</v>
      </c>
      <c r="B186" s="43" t="s">
        <v>2132</v>
      </c>
      <c r="C186" s="51" t="n">
        <v>2022</v>
      </c>
      <c r="D186" s="44" t="s">
        <v>2180</v>
      </c>
      <c r="E186" s="44" t="s">
        <v>2181</v>
      </c>
      <c r="F186" s="43" t="s">
        <v>2104</v>
      </c>
      <c r="G186" s="43" t="s">
        <v>2129</v>
      </c>
      <c r="H186" s="46" t="n">
        <v>428</v>
      </c>
      <c r="I186" s="46" t="n">
        <v>1999</v>
      </c>
      <c r="J186" s="46" t="n">
        <f aca="false">H186*I186</f>
        <v>855572</v>
      </c>
      <c r="K186" s="46" t="n">
        <f aca="false">J186*0.61</f>
        <v>521898.92</v>
      </c>
      <c r="L186" s="46" t="n">
        <f aca="false">J186-K186</f>
        <v>333673.08</v>
      </c>
      <c r="M186" s="47" t="n">
        <f aca="false">IF(J186=0,0,L186/J186)</f>
        <v>0.39</v>
      </c>
      <c r="N186" s="47" t="n">
        <v>0.06</v>
      </c>
      <c r="O186" s="46" t="n">
        <f aca="false">J186*(1-N186)</f>
        <v>804237.68</v>
      </c>
      <c r="P186" s="46" t="n">
        <v>10</v>
      </c>
      <c r="Q186" s="47" t="n">
        <f aca="false">IF(H186=0,0,P186/H186)</f>
        <v>0.0233644859813084</v>
      </c>
      <c r="R186" s="44" t="s">
        <v>2511</v>
      </c>
      <c r="S186" s="43" t="s">
        <v>2136</v>
      </c>
      <c r="T186" s="43" t="s">
        <v>2099</v>
      </c>
    </row>
    <row r="187" customFormat="false" ht="15" hidden="false" customHeight="false" outlineLevel="0" collapsed="false">
      <c r="A187" s="34" t="s">
        <v>2512</v>
      </c>
      <c r="B187" s="34" t="s">
        <v>2156</v>
      </c>
      <c r="C187" s="42" t="n">
        <v>2024</v>
      </c>
      <c r="D187" s="35" t="s">
        <v>2093</v>
      </c>
      <c r="E187" s="35" t="s">
        <v>2094</v>
      </c>
      <c r="F187" s="34" t="s">
        <v>2142</v>
      </c>
      <c r="G187" s="34" t="s">
        <v>2096</v>
      </c>
      <c r="H187" s="37" t="n">
        <v>432</v>
      </c>
      <c r="I187" s="37" t="n">
        <v>1999</v>
      </c>
      <c r="J187" s="37" t="n">
        <f aca="false">H187*I187</f>
        <v>863568</v>
      </c>
      <c r="K187" s="37" t="n">
        <f aca="false">J187*0.56</f>
        <v>483598.08</v>
      </c>
      <c r="L187" s="37" t="n">
        <f aca="false">J187-K187</f>
        <v>379969.92</v>
      </c>
      <c r="M187" s="38" t="n">
        <f aca="false">IF(J187=0,0,L187/J187)</f>
        <v>0.44</v>
      </c>
      <c r="N187" s="38" t="n">
        <v>0.05</v>
      </c>
      <c r="O187" s="37" t="n">
        <f aca="false">J187*(1-N187)</f>
        <v>820389.6</v>
      </c>
      <c r="P187" s="37" t="n">
        <v>4</v>
      </c>
      <c r="Q187" s="38" t="n">
        <f aca="false">IF(H187=0,0,P187/H187)</f>
        <v>0.00925925925925926</v>
      </c>
      <c r="R187" s="35" t="s">
        <v>2513</v>
      </c>
      <c r="S187" s="34" t="s">
        <v>2118</v>
      </c>
      <c r="T187" s="34" t="s">
        <v>2099</v>
      </c>
    </row>
    <row r="188" customFormat="false" ht="15" hidden="false" customHeight="false" outlineLevel="0" collapsed="false">
      <c r="A188" s="43" t="s">
        <v>2514</v>
      </c>
      <c r="B188" s="43" t="s">
        <v>2120</v>
      </c>
      <c r="C188" s="51" t="n">
        <v>2023</v>
      </c>
      <c r="D188" s="44" t="s">
        <v>2138</v>
      </c>
      <c r="E188" s="44" t="s">
        <v>2128</v>
      </c>
      <c r="F188" s="43" t="s">
        <v>2111</v>
      </c>
      <c r="G188" s="43" t="s">
        <v>2105</v>
      </c>
      <c r="H188" s="46" t="n">
        <v>498</v>
      </c>
      <c r="I188" s="46" t="n">
        <v>35999</v>
      </c>
      <c r="J188" s="46" t="n">
        <f aca="false">H188*I188</f>
        <v>17927502</v>
      </c>
      <c r="K188" s="46" t="n">
        <f aca="false">J188*0.64</f>
        <v>11473601.28</v>
      </c>
      <c r="L188" s="46" t="n">
        <f aca="false">J188-K188</f>
        <v>6453900.72</v>
      </c>
      <c r="M188" s="47" t="n">
        <f aca="false">IF(J188=0,0,L188/J188)</f>
        <v>0.36</v>
      </c>
      <c r="N188" s="47" t="n">
        <v>0.01</v>
      </c>
      <c r="O188" s="46" t="n">
        <f aca="false">J188*(1-N188)</f>
        <v>17748226.98</v>
      </c>
      <c r="P188" s="46" t="n">
        <v>11</v>
      </c>
      <c r="Q188" s="47" t="n">
        <f aca="false">IF(H188=0,0,P188/H188)</f>
        <v>0.0220883534136546</v>
      </c>
      <c r="R188" s="44" t="s">
        <v>2515</v>
      </c>
      <c r="S188" s="43" t="s">
        <v>2098</v>
      </c>
      <c r="T188" s="43" t="s">
        <v>2099</v>
      </c>
    </row>
    <row r="189" customFormat="false" ht="15" hidden="false" customHeight="false" outlineLevel="0" collapsed="false">
      <c r="A189" s="34" t="s">
        <v>2516</v>
      </c>
      <c r="B189" s="34" t="s">
        <v>2156</v>
      </c>
      <c r="C189" s="42" t="n">
        <v>2022</v>
      </c>
      <c r="D189" s="35" t="s">
        <v>2109</v>
      </c>
      <c r="E189" s="35" t="s">
        <v>2110</v>
      </c>
      <c r="F189" s="34" t="s">
        <v>2095</v>
      </c>
      <c r="G189" s="34" t="s">
        <v>2096</v>
      </c>
      <c r="H189" s="37" t="n">
        <v>147</v>
      </c>
      <c r="I189" s="37" t="n">
        <v>12999</v>
      </c>
      <c r="J189" s="37" t="n">
        <f aca="false">H189*I189</f>
        <v>1910853</v>
      </c>
      <c r="K189" s="37" t="n">
        <f aca="false">J189*0.69</f>
        <v>1318488.57</v>
      </c>
      <c r="L189" s="37" t="n">
        <f aca="false">J189-K189</f>
        <v>592364.43</v>
      </c>
      <c r="M189" s="38" t="n">
        <f aca="false">IF(J189=0,0,L189/J189)</f>
        <v>0.31</v>
      </c>
      <c r="N189" s="38" t="n">
        <v>0.13</v>
      </c>
      <c r="O189" s="37" t="n">
        <f aca="false">J189*(1-N189)</f>
        <v>1662442.11</v>
      </c>
      <c r="P189" s="37" t="n">
        <v>2</v>
      </c>
      <c r="Q189" s="38" t="n">
        <f aca="false">IF(H189=0,0,P189/H189)</f>
        <v>0.0136054421768707</v>
      </c>
      <c r="R189" s="35" t="s">
        <v>2517</v>
      </c>
      <c r="S189" s="34" t="s">
        <v>2118</v>
      </c>
      <c r="T189" s="34" t="s">
        <v>2099</v>
      </c>
    </row>
    <row r="190" customFormat="false" ht="15" hidden="false" customHeight="false" outlineLevel="0" collapsed="false">
      <c r="A190" s="43" t="s">
        <v>2518</v>
      </c>
      <c r="B190" s="43" t="s">
        <v>2132</v>
      </c>
      <c r="C190" s="51" t="n">
        <v>2022</v>
      </c>
      <c r="D190" s="44" t="s">
        <v>2180</v>
      </c>
      <c r="E190" s="44" t="s">
        <v>2181</v>
      </c>
      <c r="F190" s="43" t="s">
        <v>2194</v>
      </c>
      <c r="G190" s="43" t="s">
        <v>2096</v>
      </c>
      <c r="H190" s="46" t="n">
        <v>65</v>
      </c>
      <c r="I190" s="46" t="n">
        <v>9999</v>
      </c>
      <c r="J190" s="46" t="n">
        <f aca="false">H190*I190</f>
        <v>649935</v>
      </c>
      <c r="K190" s="46" t="n">
        <f aca="false">J190*0.52</f>
        <v>337966.2</v>
      </c>
      <c r="L190" s="46" t="n">
        <f aca="false">J190-K190</f>
        <v>311968.8</v>
      </c>
      <c r="M190" s="47" t="n">
        <f aca="false">IF(J190=0,0,L190/J190)</f>
        <v>0.48</v>
      </c>
      <c r="N190" s="47" t="n">
        <v>0.03</v>
      </c>
      <c r="O190" s="46" t="n">
        <f aca="false">J190*(1-N190)</f>
        <v>630436.95</v>
      </c>
      <c r="P190" s="46" t="n">
        <v>0</v>
      </c>
      <c r="Q190" s="47" t="n">
        <f aca="false">IF(H190=0,0,P190/H190)</f>
        <v>0</v>
      </c>
      <c r="R190" s="44" t="s">
        <v>2519</v>
      </c>
      <c r="S190" s="43" t="s">
        <v>2136</v>
      </c>
      <c r="T190" s="43" t="s">
        <v>2099</v>
      </c>
    </row>
    <row r="191" customFormat="false" ht="15" hidden="false" customHeight="false" outlineLevel="0" collapsed="false">
      <c r="A191" s="34" t="s">
        <v>2520</v>
      </c>
      <c r="B191" s="34" t="s">
        <v>2141</v>
      </c>
      <c r="C191" s="42" t="n">
        <v>2022</v>
      </c>
      <c r="D191" s="35" t="s">
        <v>2127</v>
      </c>
      <c r="E191" s="35" t="s">
        <v>2128</v>
      </c>
      <c r="F191" s="34" t="s">
        <v>2111</v>
      </c>
      <c r="G191" s="34" t="s">
        <v>2096</v>
      </c>
      <c r="H191" s="37" t="n">
        <v>500</v>
      </c>
      <c r="I191" s="37" t="n">
        <v>12999</v>
      </c>
      <c r="J191" s="37" t="n">
        <f aca="false">H191*I191</f>
        <v>6499500</v>
      </c>
      <c r="K191" s="37" t="n">
        <f aca="false">J191*0.58</f>
        <v>3769710</v>
      </c>
      <c r="L191" s="37" t="n">
        <f aca="false">J191-K191</f>
        <v>2729790</v>
      </c>
      <c r="M191" s="38" t="n">
        <f aca="false">IF(J191=0,0,L191/J191)</f>
        <v>0.42</v>
      </c>
      <c r="N191" s="38" t="n">
        <v>0.02</v>
      </c>
      <c r="O191" s="37" t="n">
        <f aca="false">J191*(1-N191)</f>
        <v>6369510</v>
      </c>
      <c r="P191" s="37" t="n">
        <v>0</v>
      </c>
      <c r="Q191" s="38" t="n">
        <f aca="false">IF(H191=0,0,P191/H191)</f>
        <v>0</v>
      </c>
      <c r="R191" s="35" t="s">
        <v>2521</v>
      </c>
      <c r="S191" s="34" t="s">
        <v>2136</v>
      </c>
      <c r="T191" s="34" t="s">
        <v>2124</v>
      </c>
    </row>
    <row r="192" customFormat="false" ht="15" hidden="false" customHeight="false" outlineLevel="0" collapsed="false">
      <c r="A192" s="43" t="s">
        <v>2522</v>
      </c>
      <c r="B192" s="43" t="s">
        <v>2156</v>
      </c>
      <c r="C192" s="51" t="n">
        <v>2022</v>
      </c>
      <c r="D192" s="44" t="s">
        <v>2121</v>
      </c>
      <c r="E192" s="44" t="s">
        <v>2122</v>
      </c>
      <c r="F192" s="43" t="s">
        <v>2194</v>
      </c>
      <c r="G192" s="43" t="s">
        <v>2129</v>
      </c>
      <c r="H192" s="46" t="n">
        <v>3</v>
      </c>
      <c r="I192" s="46" t="n">
        <v>3999</v>
      </c>
      <c r="J192" s="46" t="n">
        <f aca="false">H192*I192</f>
        <v>11997</v>
      </c>
      <c r="K192" s="46" t="n">
        <f aca="false">J192*0.59</f>
        <v>7078.23</v>
      </c>
      <c r="L192" s="46" t="n">
        <f aca="false">J192-K192</f>
        <v>4918.77</v>
      </c>
      <c r="M192" s="47" t="n">
        <f aca="false">IF(J192=0,0,L192/J192)</f>
        <v>0.41</v>
      </c>
      <c r="N192" s="47" t="n">
        <v>0.08</v>
      </c>
      <c r="O192" s="46" t="n">
        <f aca="false">J192*(1-N192)</f>
        <v>11037.24</v>
      </c>
      <c r="P192" s="46" t="n">
        <v>1</v>
      </c>
      <c r="Q192" s="47" t="n">
        <f aca="false">IF(H192=0,0,P192/H192)</f>
        <v>0.333333333333333</v>
      </c>
      <c r="R192" s="44" t="s">
        <v>2523</v>
      </c>
      <c r="S192" s="43" t="s">
        <v>2118</v>
      </c>
      <c r="T192" s="43" t="s">
        <v>2124</v>
      </c>
    </row>
    <row r="193" customFormat="false" ht="15" hidden="false" customHeight="false" outlineLevel="0" collapsed="false">
      <c r="A193" s="34" t="s">
        <v>2524</v>
      </c>
      <c r="B193" s="34" t="s">
        <v>2148</v>
      </c>
      <c r="C193" s="42" t="n">
        <v>2024</v>
      </c>
      <c r="D193" s="35" t="s">
        <v>2093</v>
      </c>
      <c r="E193" s="35" t="s">
        <v>2094</v>
      </c>
      <c r="F193" s="34" t="s">
        <v>2095</v>
      </c>
      <c r="G193" s="34" t="s">
        <v>2096</v>
      </c>
      <c r="H193" s="37" t="n">
        <v>374</v>
      </c>
      <c r="I193" s="37" t="n">
        <v>299</v>
      </c>
      <c r="J193" s="37" t="n">
        <f aca="false">H193*I193</f>
        <v>111826</v>
      </c>
      <c r="K193" s="37" t="n">
        <f aca="false">J193*0.68</f>
        <v>76041.68</v>
      </c>
      <c r="L193" s="37" t="n">
        <f aca="false">J193-K193</f>
        <v>35784.32</v>
      </c>
      <c r="M193" s="38" t="n">
        <f aca="false">IF(J193=0,0,L193/J193)</f>
        <v>0.32</v>
      </c>
      <c r="N193" s="38" t="n">
        <v>0.05</v>
      </c>
      <c r="O193" s="37" t="n">
        <f aca="false">J193*(1-N193)</f>
        <v>106234.7</v>
      </c>
      <c r="P193" s="37" t="n">
        <v>3</v>
      </c>
      <c r="Q193" s="38" t="n">
        <f aca="false">IF(H193=0,0,P193/H193)</f>
        <v>0.00802139037433155</v>
      </c>
      <c r="R193" s="35" t="s">
        <v>2525</v>
      </c>
      <c r="S193" s="34" t="s">
        <v>2136</v>
      </c>
      <c r="T193" s="34" t="s">
        <v>2124</v>
      </c>
    </row>
    <row r="194" customFormat="false" ht="15" hidden="false" customHeight="false" outlineLevel="0" collapsed="false">
      <c r="A194" s="43" t="s">
        <v>2526</v>
      </c>
      <c r="B194" s="43" t="s">
        <v>2165</v>
      </c>
      <c r="C194" s="51" t="n">
        <v>2022</v>
      </c>
      <c r="D194" s="44" t="s">
        <v>2093</v>
      </c>
      <c r="E194" s="44" t="s">
        <v>2094</v>
      </c>
      <c r="F194" s="43" t="s">
        <v>2175</v>
      </c>
      <c r="G194" s="43" t="s">
        <v>2134</v>
      </c>
      <c r="H194" s="46" t="n">
        <v>158</v>
      </c>
      <c r="I194" s="46" t="n">
        <v>4999</v>
      </c>
      <c r="J194" s="46" t="n">
        <f aca="false">H194*I194</f>
        <v>789842</v>
      </c>
      <c r="K194" s="46" t="n">
        <f aca="false">J194*0.55</f>
        <v>434413.1</v>
      </c>
      <c r="L194" s="46" t="n">
        <f aca="false">J194-K194</f>
        <v>355428.9</v>
      </c>
      <c r="M194" s="47" t="n">
        <f aca="false">IF(J194=0,0,L194/J194)</f>
        <v>0.45</v>
      </c>
      <c r="N194" s="47" t="n">
        <v>0.13</v>
      </c>
      <c r="O194" s="46" t="n">
        <f aca="false">J194*(1-N194)</f>
        <v>687162.54</v>
      </c>
      <c r="P194" s="46" t="n">
        <v>7</v>
      </c>
      <c r="Q194" s="47" t="n">
        <f aca="false">IF(H194=0,0,P194/H194)</f>
        <v>0.0443037974683544</v>
      </c>
      <c r="R194" s="44" t="s">
        <v>2527</v>
      </c>
      <c r="S194" s="43" t="s">
        <v>2098</v>
      </c>
      <c r="T194" s="43" t="s">
        <v>2099</v>
      </c>
    </row>
    <row r="195" customFormat="false" ht="15" hidden="false" customHeight="false" outlineLevel="0" collapsed="false">
      <c r="A195" s="34" t="s">
        <v>2528</v>
      </c>
      <c r="B195" s="34" t="s">
        <v>2092</v>
      </c>
      <c r="C195" s="42" t="n">
        <v>2023</v>
      </c>
      <c r="D195" s="35" t="s">
        <v>2180</v>
      </c>
      <c r="E195" s="35" t="s">
        <v>2181</v>
      </c>
      <c r="F195" s="34" t="s">
        <v>2175</v>
      </c>
      <c r="G195" s="34" t="s">
        <v>2129</v>
      </c>
      <c r="H195" s="37" t="n">
        <v>299</v>
      </c>
      <c r="I195" s="37" t="n">
        <v>1999</v>
      </c>
      <c r="J195" s="37" t="n">
        <f aca="false">H195*I195</f>
        <v>597701</v>
      </c>
      <c r="K195" s="37" t="n">
        <f aca="false">J195*0.51</f>
        <v>304827.51</v>
      </c>
      <c r="L195" s="37" t="n">
        <f aca="false">J195-K195</f>
        <v>292873.49</v>
      </c>
      <c r="M195" s="38" t="n">
        <f aca="false">IF(J195=0,0,L195/J195)</f>
        <v>0.49</v>
      </c>
      <c r="N195" s="38" t="n">
        <v>0.14</v>
      </c>
      <c r="O195" s="37" t="n">
        <f aca="false">J195*(1-N195)</f>
        <v>514022.86</v>
      </c>
      <c r="P195" s="37" t="n">
        <v>4</v>
      </c>
      <c r="Q195" s="38" t="n">
        <f aca="false">IF(H195=0,0,P195/H195)</f>
        <v>0.0133779264214047</v>
      </c>
      <c r="R195" s="35" t="s">
        <v>2529</v>
      </c>
      <c r="S195" s="34" t="s">
        <v>2098</v>
      </c>
      <c r="T195" s="34" t="s">
        <v>2099</v>
      </c>
    </row>
    <row r="196" customFormat="false" ht="15" hidden="false" customHeight="false" outlineLevel="0" collapsed="false">
      <c r="A196" s="43" t="s">
        <v>2530</v>
      </c>
      <c r="B196" s="43" t="s">
        <v>2165</v>
      </c>
      <c r="C196" s="51" t="n">
        <v>2022</v>
      </c>
      <c r="D196" s="44" t="s">
        <v>2102</v>
      </c>
      <c r="E196" s="44" t="s">
        <v>2103</v>
      </c>
      <c r="F196" s="43" t="s">
        <v>2104</v>
      </c>
      <c r="G196" s="43" t="s">
        <v>2157</v>
      </c>
      <c r="H196" s="46" t="n">
        <v>347</v>
      </c>
      <c r="I196" s="46" t="n">
        <v>24999</v>
      </c>
      <c r="J196" s="46" t="n">
        <f aca="false">H196*I196</f>
        <v>8674653</v>
      </c>
      <c r="K196" s="46" t="n">
        <f aca="false">J196*0.69</f>
        <v>5985510.57</v>
      </c>
      <c r="L196" s="46" t="n">
        <f aca="false">J196-K196</f>
        <v>2689142.43</v>
      </c>
      <c r="M196" s="47" t="n">
        <f aca="false">IF(J196=0,0,L196/J196)</f>
        <v>0.31</v>
      </c>
      <c r="N196" s="47" t="n">
        <v>0.15</v>
      </c>
      <c r="O196" s="46" t="n">
        <f aca="false">J196*(1-N196)</f>
        <v>7373455.05</v>
      </c>
      <c r="P196" s="46" t="n">
        <v>12</v>
      </c>
      <c r="Q196" s="47" t="n">
        <f aca="false">IF(H196=0,0,P196/H196)</f>
        <v>0.0345821325648415</v>
      </c>
      <c r="R196" s="44" t="s">
        <v>2531</v>
      </c>
      <c r="S196" s="43" t="s">
        <v>2098</v>
      </c>
      <c r="T196" s="43" t="s">
        <v>2099</v>
      </c>
    </row>
    <row r="197" customFormat="false" ht="15" hidden="false" customHeight="false" outlineLevel="0" collapsed="false">
      <c r="A197" s="34" t="s">
        <v>2532</v>
      </c>
      <c r="B197" s="34" t="s">
        <v>2156</v>
      </c>
      <c r="C197" s="42" t="n">
        <v>2023</v>
      </c>
      <c r="D197" s="35" t="s">
        <v>2109</v>
      </c>
      <c r="E197" s="35" t="s">
        <v>2110</v>
      </c>
      <c r="F197" s="34" t="s">
        <v>2175</v>
      </c>
      <c r="G197" s="34" t="s">
        <v>2096</v>
      </c>
      <c r="H197" s="37" t="n">
        <v>484</v>
      </c>
      <c r="I197" s="37" t="n">
        <v>4999</v>
      </c>
      <c r="J197" s="37" t="n">
        <f aca="false">H197*I197</f>
        <v>2419516</v>
      </c>
      <c r="K197" s="37" t="n">
        <f aca="false">J197*0.68</f>
        <v>1645270.88</v>
      </c>
      <c r="L197" s="37" t="n">
        <f aca="false">J197-K197</f>
        <v>774245.12</v>
      </c>
      <c r="M197" s="38" t="n">
        <f aca="false">IF(J197=0,0,L197/J197)</f>
        <v>0.32</v>
      </c>
      <c r="N197" s="38" t="n">
        <v>0.05</v>
      </c>
      <c r="O197" s="37" t="n">
        <f aca="false">J197*(1-N197)</f>
        <v>2298540.2</v>
      </c>
      <c r="P197" s="37" t="n">
        <v>4</v>
      </c>
      <c r="Q197" s="38" t="n">
        <f aca="false">IF(H197=0,0,P197/H197)</f>
        <v>0.00826446280991736</v>
      </c>
      <c r="R197" s="35" t="s">
        <v>2533</v>
      </c>
      <c r="S197" s="34" t="s">
        <v>2118</v>
      </c>
      <c r="T197" s="34" t="s">
        <v>2124</v>
      </c>
    </row>
    <row r="198" customFormat="false" ht="15" hidden="false" customHeight="false" outlineLevel="0" collapsed="false">
      <c r="A198" s="43" t="s">
        <v>2534</v>
      </c>
      <c r="B198" s="43" t="s">
        <v>2141</v>
      </c>
      <c r="C198" s="51" t="n">
        <v>2023</v>
      </c>
      <c r="D198" s="44" t="s">
        <v>2127</v>
      </c>
      <c r="E198" s="44" t="s">
        <v>2128</v>
      </c>
      <c r="F198" s="43" t="s">
        <v>2116</v>
      </c>
      <c r="G198" s="43" t="s">
        <v>2105</v>
      </c>
      <c r="H198" s="46" t="n">
        <v>177</v>
      </c>
      <c r="I198" s="46" t="n">
        <v>8999</v>
      </c>
      <c r="J198" s="46" t="n">
        <f aca="false">H198*I198</f>
        <v>1592823</v>
      </c>
      <c r="K198" s="46" t="n">
        <f aca="false">J198*0.53</f>
        <v>844196.19</v>
      </c>
      <c r="L198" s="46" t="n">
        <f aca="false">J198-K198</f>
        <v>748626.81</v>
      </c>
      <c r="M198" s="47" t="n">
        <f aca="false">IF(J198=0,0,L198/J198)</f>
        <v>0.47</v>
      </c>
      <c r="N198" s="47" t="n">
        <v>0.07</v>
      </c>
      <c r="O198" s="46" t="n">
        <f aca="false">J198*(1-N198)</f>
        <v>1481325.39</v>
      </c>
      <c r="P198" s="46" t="n">
        <v>8</v>
      </c>
      <c r="Q198" s="47" t="n">
        <f aca="false">IF(H198=0,0,P198/H198)</f>
        <v>0.0451977401129944</v>
      </c>
      <c r="R198" s="44" t="s">
        <v>2535</v>
      </c>
      <c r="S198" s="43" t="s">
        <v>2136</v>
      </c>
      <c r="T198" s="43" t="s">
        <v>2099</v>
      </c>
    </row>
    <row r="199" customFormat="false" ht="15" hidden="false" customHeight="false" outlineLevel="0" collapsed="false">
      <c r="A199" s="34" t="s">
        <v>2536</v>
      </c>
      <c r="B199" s="34" t="s">
        <v>2132</v>
      </c>
      <c r="C199" s="42" t="n">
        <v>2024</v>
      </c>
      <c r="D199" s="35" t="s">
        <v>2145</v>
      </c>
      <c r="E199" s="35" t="s">
        <v>2103</v>
      </c>
      <c r="F199" s="34" t="s">
        <v>2111</v>
      </c>
      <c r="G199" s="34" t="s">
        <v>2157</v>
      </c>
      <c r="H199" s="37" t="n">
        <v>412</v>
      </c>
      <c r="I199" s="37" t="n">
        <v>9999</v>
      </c>
      <c r="J199" s="37" t="n">
        <f aca="false">H199*I199</f>
        <v>4119588</v>
      </c>
      <c r="K199" s="37" t="n">
        <f aca="false">J199*0.52</f>
        <v>2142185.76</v>
      </c>
      <c r="L199" s="37" t="n">
        <f aca="false">J199-K199</f>
        <v>1977402.24</v>
      </c>
      <c r="M199" s="38" t="n">
        <f aca="false">IF(J199=0,0,L199/J199)</f>
        <v>0.48</v>
      </c>
      <c r="N199" s="38" t="n">
        <v>0.12</v>
      </c>
      <c r="O199" s="37" t="n">
        <f aca="false">J199*(1-N199)</f>
        <v>3625237.44</v>
      </c>
      <c r="P199" s="37" t="n">
        <v>13</v>
      </c>
      <c r="Q199" s="38" t="n">
        <f aca="false">IF(H199=0,0,P199/H199)</f>
        <v>0.0315533980582524</v>
      </c>
      <c r="R199" s="35" t="s">
        <v>2537</v>
      </c>
      <c r="S199" s="34" t="s">
        <v>2136</v>
      </c>
      <c r="T199" s="34" t="s">
        <v>2124</v>
      </c>
    </row>
    <row r="200" customFormat="false" ht="15" hidden="false" customHeight="false" outlineLevel="0" collapsed="false">
      <c r="A200" s="43" t="s">
        <v>2538</v>
      </c>
      <c r="B200" s="43" t="s">
        <v>2120</v>
      </c>
      <c r="C200" s="51" t="n">
        <v>2024</v>
      </c>
      <c r="D200" s="44" t="s">
        <v>2109</v>
      </c>
      <c r="E200" s="44" t="s">
        <v>2110</v>
      </c>
      <c r="F200" s="43" t="s">
        <v>2116</v>
      </c>
      <c r="G200" s="43" t="s">
        <v>2129</v>
      </c>
      <c r="H200" s="46" t="n">
        <v>107</v>
      </c>
      <c r="I200" s="46" t="n">
        <v>35999</v>
      </c>
      <c r="J200" s="46" t="n">
        <f aca="false">H200*I200</f>
        <v>3851893</v>
      </c>
      <c r="K200" s="46" t="n">
        <f aca="false">J200*0.57</f>
        <v>2195579.01</v>
      </c>
      <c r="L200" s="46" t="n">
        <f aca="false">J200-K200</f>
        <v>1656313.99</v>
      </c>
      <c r="M200" s="47" t="n">
        <f aca="false">IF(J200=0,0,L200/J200)</f>
        <v>0.43</v>
      </c>
      <c r="N200" s="47" t="n">
        <v>0.13</v>
      </c>
      <c r="O200" s="46" t="n">
        <f aca="false">J200*(1-N200)</f>
        <v>3351146.91</v>
      </c>
      <c r="P200" s="46" t="n">
        <v>2</v>
      </c>
      <c r="Q200" s="47" t="n">
        <f aca="false">IF(H200=0,0,P200/H200)</f>
        <v>0.0186915887850467</v>
      </c>
      <c r="R200" s="44" t="s">
        <v>2539</v>
      </c>
      <c r="S200" s="43" t="s">
        <v>2098</v>
      </c>
      <c r="T200" s="43" t="s">
        <v>2099</v>
      </c>
    </row>
    <row r="201" customFormat="false" ht="15" hidden="false" customHeight="false" outlineLevel="0" collapsed="false">
      <c r="A201" s="34" t="s">
        <v>2540</v>
      </c>
      <c r="B201" s="34" t="s">
        <v>2162</v>
      </c>
      <c r="C201" s="42" t="n">
        <v>2023</v>
      </c>
      <c r="D201" s="35" t="s">
        <v>2149</v>
      </c>
      <c r="E201" s="35" t="s">
        <v>2128</v>
      </c>
      <c r="F201" s="34" t="s">
        <v>2116</v>
      </c>
      <c r="G201" s="34" t="s">
        <v>2157</v>
      </c>
      <c r="H201" s="37" t="n">
        <v>328</v>
      </c>
      <c r="I201" s="37" t="n">
        <v>299</v>
      </c>
      <c r="J201" s="37" t="n">
        <f aca="false">H201*I201</f>
        <v>98072</v>
      </c>
      <c r="K201" s="37" t="n">
        <f aca="false">J201*0.52</f>
        <v>50997.44</v>
      </c>
      <c r="L201" s="37" t="n">
        <f aca="false">J201-K201</f>
        <v>47074.56</v>
      </c>
      <c r="M201" s="38" t="n">
        <f aca="false">IF(J201=0,0,L201/J201)</f>
        <v>0.48</v>
      </c>
      <c r="N201" s="38" t="n">
        <v>0.03</v>
      </c>
      <c r="O201" s="37" t="n">
        <f aca="false">J201*(1-N201)</f>
        <v>95129.84</v>
      </c>
      <c r="P201" s="37" t="n">
        <v>14</v>
      </c>
      <c r="Q201" s="38" t="n">
        <f aca="false">IF(H201=0,0,P201/H201)</f>
        <v>0.0426829268292683</v>
      </c>
      <c r="R201" s="35" t="s">
        <v>2541</v>
      </c>
      <c r="S201" s="34" t="s">
        <v>2107</v>
      </c>
      <c r="T201" s="34" t="s">
        <v>2099</v>
      </c>
    </row>
    <row r="202" customFormat="false" ht="15" hidden="false" customHeight="false" outlineLevel="0" collapsed="false">
      <c r="A202" s="43" t="s">
        <v>2542</v>
      </c>
      <c r="B202" s="43" t="s">
        <v>2132</v>
      </c>
      <c r="C202" s="51" t="n">
        <v>2022</v>
      </c>
      <c r="D202" s="44" t="s">
        <v>2133</v>
      </c>
      <c r="E202" s="44" t="s">
        <v>2103</v>
      </c>
      <c r="F202" s="43" t="s">
        <v>2111</v>
      </c>
      <c r="G202" s="43" t="s">
        <v>2105</v>
      </c>
      <c r="H202" s="46" t="n">
        <v>284</v>
      </c>
      <c r="I202" s="46" t="n">
        <v>9999</v>
      </c>
      <c r="J202" s="46" t="n">
        <f aca="false">H202*I202</f>
        <v>2839716</v>
      </c>
      <c r="K202" s="46" t="n">
        <f aca="false">J202*0.46</f>
        <v>1306269.36</v>
      </c>
      <c r="L202" s="46" t="n">
        <f aca="false">J202-K202</f>
        <v>1533446.64</v>
      </c>
      <c r="M202" s="47" t="n">
        <f aca="false">IF(J202=0,0,L202/J202)</f>
        <v>0.54</v>
      </c>
      <c r="N202" s="47" t="n">
        <v>0.12</v>
      </c>
      <c r="O202" s="46" t="n">
        <f aca="false">J202*(1-N202)</f>
        <v>2498950.08</v>
      </c>
      <c r="P202" s="46" t="n">
        <v>13</v>
      </c>
      <c r="Q202" s="47" t="n">
        <f aca="false">IF(H202=0,0,P202/H202)</f>
        <v>0.0457746478873239</v>
      </c>
      <c r="R202" s="44" t="s">
        <v>2543</v>
      </c>
      <c r="S202" s="43" t="s">
        <v>2136</v>
      </c>
      <c r="T202" s="43" t="s">
        <v>2099</v>
      </c>
    </row>
    <row r="203" customFormat="false" ht="15" hidden="false" customHeight="false" outlineLevel="0" collapsed="false">
      <c r="A203" s="34" t="s">
        <v>2544</v>
      </c>
      <c r="B203" s="34" t="s">
        <v>2156</v>
      </c>
      <c r="C203" s="42" t="n">
        <v>2024</v>
      </c>
      <c r="D203" s="35" t="s">
        <v>2174</v>
      </c>
      <c r="E203" s="35" t="s">
        <v>2103</v>
      </c>
      <c r="F203" s="34" t="s">
        <v>2111</v>
      </c>
      <c r="G203" s="34" t="s">
        <v>2129</v>
      </c>
      <c r="H203" s="37" t="n">
        <v>14</v>
      </c>
      <c r="I203" s="37" t="n">
        <v>2999</v>
      </c>
      <c r="J203" s="37" t="n">
        <f aca="false">H203*I203</f>
        <v>41986</v>
      </c>
      <c r="K203" s="37" t="n">
        <f aca="false">J203*0.45</f>
        <v>18893.7</v>
      </c>
      <c r="L203" s="37" t="n">
        <f aca="false">J203-K203</f>
        <v>23092.3</v>
      </c>
      <c r="M203" s="38" t="n">
        <f aca="false">IF(J203=0,0,L203/J203)</f>
        <v>0.55</v>
      </c>
      <c r="N203" s="38" t="n">
        <v>0.04</v>
      </c>
      <c r="O203" s="37" t="n">
        <f aca="false">J203*(1-N203)</f>
        <v>40306.56</v>
      </c>
      <c r="P203" s="37" t="n">
        <v>1</v>
      </c>
      <c r="Q203" s="38" t="n">
        <f aca="false">IF(H203=0,0,P203/H203)</f>
        <v>0.0714285714285714</v>
      </c>
      <c r="R203" s="35" t="s">
        <v>2545</v>
      </c>
      <c r="S203" s="34" t="s">
        <v>2118</v>
      </c>
      <c r="T203" s="34" t="s">
        <v>2099</v>
      </c>
    </row>
    <row r="204" customFormat="false" ht="15" hidden="false" customHeight="false" outlineLevel="0" collapsed="false">
      <c r="A204" s="43" t="s">
        <v>2546</v>
      </c>
      <c r="B204" s="43" t="s">
        <v>2101</v>
      </c>
      <c r="C204" s="51" t="n">
        <v>2024</v>
      </c>
      <c r="D204" s="44" t="s">
        <v>2145</v>
      </c>
      <c r="E204" s="44" t="s">
        <v>2103</v>
      </c>
      <c r="F204" s="43" t="s">
        <v>2194</v>
      </c>
      <c r="G204" s="43" t="s">
        <v>2157</v>
      </c>
      <c r="H204" s="46" t="n">
        <v>92</v>
      </c>
      <c r="I204" s="46" t="n">
        <v>9999</v>
      </c>
      <c r="J204" s="46" t="n">
        <f aca="false">H204*I204</f>
        <v>919908</v>
      </c>
      <c r="K204" s="46" t="n">
        <f aca="false">J204*0.68</f>
        <v>625537.44</v>
      </c>
      <c r="L204" s="46" t="n">
        <f aca="false">J204-K204</f>
        <v>294370.56</v>
      </c>
      <c r="M204" s="47" t="n">
        <f aca="false">IF(J204=0,0,L204/J204)</f>
        <v>0.32</v>
      </c>
      <c r="N204" s="47" t="n">
        <v>0.1</v>
      </c>
      <c r="O204" s="46" t="n">
        <f aca="false">J204*(1-N204)</f>
        <v>827917.2</v>
      </c>
      <c r="P204" s="46" t="n">
        <v>0</v>
      </c>
      <c r="Q204" s="47" t="n">
        <f aca="false">IF(H204=0,0,P204/H204)</f>
        <v>0</v>
      </c>
      <c r="R204" s="44" t="s">
        <v>2547</v>
      </c>
      <c r="S204" s="43" t="s">
        <v>2107</v>
      </c>
      <c r="T204" s="43" t="s">
        <v>2099</v>
      </c>
    </row>
    <row r="205" customFormat="false" ht="15" hidden="false" customHeight="false" outlineLevel="0" collapsed="false">
      <c r="A205" s="34" t="s">
        <v>2548</v>
      </c>
      <c r="B205" s="34" t="s">
        <v>2148</v>
      </c>
      <c r="C205" s="42" t="n">
        <v>2023</v>
      </c>
      <c r="D205" s="35" t="s">
        <v>2149</v>
      </c>
      <c r="E205" s="35" t="s">
        <v>2128</v>
      </c>
      <c r="F205" s="34" t="s">
        <v>2175</v>
      </c>
      <c r="G205" s="34" t="s">
        <v>2105</v>
      </c>
      <c r="H205" s="37" t="n">
        <v>298</v>
      </c>
      <c r="I205" s="37" t="n">
        <v>9999</v>
      </c>
      <c r="J205" s="37" t="n">
        <f aca="false">H205*I205</f>
        <v>2979702</v>
      </c>
      <c r="K205" s="37" t="n">
        <f aca="false">J205*0.59</f>
        <v>1758024.18</v>
      </c>
      <c r="L205" s="37" t="n">
        <f aca="false">J205-K205</f>
        <v>1221677.82</v>
      </c>
      <c r="M205" s="38" t="n">
        <f aca="false">IF(J205=0,0,L205/J205)</f>
        <v>0.41</v>
      </c>
      <c r="N205" s="38" t="n">
        <v>0.13</v>
      </c>
      <c r="O205" s="37" t="n">
        <f aca="false">J205*(1-N205)</f>
        <v>2592340.74</v>
      </c>
      <c r="P205" s="37" t="n">
        <v>10</v>
      </c>
      <c r="Q205" s="38" t="n">
        <f aca="false">IF(H205=0,0,P205/H205)</f>
        <v>0.0335570469798658</v>
      </c>
      <c r="R205" s="35" t="s">
        <v>2549</v>
      </c>
      <c r="S205" s="34" t="s">
        <v>2136</v>
      </c>
      <c r="T205" s="34" t="s">
        <v>2124</v>
      </c>
    </row>
    <row r="206" customFormat="false" ht="15" hidden="false" customHeight="false" outlineLevel="0" collapsed="false">
      <c r="A206" s="43" t="s">
        <v>2550</v>
      </c>
      <c r="B206" s="43" t="s">
        <v>2126</v>
      </c>
      <c r="C206" s="51" t="n">
        <v>2022</v>
      </c>
      <c r="D206" s="44" t="s">
        <v>2127</v>
      </c>
      <c r="E206" s="44" t="s">
        <v>2128</v>
      </c>
      <c r="F206" s="43" t="s">
        <v>2175</v>
      </c>
      <c r="G206" s="43" t="s">
        <v>2096</v>
      </c>
      <c r="H206" s="46" t="n">
        <v>9</v>
      </c>
      <c r="I206" s="46" t="n">
        <v>799</v>
      </c>
      <c r="J206" s="46" t="n">
        <f aca="false">H206*I206</f>
        <v>7191</v>
      </c>
      <c r="K206" s="46" t="n">
        <f aca="false">J206*0.51</f>
        <v>3667.41</v>
      </c>
      <c r="L206" s="46" t="n">
        <f aca="false">J206-K206</f>
        <v>3523.59</v>
      </c>
      <c r="M206" s="47" t="n">
        <f aca="false">IF(J206=0,0,L206/J206)</f>
        <v>0.49</v>
      </c>
      <c r="N206" s="47" t="n">
        <v>0.09</v>
      </c>
      <c r="O206" s="46" t="n">
        <f aca="false">J206*(1-N206)</f>
        <v>6543.81</v>
      </c>
      <c r="P206" s="46" t="n">
        <v>0</v>
      </c>
      <c r="Q206" s="47" t="n">
        <f aca="false">IF(H206=0,0,P206/H206)</f>
        <v>0</v>
      </c>
      <c r="R206" s="44" t="s">
        <v>2551</v>
      </c>
      <c r="S206" s="43" t="s">
        <v>2107</v>
      </c>
      <c r="T206" s="43" t="s">
        <v>2099</v>
      </c>
    </row>
    <row r="207" customFormat="false" ht="15" hidden="false" customHeight="false" outlineLevel="0" collapsed="false">
      <c r="A207" s="34" t="s">
        <v>2552</v>
      </c>
      <c r="B207" s="34" t="s">
        <v>2156</v>
      </c>
      <c r="C207" s="42" t="n">
        <v>2024</v>
      </c>
      <c r="D207" s="35" t="s">
        <v>2115</v>
      </c>
      <c r="E207" s="35" t="s">
        <v>2103</v>
      </c>
      <c r="F207" s="34" t="s">
        <v>2194</v>
      </c>
      <c r="G207" s="34" t="s">
        <v>2129</v>
      </c>
      <c r="H207" s="37" t="n">
        <v>28</v>
      </c>
      <c r="I207" s="37" t="n">
        <v>35999</v>
      </c>
      <c r="J207" s="37" t="n">
        <f aca="false">H207*I207</f>
        <v>1007972</v>
      </c>
      <c r="K207" s="37" t="n">
        <f aca="false">J207*0.54</f>
        <v>544304.88</v>
      </c>
      <c r="L207" s="37" t="n">
        <f aca="false">J207-K207</f>
        <v>463667.12</v>
      </c>
      <c r="M207" s="38" t="n">
        <f aca="false">IF(J207=0,0,L207/J207)</f>
        <v>0.46</v>
      </c>
      <c r="N207" s="38" t="n">
        <v>0.1</v>
      </c>
      <c r="O207" s="37" t="n">
        <f aca="false">J207*(1-N207)</f>
        <v>907174.8</v>
      </c>
      <c r="P207" s="37" t="n">
        <v>1</v>
      </c>
      <c r="Q207" s="38" t="n">
        <f aca="false">IF(H207=0,0,P207/H207)</f>
        <v>0.0357142857142857</v>
      </c>
      <c r="R207" s="35" t="s">
        <v>2553</v>
      </c>
      <c r="S207" s="34" t="s">
        <v>2118</v>
      </c>
      <c r="T207" s="34" t="s">
        <v>2099</v>
      </c>
    </row>
    <row r="208" customFormat="false" ht="15" hidden="false" customHeight="false" outlineLevel="0" collapsed="false">
      <c r="A208" s="43" t="s">
        <v>2554</v>
      </c>
      <c r="B208" s="43" t="s">
        <v>2148</v>
      </c>
      <c r="C208" s="51" t="n">
        <v>2023</v>
      </c>
      <c r="D208" s="44" t="s">
        <v>2102</v>
      </c>
      <c r="E208" s="44" t="s">
        <v>2103</v>
      </c>
      <c r="F208" s="43" t="s">
        <v>2142</v>
      </c>
      <c r="G208" s="43" t="s">
        <v>2134</v>
      </c>
      <c r="H208" s="46" t="n">
        <v>264</v>
      </c>
      <c r="I208" s="46" t="n">
        <v>2499</v>
      </c>
      <c r="J208" s="46" t="n">
        <f aca="false">H208*I208</f>
        <v>659736</v>
      </c>
      <c r="K208" s="46" t="n">
        <f aca="false">J208*0.64</f>
        <v>422231.04</v>
      </c>
      <c r="L208" s="46" t="n">
        <f aca="false">J208-K208</f>
        <v>237504.96</v>
      </c>
      <c r="M208" s="47" t="n">
        <f aca="false">IF(J208=0,0,L208/J208)</f>
        <v>0.36</v>
      </c>
      <c r="N208" s="47" t="n">
        <v>0.03</v>
      </c>
      <c r="O208" s="46" t="n">
        <f aca="false">J208*(1-N208)</f>
        <v>639943.92</v>
      </c>
      <c r="P208" s="46" t="n">
        <v>1</v>
      </c>
      <c r="Q208" s="47" t="n">
        <f aca="false">IF(H208=0,0,P208/H208)</f>
        <v>0.00378787878787879</v>
      </c>
      <c r="R208" s="44" t="s">
        <v>2555</v>
      </c>
      <c r="S208" s="43" t="s">
        <v>2136</v>
      </c>
      <c r="T208" s="43" t="s">
        <v>2099</v>
      </c>
    </row>
    <row r="209" customFormat="false" ht="15" hidden="false" customHeight="false" outlineLevel="0" collapsed="false">
      <c r="A209" s="34" t="s">
        <v>2556</v>
      </c>
      <c r="B209" s="34" t="s">
        <v>2114</v>
      </c>
      <c r="C209" s="42" t="n">
        <v>2023</v>
      </c>
      <c r="D209" s="35" t="s">
        <v>2133</v>
      </c>
      <c r="E209" s="35" t="s">
        <v>2103</v>
      </c>
      <c r="F209" s="34" t="s">
        <v>2194</v>
      </c>
      <c r="G209" s="34" t="s">
        <v>2105</v>
      </c>
      <c r="H209" s="37" t="n">
        <v>139</v>
      </c>
      <c r="I209" s="37" t="n">
        <v>24999</v>
      </c>
      <c r="J209" s="37" t="n">
        <f aca="false">H209*I209</f>
        <v>3474861</v>
      </c>
      <c r="K209" s="37" t="n">
        <f aca="false">J209*0.62</f>
        <v>2154413.82</v>
      </c>
      <c r="L209" s="37" t="n">
        <f aca="false">J209-K209</f>
        <v>1320447.18</v>
      </c>
      <c r="M209" s="38" t="n">
        <f aca="false">IF(J209=0,0,L209/J209)</f>
        <v>0.38</v>
      </c>
      <c r="N209" s="38" t="n">
        <v>0.05</v>
      </c>
      <c r="O209" s="37" t="n">
        <f aca="false">J209*(1-N209)</f>
        <v>3301117.95</v>
      </c>
      <c r="P209" s="37" t="n">
        <v>4</v>
      </c>
      <c r="Q209" s="38" t="n">
        <f aca="false">IF(H209=0,0,P209/H209)</f>
        <v>0.0287769784172662</v>
      </c>
      <c r="R209" s="35" t="s">
        <v>2557</v>
      </c>
      <c r="S209" s="34" t="s">
        <v>2118</v>
      </c>
      <c r="T209" s="34" t="s">
        <v>2099</v>
      </c>
    </row>
    <row r="210" customFormat="false" ht="15" hidden="false" customHeight="false" outlineLevel="0" collapsed="false">
      <c r="A210" s="43" t="s">
        <v>2558</v>
      </c>
      <c r="B210" s="43" t="s">
        <v>2120</v>
      </c>
      <c r="C210" s="51" t="n">
        <v>2022</v>
      </c>
      <c r="D210" s="44" t="s">
        <v>2115</v>
      </c>
      <c r="E210" s="44" t="s">
        <v>2103</v>
      </c>
      <c r="F210" s="43" t="s">
        <v>2175</v>
      </c>
      <c r="G210" s="43" t="s">
        <v>2105</v>
      </c>
      <c r="H210" s="46" t="n">
        <v>191</v>
      </c>
      <c r="I210" s="46" t="n">
        <v>2999</v>
      </c>
      <c r="J210" s="46" t="n">
        <f aca="false">H210*I210</f>
        <v>572809</v>
      </c>
      <c r="K210" s="46" t="n">
        <f aca="false">J210*0.57</f>
        <v>326501.13</v>
      </c>
      <c r="L210" s="46" t="n">
        <f aca="false">J210-K210</f>
        <v>246307.87</v>
      </c>
      <c r="M210" s="47" t="n">
        <f aca="false">IF(J210=0,0,L210/J210)</f>
        <v>0.43</v>
      </c>
      <c r="N210" s="47" t="n">
        <v>0.05</v>
      </c>
      <c r="O210" s="46" t="n">
        <f aca="false">J210*(1-N210)</f>
        <v>544168.55</v>
      </c>
      <c r="P210" s="46" t="n">
        <v>2</v>
      </c>
      <c r="Q210" s="47" t="n">
        <f aca="false">IF(H210=0,0,P210/H210)</f>
        <v>0.0104712041884817</v>
      </c>
      <c r="R210" s="44" t="s">
        <v>2559</v>
      </c>
      <c r="S210" s="43" t="s">
        <v>2098</v>
      </c>
      <c r="T210" s="43" t="s">
        <v>2099</v>
      </c>
    </row>
    <row r="211" customFormat="false" ht="15" hidden="false" customHeight="false" outlineLevel="0" collapsed="false">
      <c r="A211" s="34" t="s">
        <v>2560</v>
      </c>
      <c r="B211" s="34" t="s">
        <v>2132</v>
      </c>
      <c r="C211" s="42" t="n">
        <v>2022</v>
      </c>
      <c r="D211" s="35" t="s">
        <v>2102</v>
      </c>
      <c r="E211" s="35" t="s">
        <v>2103</v>
      </c>
      <c r="F211" s="34" t="s">
        <v>2095</v>
      </c>
      <c r="G211" s="34" t="s">
        <v>2129</v>
      </c>
      <c r="H211" s="37" t="n">
        <v>408</v>
      </c>
      <c r="I211" s="37" t="n">
        <v>299</v>
      </c>
      <c r="J211" s="37" t="n">
        <f aca="false">H211*I211</f>
        <v>121992</v>
      </c>
      <c r="K211" s="37" t="n">
        <f aca="false">J211*0.59</f>
        <v>71975.28</v>
      </c>
      <c r="L211" s="37" t="n">
        <f aca="false">J211-K211</f>
        <v>50016.72</v>
      </c>
      <c r="M211" s="38" t="n">
        <f aca="false">IF(J211=0,0,L211/J211)</f>
        <v>0.41</v>
      </c>
      <c r="N211" s="38" t="n">
        <v>0.1</v>
      </c>
      <c r="O211" s="37" t="n">
        <f aca="false">J211*(1-N211)</f>
        <v>109792.8</v>
      </c>
      <c r="P211" s="37" t="n">
        <v>16</v>
      </c>
      <c r="Q211" s="38" t="n">
        <f aca="false">IF(H211=0,0,P211/H211)</f>
        <v>0.0392156862745098</v>
      </c>
      <c r="R211" s="35" t="s">
        <v>2561</v>
      </c>
      <c r="S211" s="34" t="s">
        <v>2136</v>
      </c>
      <c r="T211" s="34" t="s">
        <v>2099</v>
      </c>
    </row>
    <row r="212" customFormat="false" ht="15" hidden="false" customHeight="false" outlineLevel="0" collapsed="false">
      <c r="A212" s="43" t="s">
        <v>2562</v>
      </c>
      <c r="B212" s="43" t="s">
        <v>2213</v>
      </c>
      <c r="C212" s="51" t="n">
        <v>2023</v>
      </c>
      <c r="D212" s="44" t="s">
        <v>2145</v>
      </c>
      <c r="E212" s="44" t="s">
        <v>2103</v>
      </c>
      <c r="F212" s="43" t="s">
        <v>2116</v>
      </c>
      <c r="G212" s="43" t="s">
        <v>2134</v>
      </c>
      <c r="H212" s="46" t="n">
        <v>420</v>
      </c>
      <c r="I212" s="46" t="n">
        <v>12999</v>
      </c>
      <c r="J212" s="46" t="n">
        <f aca="false">H212*I212</f>
        <v>5459580</v>
      </c>
      <c r="K212" s="46" t="n">
        <f aca="false">J212*0.68</f>
        <v>3712514.4</v>
      </c>
      <c r="L212" s="46" t="n">
        <f aca="false">J212-K212</f>
        <v>1747065.6</v>
      </c>
      <c r="M212" s="47" t="n">
        <f aca="false">IF(J212=0,0,L212/J212)</f>
        <v>0.32</v>
      </c>
      <c r="N212" s="47" t="n">
        <v>0.07</v>
      </c>
      <c r="O212" s="46" t="n">
        <f aca="false">J212*(1-N212)</f>
        <v>5077409.4</v>
      </c>
      <c r="P212" s="46" t="n">
        <v>9</v>
      </c>
      <c r="Q212" s="47" t="n">
        <f aca="false">IF(H212=0,0,P212/H212)</f>
        <v>0.0214285714285714</v>
      </c>
      <c r="R212" s="44" t="s">
        <v>2563</v>
      </c>
      <c r="S212" s="43" t="s">
        <v>2118</v>
      </c>
      <c r="T212" s="43" t="s">
        <v>2099</v>
      </c>
    </row>
    <row r="213" customFormat="false" ht="15" hidden="false" customHeight="false" outlineLevel="0" collapsed="false">
      <c r="A213" s="34" t="s">
        <v>2564</v>
      </c>
      <c r="B213" s="34" t="s">
        <v>2120</v>
      </c>
      <c r="C213" s="42" t="n">
        <v>2023</v>
      </c>
      <c r="D213" s="35" t="s">
        <v>2145</v>
      </c>
      <c r="E213" s="35" t="s">
        <v>2103</v>
      </c>
      <c r="F213" s="34" t="s">
        <v>2175</v>
      </c>
      <c r="G213" s="34" t="s">
        <v>2096</v>
      </c>
      <c r="H213" s="37" t="n">
        <v>391</v>
      </c>
      <c r="I213" s="37" t="n">
        <v>8999</v>
      </c>
      <c r="J213" s="37" t="n">
        <f aca="false">H213*I213</f>
        <v>3518609</v>
      </c>
      <c r="K213" s="37" t="n">
        <f aca="false">J213*0.49</f>
        <v>1724118.41</v>
      </c>
      <c r="L213" s="37" t="n">
        <f aca="false">J213-K213</f>
        <v>1794490.59</v>
      </c>
      <c r="M213" s="38" t="n">
        <f aca="false">IF(J213=0,0,L213/J213)</f>
        <v>0.51</v>
      </c>
      <c r="N213" s="38" t="n">
        <v>0.05</v>
      </c>
      <c r="O213" s="37" t="n">
        <f aca="false">J213*(1-N213)</f>
        <v>3342678.55</v>
      </c>
      <c r="P213" s="37" t="n">
        <v>3</v>
      </c>
      <c r="Q213" s="38" t="n">
        <f aca="false">IF(H213=0,0,P213/H213)</f>
        <v>0.00767263427109974</v>
      </c>
      <c r="R213" s="35" t="s">
        <v>2565</v>
      </c>
      <c r="S213" s="34" t="s">
        <v>2098</v>
      </c>
      <c r="T213" s="34" t="s">
        <v>2099</v>
      </c>
    </row>
    <row r="214" customFormat="false" ht="15" hidden="false" customHeight="false" outlineLevel="0" collapsed="false">
      <c r="A214" s="43" t="s">
        <v>2566</v>
      </c>
      <c r="B214" s="43" t="s">
        <v>2120</v>
      </c>
      <c r="C214" s="51" t="n">
        <v>2024</v>
      </c>
      <c r="D214" s="44" t="s">
        <v>2115</v>
      </c>
      <c r="E214" s="44" t="s">
        <v>2103</v>
      </c>
      <c r="F214" s="43" t="s">
        <v>2142</v>
      </c>
      <c r="G214" s="43" t="s">
        <v>2129</v>
      </c>
      <c r="H214" s="46" t="n">
        <v>158</v>
      </c>
      <c r="I214" s="46" t="n">
        <v>12999</v>
      </c>
      <c r="J214" s="46" t="n">
        <f aca="false">H214*I214</f>
        <v>2053842</v>
      </c>
      <c r="K214" s="46" t="n">
        <f aca="false">J214*0.5</f>
        <v>1026921</v>
      </c>
      <c r="L214" s="46" t="n">
        <f aca="false">J214-K214</f>
        <v>1026921</v>
      </c>
      <c r="M214" s="47" t="n">
        <f aca="false">IF(J214=0,0,L214/J214)</f>
        <v>0.5</v>
      </c>
      <c r="N214" s="47" t="n">
        <v>0.15</v>
      </c>
      <c r="O214" s="46" t="n">
        <f aca="false">J214*(1-N214)</f>
        <v>1745765.7</v>
      </c>
      <c r="P214" s="46" t="n">
        <v>6</v>
      </c>
      <c r="Q214" s="47" t="n">
        <f aca="false">IF(H214=0,0,P214/H214)</f>
        <v>0.0379746835443038</v>
      </c>
      <c r="R214" s="44" t="s">
        <v>2567</v>
      </c>
      <c r="S214" s="43" t="s">
        <v>2098</v>
      </c>
      <c r="T214" s="43" t="s">
        <v>2099</v>
      </c>
    </row>
    <row r="215" customFormat="false" ht="15" hidden="false" customHeight="false" outlineLevel="0" collapsed="false">
      <c r="A215" s="34" t="s">
        <v>2568</v>
      </c>
      <c r="B215" s="34" t="s">
        <v>2092</v>
      </c>
      <c r="C215" s="42" t="n">
        <v>2022</v>
      </c>
      <c r="D215" s="35" t="s">
        <v>2214</v>
      </c>
      <c r="E215" s="35" t="s">
        <v>2103</v>
      </c>
      <c r="F215" s="34" t="s">
        <v>2111</v>
      </c>
      <c r="G215" s="34" t="s">
        <v>2157</v>
      </c>
      <c r="H215" s="37" t="n">
        <v>22</v>
      </c>
      <c r="I215" s="37" t="n">
        <v>2499</v>
      </c>
      <c r="J215" s="37" t="n">
        <f aca="false">H215*I215</f>
        <v>54978</v>
      </c>
      <c r="K215" s="37" t="n">
        <f aca="false">J215*0.48</f>
        <v>26389.44</v>
      </c>
      <c r="L215" s="37" t="n">
        <f aca="false">J215-K215</f>
        <v>28588.56</v>
      </c>
      <c r="M215" s="38" t="n">
        <f aca="false">IF(J215=0,0,L215/J215)</f>
        <v>0.52</v>
      </c>
      <c r="N215" s="38" t="n">
        <v>0.12</v>
      </c>
      <c r="O215" s="37" t="n">
        <f aca="false">J215*(1-N215)</f>
        <v>48380.64</v>
      </c>
      <c r="P215" s="37" t="n">
        <v>0</v>
      </c>
      <c r="Q215" s="38" t="n">
        <f aca="false">IF(H215=0,0,P215/H215)</f>
        <v>0</v>
      </c>
      <c r="R215" s="35" t="s">
        <v>2569</v>
      </c>
      <c r="S215" s="34" t="s">
        <v>2098</v>
      </c>
      <c r="T215" s="34" t="s">
        <v>2124</v>
      </c>
    </row>
    <row r="216" customFormat="false" ht="15" hidden="false" customHeight="false" outlineLevel="0" collapsed="false">
      <c r="A216" s="43" t="s">
        <v>2570</v>
      </c>
      <c r="B216" s="43" t="s">
        <v>2092</v>
      </c>
      <c r="C216" s="51" t="n">
        <v>2023</v>
      </c>
      <c r="D216" s="44" t="s">
        <v>2180</v>
      </c>
      <c r="E216" s="44" t="s">
        <v>2181</v>
      </c>
      <c r="F216" s="43" t="s">
        <v>2116</v>
      </c>
      <c r="G216" s="43" t="s">
        <v>2105</v>
      </c>
      <c r="H216" s="46" t="n">
        <v>342</v>
      </c>
      <c r="I216" s="46" t="n">
        <v>4999</v>
      </c>
      <c r="J216" s="46" t="n">
        <f aca="false">H216*I216</f>
        <v>1709658</v>
      </c>
      <c r="K216" s="46" t="n">
        <f aca="false">J216*0.64</f>
        <v>1094181.12</v>
      </c>
      <c r="L216" s="46" t="n">
        <f aca="false">J216-K216</f>
        <v>615476.88</v>
      </c>
      <c r="M216" s="47" t="n">
        <f aca="false">IF(J216=0,0,L216/J216)</f>
        <v>0.36</v>
      </c>
      <c r="N216" s="47" t="n">
        <v>0.12</v>
      </c>
      <c r="O216" s="46" t="n">
        <f aca="false">J216*(1-N216)</f>
        <v>1504499.04</v>
      </c>
      <c r="P216" s="46" t="n">
        <v>6</v>
      </c>
      <c r="Q216" s="47" t="n">
        <f aca="false">IF(H216=0,0,P216/H216)</f>
        <v>0.0175438596491228</v>
      </c>
      <c r="R216" s="44" t="s">
        <v>2571</v>
      </c>
      <c r="S216" s="43" t="s">
        <v>2098</v>
      </c>
      <c r="T216" s="43" t="s">
        <v>2099</v>
      </c>
    </row>
    <row r="217" customFormat="false" ht="15" hidden="false" customHeight="false" outlineLevel="0" collapsed="false">
      <c r="A217" s="34" t="s">
        <v>2572</v>
      </c>
      <c r="B217" s="34" t="s">
        <v>2120</v>
      </c>
      <c r="C217" s="42" t="n">
        <v>2024</v>
      </c>
      <c r="D217" s="35" t="s">
        <v>2127</v>
      </c>
      <c r="E217" s="35" t="s">
        <v>2128</v>
      </c>
      <c r="F217" s="34" t="s">
        <v>2116</v>
      </c>
      <c r="G217" s="34" t="s">
        <v>2134</v>
      </c>
      <c r="H217" s="37" t="n">
        <v>75</v>
      </c>
      <c r="I217" s="37" t="n">
        <v>799</v>
      </c>
      <c r="J217" s="37" t="n">
        <f aca="false">H217*I217</f>
        <v>59925</v>
      </c>
      <c r="K217" s="37" t="n">
        <f aca="false">J217*0.64</f>
        <v>38352</v>
      </c>
      <c r="L217" s="37" t="n">
        <f aca="false">J217-K217</f>
        <v>21573</v>
      </c>
      <c r="M217" s="38" t="n">
        <f aca="false">IF(J217=0,0,L217/J217)</f>
        <v>0.36</v>
      </c>
      <c r="N217" s="38" t="n">
        <v>0.04</v>
      </c>
      <c r="O217" s="37" t="n">
        <f aca="false">J217*(1-N217)</f>
        <v>57528</v>
      </c>
      <c r="P217" s="37" t="n">
        <v>2</v>
      </c>
      <c r="Q217" s="38" t="n">
        <f aca="false">IF(H217=0,0,P217/H217)</f>
        <v>0.0266666666666667</v>
      </c>
      <c r="R217" s="35" t="s">
        <v>2573</v>
      </c>
      <c r="S217" s="34" t="s">
        <v>2098</v>
      </c>
      <c r="T217" s="34" t="s">
        <v>2099</v>
      </c>
    </row>
    <row r="218" customFormat="false" ht="15" hidden="false" customHeight="false" outlineLevel="0" collapsed="false">
      <c r="A218" s="43" t="s">
        <v>2574</v>
      </c>
      <c r="B218" s="43" t="s">
        <v>2120</v>
      </c>
      <c r="C218" s="51" t="n">
        <v>2024</v>
      </c>
      <c r="D218" s="44" t="s">
        <v>2214</v>
      </c>
      <c r="E218" s="44" t="s">
        <v>2103</v>
      </c>
      <c r="F218" s="43" t="s">
        <v>2142</v>
      </c>
      <c r="G218" s="43" t="s">
        <v>2096</v>
      </c>
      <c r="H218" s="46" t="n">
        <v>124</v>
      </c>
      <c r="I218" s="46" t="n">
        <v>1999</v>
      </c>
      <c r="J218" s="46" t="n">
        <f aca="false">H218*I218</f>
        <v>247876</v>
      </c>
      <c r="K218" s="46" t="n">
        <f aca="false">J218*0.59</f>
        <v>146246.84</v>
      </c>
      <c r="L218" s="46" t="n">
        <f aca="false">J218-K218</f>
        <v>101629.16</v>
      </c>
      <c r="M218" s="47" t="n">
        <f aca="false">IF(J218=0,0,L218/J218)</f>
        <v>0.41</v>
      </c>
      <c r="N218" s="47" t="n">
        <v>0.01</v>
      </c>
      <c r="O218" s="46" t="n">
        <f aca="false">J218*(1-N218)</f>
        <v>245397.24</v>
      </c>
      <c r="P218" s="46" t="n">
        <v>4</v>
      </c>
      <c r="Q218" s="47" t="n">
        <f aca="false">IF(H218=0,0,P218/H218)</f>
        <v>0.032258064516129</v>
      </c>
      <c r="R218" s="44" t="s">
        <v>2575</v>
      </c>
      <c r="S218" s="43" t="s">
        <v>2098</v>
      </c>
      <c r="T218" s="43" t="s">
        <v>2099</v>
      </c>
    </row>
    <row r="219" customFormat="false" ht="15" hidden="false" customHeight="false" outlineLevel="0" collapsed="false">
      <c r="A219" s="34" t="s">
        <v>2576</v>
      </c>
      <c r="B219" s="34" t="s">
        <v>2114</v>
      </c>
      <c r="C219" s="42" t="n">
        <v>2022</v>
      </c>
      <c r="D219" s="35" t="s">
        <v>2174</v>
      </c>
      <c r="E219" s="35" t="s">
        <v>2103</v>
      </c>
      <c r="F219" s="34" t="s">
        <v>2095</v>
      </c>
      <c r="G219" s="34" t="s">
        <v>2105</v>
      </c>
      <c r="H219" s="37" t="n">
        <v>88</v>
      </c>
      <c r="I219" s="37" t="n">
        <v>299</v>
      </c>
      <c r="J219" s="37" t="n">
        <f aca="false">H219*I219</f>
        <v>26312</v>
      </c>
      <c r="K219" s="37" t="n">
        <f aca="false">J219*0.64</f>
        <v>16839.68</v>
      </c>
      <c r="L219" s="37" t="n">
        <f aca="false">J219-K219</f>
        <v>9472.32</v>
      </c>
      <c r="M219" s="38" t="n">
        <f aca="false">IF(J219=0,0,L219/J219)</f>
        <v>0.36</v>
      </c>
      <c r="N219" s="38" t="n">
        <v>0</v>
      </c>
      <c r="O219" s="37" t="n">
        <f aca="false">J219*(1-N219)</f>
        <v>26312</v>
      </c>
      <c r="P219" s="37" t="n">
        <v>0</v>
      </c>
      <c r="Q219" s="38" t="n">
        <f aca="false">IF(H219=0,0,P219/H219)</f>
        <v>0</v>
      </c>
      <c r="R219" s="35" t="s">
        <v>2577</v>
      </c>
      <c r="S219" s="34" t="s">
        <v>2118</v>
      </c>
      <c r="T219" s="34" t="s">
        <v>2099</v>
      </c>
    </row>
    <row r="220" customFormat="false" ht="15" hidden="false" customHeight="false" outlineLevel="0" collapsed="false">
      <c r="A220" s="43" t="s">
        <v>2578</v>
      </c>
      <c r="B220" s="43" t="s">
        <v>2114</v>
      </c>
      <c r="C220" s="51" t="n">
        <v>2024</v>
      </c>
      <c r="D220" s="44" t="s">
        <v>2121</v>
      </c>
      <c r="E220" s="44" t="s">
        <v>2122</v>
      </c>
      <c r="F220" s="43" t="s">
        <v>2194</v>
      </c>
      <c r="G220" s="43" t="s">
        <v>2096</v>
      </c>
      <c r="H220" s="46" t="n">
        <v>95</v>
      </c>
      <c r="I220" s="46" t="n">
        <v>9999</v>
      </c>
      <c r="J220" s="46" t="n">
        <f aca="false">H220*I220</f>
        <v>949905</v>
      </c>
      <c r="K220" s="46" t="n">
        <f aca="false">J220*0.62</f>
        <v>588941.1</v>
      </c>
      <c r="L220" s="46" t="n">
        <f aca="false">J220-K220</f>
        <v>360963.9</v>
      </c>
      <c r="M220" s="47" t="n">
        <f aca="false">IF(J220=0,0,L220/J220)</f>
        <v>0.38</v>
      </c>
      <c r="N220" s="47" t="n">
        <v>0.02</v>
      </c>
      <c r="O220" s="46" t="n">
        <f aca="false">J220*(1-N220)</f>
        <v>930906.9</v>
      </c>
      <c r="P220" s="46" t="n">
        <v>2</v>
      </c>
      <c r="Q220" s="47" t="n">
        <f aca="false">IF(H220=0,0,P220/H220)</f>
        <v>0.0210526315789474</v>
      </c>
      <c r="R220" s="44" t="s">
        <v>2579</v>
      </c>
      <c r="S220" s="43" t="s">
        <v>2118</v>
      </c>
      <c r="T220" s="43" t="s">
        <v>2124</v>
      </c>
    </row>
    <row r="221" customFormat="false" ht="15" hidden="false" customHeight="false" outlineLevel="0" collapsed="false">
      <c r="A221" s="34" t="s">
        <v>2580</v>
      </c>
      <c r="B221" s="34" t="s">
        <v>2213</v>
      </c>
      <c r="C221" s="42" t="n">
        <v>2022</v>
      </c>
      <c r="D221" s="35" t="s">
        <v>2102</v>
      </c>
      <c r="E221" s="35" t="s">
        <v>2103</v>
      </c>
      <c r="F221" s="34" t="s">
        <v>2095</v>
      </c>
      <c r="G221" s="34" t="s">
        <v>2157</v>
      </c>
      <c r="H221" s="37" t="n">
        <v>58</v>
      </c>
      <c r="I221" s="37" t="n">
        <v>2999</v>
      </c>
      <c r="J221" s="37" t="n">
        <f aca="false">H221*I221</f>
        <v>173942</v>
      </c>
      <c r="K221" s="37" t="n">
        <f aca="false">J221*0.7</f>
        <v>121759.4</v>
      </c>
      <c r="L221" s="37" t="n">
        <f aca="false">J221-K221</f>
        <v>52182.6</v>
      </c>
      <c r="M221" s="38" t="n">
        <f aca="false">IF(J221=0,0,L221/J221)</f>
        <v>0.3</v>
      </c>
      <c r="N221" s="38" t="n">
        <v>0.02</v>
      </c>
      <c r="O221" s="37" t="n">
        <f aca="false">J221*(1-N221)</f>
        <v>170463.16</v>
      </c>
      <c r="P221" s="37" t="n">
        <v>0</v>
      </c>
      <c r="Q221" s="38" t="n">
        <f aca="false">IF(H221=0,0,P221/H221)</f>
        <v>0</v>
      </c>
      <c r="R221" s="35" t="s">
        <v>2581</v>
      </c>
      <c r="S221" s="34" t="s">
        <v>2118</v>
      </c>
      <c r="T221" s="34" t="s">
        <v>2099</v>
      </c>
    </row>
    <row r="222" customFormat="false" ht="15" hidden="false" customHeight="false" outlineLevel="0" collapsed="false">
      <c r="A222" s="43" t="s">
        <v>2582</v>
      </c>
      <c r="B222" s="43" t="s">
        <v>2156</v>
      </c>
      <c r="C222" s="51" t="n">
        <v>2023</v>
      </c>
      <c r="D222" s="44" t="s">
        <v>2174</v>
      </c>
      <c r="E222" s="44" t="s">
        <v>2103</v>
      </c>
      <c r="F222" s="43" t="s">
        <v>2194</v>
      </c>
      <c r="G222" s="43" t="s">
        <v>2096</v>
      </c>
      <c r="H222" s="46" t="n">
        <v>370</v>
      </c>
      <c r="I222" s="46" t="n">
        <v>4999</v>
      </c>
      <c r="J222" s="46" t="n">
        <f aca="false">H222*I222</f>
        <v>1849630</v>
      </c>
      <c r="K222" s="46" t="n">
        <f aca="false">J222*0.47</f>
        <v>869326.1</v>
      </c>
      <c r="L222" s="46" t="n">
        <f aca="false">J222-K222</f>
        <v>980303.9</v>
      </c>
      <c r="M222" s="47" t="n">
        <f aca="false">IF(J222=0,0,L222/J222)</f>
        <v>0.53</v>
      </c>
      <c r="N222" s="47" t="n">
        <v>0.07</v>
      </c>
      <c r="O222" s="46" t="n">
        <f aca="false">J222*(1-N222)</f>
        <v>1720155.9</v>
      </c>
      <c r="P222" s="46" t="n">
        <v>12</v>
      </c>
      <c r="Q222" s="47" t="n">
        <f aca="false">IF(H222=0,0,P222/H222)</f>
        <v>0.0324324324324324</v>
      </c>
      <c r="R222" s="44" t="s">
        <v>2583</v>
      </c>
      <c r="S222" s="43" t="s">
        <v>2118</v>
      </c>
      <c r="T222" s="43" t="s">
        <v>2099</v>
      </c>
    </row>
    <row r="223" customFormat="false" ht="15" hidden="false" customHeight="false" outlineLevel="0" collapsed="false">
      <c r="A223" s="34" t="s">
        <v>2584</v>
      </c>
      <c r="B223" s="34" t="s">
        <v>2156</v>
      </c>
      <c r="C223" s="42" t="n">
        <v>2024</v>
      </c>
      <c r="D223" s="35" t="s">
        <v>2174</v>
      </c>
      <c r="E223" s="35" t="s">
        <v>2103</v>
      </c>
      <c r="F223" s="34" t="s">
        <v>2194</v>
      </c>
      <c r="G223" s="34" t="s">
        <v>2157</v>
      </c>
      <c r="H223" s="37" t="n">
        <v>116</v>
      </c>
      <c r="I223" s="37" t="n">
        <v>1999</v>
      </c>
      <c r="J223" s="37" t="n">
        <f aca="false">H223*I223</f>
        <v>231884</v>
      </c>
      <c r="K223" s="37" t="n">
        <f aca="false">J223*0.55</f>
        <v>127536.2</v>
      </c>
      <c r="L223" s="37" t="n">
        <f aca="false">J223-K223</f>
        <v>104347.8</v>
      </c>
      <c r="M223" s="38" t="n">
        <f aca="false">IF(J223=0,0,L223/J223)</f>
        <v>0.45</v>
      </c>
      <c r="N223" s="38" t="n">
        <v>0.15</v>
      </c>
      <c r="O223" s="37" t="n">
        <f aca="false">J223*(1-N223)</f>
        <v>197101.4</v>
      </c>
      <c r="P223" s="37" t="n">
        <v>3</v>
      </c>
      <c r="Q223" s="38" t="n">
        <f aca="false">IF(H223=0,0,P223/H223)</f>
        <v>0.0258620689655172</v>
      </c>
      <c r="R223" s="35" t="s">
        <v>2585</v>
      </c>
      <c r="S223" s="34" t="s">
        <v>2118</v>
      </c>
      <c r="T223" s="34" t="s">
        <v>2099</v>
      </c>
    </row>
    <row r="224" customFormat="false" ht="15" hidden="false" customHeight="false" outlineLevel="0" collapsed="false">
      <c r="A224" s="43" t="s">
        <v>2586</v>
      </c>
      <c r="B224" s="43" t="s">
        <v>2092</v>
      </c>
      <c r="C224" s="51" t="n">
        <v>2023</v>
      </c>
      <c r="D224" s="44" t="s">
        <v>2093</v>
      </c>
      <c r="E224" s="44" t="s">
        <v>2094</v>
      </c>
      <c r="F224" s="43" t="s">
        <v>2194</v>
      </c>
      <c r="G224" s="43" t="s">
        <v>2129</v>
      </c>
      <c r="H224" s="46" t="n">
        <v>7</v>
      </c>
      <c r="I224" s="46" t="n">
        <v>24999</v>
      </c>
      <c r="J224" s="46" t="n">
        <f aca="false">H224*I224</f>
        <v>174993</v>
      </c>
      <c r="K224" s="46" t="n">
        <f aca="false">J224*0.57</f>
        <v>99746.01</v>
      </c>
      <c r="L224" s="46" t="n">
        <f aca="false">J224-K224</f>
        <v>75246.99</v>
      </c>
      <c r="M224" s="47" t="n">
        <f aca="false">IF(J224=0,0,L224/J224)</f>
        <v>0.43</v>
      </c>
      <c r="N224" s="47" t="n">
        <v>0.02</v>
      </c>
      <c r="O224" s="46" t="n">
        <f aca="false">J224*(1-N224)</f>
        <v>171493.14</v>
      </c>
      <c r="P224" s="46" t="n">
        <v>1</v>
      </c>
      <c r="Q224" s="47" t="n">
        <f aca="false">IF(H224=0,0,P224/H224)</f>
        <v>0.142857142857143</v>
      </c>
      <c r="R224" s="44" t="s">
        <v>2587</v>
      </c>
      <c r="S224" s="43" t="s">
        <v>2098</v>
      </c>
      <c r="T224" s="43" t="s">
        <v>2099</v>
      </c>
    </row>
    <row r="225" customFormat="false" ht="15" hidden="false" customHeight="false" outlineLevel="0" collapsed="false">
      <c r="A225" s="34" t="s">
        <v>2588</v>
      </c>
      <c r="B225" s="34" t="s">
        <v>2092</v>
      </c>
      <c r="C225" s="42" t="n">
        <v>2022</v>
      </c>
      <c r="D225" s="35" t="s">
        <v>2207</v>
      </c>
      <c r="E225" s="35" t="s">
        <v>2208</v>
      </c>
      <c r="F225" s="34" t="s">
        <v>2111</v>
      </c>
      <c r="G225" s="34" t="s">
        <v>2096</v>
      </c>
      <c r="H225" s="37" t="n">
        <v>53</v>
      </c>
      <c r="I225" s="37" t="n">
        <v>3999</v>
      </c>
      <c r="J225" s="37" t="n">
        <f aca="false">H225*I225</f>
        <v>211947</v>
      </c>
      <c r="K225" s="37" t="n">
        <f aca="false">J225*0.68</f>
        <v>144123.96</v>
      </c>
      <c r="L225" s="37" t="n">
        <f aca="false">J225-K225</f>
        <v>67823.04</v>
      </c>
      <c r="M225" s="38" t="n">
        <f aca="false">IF(J225=0,0,L225/J225)</f>
        <v>0.32</v>
      </c>
      <c r="N225" s="38" t="n">
        <v>0.15</v>
      </c>
      <c r="O225" s="37" t="n">
        <f aca="false">J225*(1-N225)</f>
        <v>180154.95</v>
      </c>
      <c r="P225" s="37" t="n">
        <v>0</v>
      </c>
      <c r="Q225" s="38" t="n">
        <f aca="false">IF(H225=0,0,P225/H225)</f>
        <v>0</v>
      </c>
      <c r="R225" s="35" t="s">
        <v>2589</v>
      </c>
      <c r="S225" s="34" t="s">
        <v>2098</v>
      </c>
      <c r="T225" s="34" t="s">
        <v>2099</v>
      </c>
    </row>
    <row r="226" customFormat="false" ht="15" hidden="false" customHeight="false" outlineLevel="0" collapsed="false">
      <c r="A226" s="43" t="s">
        <v>2590</v>
      </c>
      <c r="B226" s="43" t="s">
        <v>2132</v>
      </c>
      <c r="C226" s="51" t="n">
        <v>2023</v>
      </c>
      <c r="D226" s="44" t="s">
        <v>2138</v>
      </c>
      <c r="E226" s="44" t="s">
        <v>2128</v>
      </c>
      <c r="F226" s="43" t="s">
        <v>2175</v>
      </c>
      <c r="G226" s="43" t="s">
        <v>2157</v>
      </c>
      <c r="H226" s="46" t="n">
        <v>63</v>
      </c>
      <c r="I226" s="46" t="n">
        <v>2499</v>
      </c>
      <c r="J226" s="46" t="n">
        <f aca="false">H226*I226</f>
        <v>157437</v>
      </c>
      <c r="K226" s="46" t="n">
        <f aca="false">J226*0.66</f>
        <v>103908.42</v>
      </c>
      <c r="L226" s="46" t="n">
        <f aca="false">J226-K226</f>
        <v>53528.58</v>
      </c>
      <c r="M226" s="47" t="n">
        <f aca="false">IF(J226=0,0,L226/J226)</f>
        <v>0.34</v>
      </c>
      <c r="N226" s="47" t="n">
        <v>0.11</v>
      </c>
      <c r="O226" s="46" t="n">
        <f aca="false">J226*(1-N226)</f>
        <v>140118.93</v>
      </c>
      <c r="P226" s="46" t="n">
        <v>2</v>
      </c>
      <c r="Q226" s="47" t="n">
        <f aca="false">IF(H226=0,0,P226/H226)</f>
        <v>0.0317460317460317</v>
      </c>
      <c r="R226" s="44" t="s">
        <v>2591</v>
      </c>
      <c r="S226" s="43" t="s">
        <v>2136</v>
      </c>
      <c r="T226" s="43" t="s">
        <v>2099</v>
      </c>
    </row>
    <row r="227" customFormat="false" ht="15" hidden="false" customHeight="false" outlineLevel="0" collapsed="false">
      <c r="A227" s="34" t="s">
        <v>2592</v>
      </c>
      <c r="B227" s="34" t="s">
        <v>2101</v>
      </c>
      <c r="C227" s="42" t="n">
        <v>2023</v>
      </c>
      <c r="D227" s="35" t="s">
        <v>2127</v>
      </c>
      <c r="E227" s="35" t="s">
        <v>2128</v>
      </c>
      <c r="F227" s="34" t="s">
        <v>2111</v>
      </c>
      <c r="G227" s="34" t="s">
        <v>2096</v>
      </c>
      <c r="H227" s="37" t="n">
        <v>487</v>
      </c>
      <c r="I227" s="37" t="n">
        <v>15999</v>
      </c>
      <c r="J227" s="37" t="n">
        <f aca="false">H227*I227</f>
        <v>7791513</v>
      </c>
      <c r="K227" s="37" t="n">
        <f aca="false">J227*0.7</f>
        <v>5454059.1</v>
      </c>
      <c r="L227" s="37" t="n">
        <f aca="false">J227-K227</f>
        <v>2337453.9</v>
      </c>
      <c r="M227" s="38" t="n">
        <f aca="false">IF(J227=0,0,L227/J227)</f>
        <v>0.3</v>
      </c>
      <c r="N227" s="38" t="n">
        <v>0.08</v>
      </c>
      <c r="O227" s="37" t="n">
        <f aca="false">J227*(1-N227)</f>
        <v>7168191.96</v>
      </c>
      <c r="P227" s="37" t="n">
        <v>4</v>
      </c>
      <c r="Q227" s="38" t="n">
        <f aca="false">IF(H227=0,0,P227/H227)</f>
        <v>0.0082135523613963</v>
      </c>
      <c r="R227" s="35" t="s">
        <v>2593</v>
      </c>
      <c r="S227" s="34" t="s">
        <v>2107</v>
      </c>
      <c r="T227" s="34" t="s">
        <v>2124</v>
      </c>
    </row>
    <row r="228" customFormat="false" ht="15" hidden="false" customHeight="false" outlineLevel="0" collapsed="false">
      <c r="A228" s="43" t="s">
        <v>2594</v>
      </c>
      <c r="B228" s="43" t="s">
        <v>2092</v>
      </c>
      <c r="C228" s="51" t="n">
        <v>2022</v>
      </c>
      <c r="D228" s="44" t="s">
        <v>2243</v>
      </c>
      <c r="E228" s="44" t="s">
        <v>2244</v>
      </c>
      <c r="F228" s="43" t="s">
        <v>2111</v>
      </c>
      <c r="G228" s="43" t="s">
        <v>2157</v>
      </c>
      <c r="H228" s="46" t="n">
        <v>119</v>
      </c>
      <c r="I228" s="46" t="n">
        <v>24999</v>
      </c>
      <c r="J228" s="46" t="n">
        <f aca="false">H228*I228</f>
        <v>2974881</v>
      </c>
      <c r="K228" s="46" t="n">
        <f aca="false">J228*0.69</f>
        <v>2052667.89</v>
      </c>
      <c r="L228" s="46" t="n">
        <f aca="false">J228-K228</f>
        <v>922213.11</v>
      </c>
      <c r="M228" s="47" t="n">
        <f aca="false">IF(J228=0,0,L228/J228)</f>
        <v>0.31</v>
      </c>
      <c r="N228" s="47" t="n">
        <v>0</v>
      </c>
      <c r="O228" s="46" t="n">
        <f aca="false">J228*(1-N228)</f>
        <v>2974881</v>
      </c>
      <c r="P228" s="46" t="n">
        <v>5</v>
      </c>
      <c r="Q228" s="47" t="n">
        <f aca="false">IF(H228=0,0,P228/H228)</f>
        <v>0.0420168067226891</v>
      </c>
      <c r="R228" s="44" t="s">
        <v>2595</v>
      </c>
      <c r="S228" s="43" t="s">
        <v>2098</v>
      </c>
      <c r="T228" s="43" t="s">
        <v>2099</v>
      </c>
    </row>
    <row r="229" customFormat="false" ht="15" hidden="false" customHeight="false" outlineLevel="0" collapsed="false">
      <c r="A229" s="34" t="s">
        <v>2596</v>
      </c>
      <c r="B229" s="34" t="s">
        <v>2092</v>
      </c>
      <c r="C229" s="42" t="n">
        <v>2023</v>
      </c>
      <c r="D229" s="35" t="s">
        <v>2093</v>
      </c>
      <c r="E229" s="35" t="s">
        <v>2094</v>
      </c>
      <c r="F229" s="34" t="s">
        <v>2116</v>
      </c>
      <c r="G229" s="34" t="s">
        <v>2129</v>
      </c>
      <c r="H229" s="37" t="n">
        <v>196</v>
      </c>
      <c r="I229" s="37" t="n">
        <v>11999</v>
      </c>
      <c r="J229" s="37" t="n">
        <f aca="false">H229*I229</f>
        <v>2351804</v>
      </c>
      <c r="K229" s="37" t="n">
        <f aca="false">J229*0.62</f>
        <v>1458118.48</v>
      </c>
      <c r="L229" s="37" t="n">
        <f aca="false">J229-K229</f>
        <v>893685.52</v>
      </c>
      <c r="M229" s="38" t="n">
        <f aca="false">IF(J229=0,0,L229/J229)</f>
        <v>0.38</v>
      </c>
      <c r="N229" s="38" t="n">
        <v>0.02</v>
      </c>
      <c r="O229" s="37" t="n">
        <f aca="false">J229*(1-N229)</f>
        <v>2304767.92</v>
      </c>
      <c r="P229" s="37" t="n">
        <v>9</v>
      </c>
      <c r="Q229" s="38" t="n">
        <f aca="false">IF(H229=0,0,P229/H229)</f>
        <v>0.0459183673469388</v>
      </c>
      <c r="R229" s="35" t="s">
        <v>2597</v>
      </c>
      <c r="S229" s="34" t="s">
        <v>2098</v>
      </c>
      <c r="T229" s="34" t="s">
        <v>2099</v>
      </c>
    </row>
    <row r="230" customFormat="false" ht="15" hidden="false" customHeight="false" outlineLevel="0" collapsed="false">
      <c r="A230" s="43" t="s">
        <v>2598</v>
      </c>
      <c r="B230" s="43" t="s">
        <v>2092</v>
      </c>
      <c r="C230" s="51" t="n">
        <v>2024</v>
      </c>
      <c r="D230" s="44" t="s">
        <v>2214</v>
      </c>
      <c r="E230" s="44" t="s">
        <v>2103</v>
      </c>
      <c r="F230" s="43" t="s">
        <v>2175</v>
      </c>
      <c r="G230" s="43" t="s">
        <v>2157</v>
      </c>
      <c r="H230" s="46" t="n">
        <v>406</v>
      </c>
      <c r="I230" s="46" t="n">
        <v>9999</v>
      </c>
      <c r="J230" s="46" t="n">
        <f aca="false">H230*I230</f>
        <v>4059594</v>
      </c>
      <c r="K230" s="46" t="n">
        <f aca="false">J230*0.5</f>
        <v>2029797</v>
      </c>
      <c r="L230" s="46" t="n">
        <f aca="false">J230-K230</f>
        <v>2029797</v>
      </c>
      <c r="M230" s="47" t="n">
        <f aca="false">IF(J230=0,0,L230/J230)</f>
        <v>0.5</v>
      </c>
      <c r="N230" s="47" t="n">
        <v>0.1</v>
      </c>
      <c r="O230" s="46" t="n">
        <f aca="false">J230*(1-N230)</f>
        <v>3653634.6</v>
      </c>
      <c r="P230" s="46" t="n">
        <v>15</v>
      </c>
      <c r="Q230" s="47" t="n">
        <f aca="false">IF(H230=0,0,P230/H230)</f>
        <v>0.0369458128078818</v>
      </c>
      <c r="R230" s="44" t="s">
        <v>2599</v>
      </c>
      <c r="S230" s="43" t="s">
        <v>2098</v>
      </c>
      <c r="T230" s="43" t="s">
        <v>2099</v>
      </c>
    </row>
    <row r="231" customFormat="false" ht="15" hidden="false" customHeight="false" outlineLevel="0" collapsed="false">
      <c r="A231" s="34" t="s">
        <v>2600</v>
      </c>
      <c r="B231" s="34" t="s">
        <v>2114</v>
      </c>
      <c r="C231" s="42" t="n">
        <v>2023</v>
      </c>
      <c r="D231" s="35" t="s">
        <v>2214</v>
      </c>
      <c r="E231" s="35" t="s">
        <v>2103</v>
      </c>
      <c r="F231" s="34" t="s">
        <v>2104</v>
      </c>
      <c r="G231" s="34" t="s">
        <v>2096</v>
      </c>
      <c r="H231" s="37" t="n">
        <v>280</v>
      </c>
      <c r="I231" s="37" t="n">
        <v>4999</v>
      </c>
      <c r="J231" s="37" t="n">
        <f aca="false">H231*I231</f>
        <v>1399720</v>
      </c>
      <c r="K231" s="37" t="n">
        <f aca="false">J231*0.69</f>
        <v>965806.8</v>
      </c>
      <c r="L231" s="37" t="n">
        <f aca="false">J231-K231</f>
        <v>433913.2</v>
      </c>
      <c r="M231" s="38" t="n">
        <f aca="false">IF(J231=0,0,L231/J231)</f>
        <v>0.31</v>
      </c>
      <c r="N231" s="38" t="n">
        <v>0</v>
      </c>
      <c r="O231" s="37" t="n">
        <f aca="false">J231*(1-N231)</f>
        <v>1399720</v>
      </c>
      <c r="P231" s="37" t="n">
        <v>6</v>
      </c>
      <c r="Q231" s="38" t="n">
        <f aca="false">IF(H231=0,0,P231/H231)</f>
        <v>0.0214285714285714</v>
      </c>
      <c r="R231" s="35" t="s">
        <v>2329</v>
      </c>
      <c r="S231" s="34" t="s">
        <v>2118</v>
      </c>
      <c r="T231" s="34" t="s">
        <v>2099</v>
      </c>
    </row>
    <row r="232" customFormat="false" ht="15" hidden="false" customHeight="false" outlineLevel="0" collapsed="false">
      <c r="A232" s="43" t="s">
        <v>2601</v>
      </c>
      <c r="B232" s="43" t="s">
        <v>2213</v>
      </c>
      <c r="C232" s="51" t="n">
        <v>2023</v>
      </c>
      <c r="D232" s="44" t="s">
        <v>2127</v>
      </c>
      <c r="E232" s="44" t="s">
        <v>2128</v>
      </c>
      <c r="F232" s="43" t="s">
        <v>2104</v>
      </c>
      <c r="G232" s="43" t="s">
        <v>2157</v>
      </c>
      <c r="H232" s="46" t="n">
        <v>227</v>
      </c>
      <c r="I232" s="46" t="n">
        <v>9999</v>
      </c>
      <c r="J232" s="46" t="n">
        <f aca="false">H232*I232</f>
        <v>2269773</v>
      </c>
      <c r="K232" s="46" t="n">
        <f aca="false">J232*0.46</f>
        <v>1044095.58</v>
      </c>
      <c r="L232" s="46" t="n">
        <f aca="false">J232-K232</f>
        <v>1225677.42</v>
      </c>
      <c r="M232" s="47" t="n">
        <f aca="false">IF(J232=0,0,L232/J232)</f>
        <v>0.54</v>
      </c>
      <c r="N232" s="47" t="n">
        <v>0.03</v>
      </c>
      <c r="O232" s="46" t="n">
        <f aca="false">J232*(1-N232)</f>
        <v>2201679.81</v>
      </c>
      <c r="P232" s="46" t="n">
        <v>10</v>
      </c>
      <c r="Q232" s="47" t="n">
        <f aca="false">IF(H232=0,0,P232/H232)</f>
        <v>0.0440528634361234</v>
      </c>
      <c r="R232" s="44" t="s">
        <v>2602</v>
      </c>
      <c r="S232" s="43" t="s">
        <v>2118</v>
      </c>
      <c r="T232" s="43" t="s">
        <v>2099</v>
      </c>
    </row>
    <row r="233" customFormat="false" ht="15" hidden="false" customHeight="false" outlineLevel="0" collapsed="false">
      <c r="A233" s="34" t="s">
        <v>2603</v>
      </c>
      <c r="B233" s="34" t="s">
        <v>2126</v>
      </c>
      <c r="C233" s="42" t="n">
        <v>2022</v>
      </c>
      <c r="D233" s="35" t="s">
        <v>2121</v>
      </c>
      <c r="E233" s="35" t="s">
        <v>2122</v>
      </c>
      <c r="F233" s="34" t="s">
        <v>2111</v>
      </c>
      <c r="G233" s="34" t="s">
        <v>2129</v>
      </c>
      <c r="H233" s="37" t="n">
        <v>160</v>
      </c>
      <c r="I233" s="37" t="n">
        <v>3999</v>
      </c>
      <c r="J233" s="37" t="n">
        <f aca="false">H233*I233</f>
        <v>639840</v>
      </c>
      <c r="K233" s="37" t="n">
        <f aca="false">J233*0.55</f>
        <v>351912</v>
      </c>
      <c r="L233" s="37" t="n">
        <f aca="false">J233-K233</f>
        <v>287928</v>
      </c>
      <c r="M233" s="38" t="n">
        <f aca="false">IF(J233=0,0,L233/J233)</f>
        <v>0.45</v>
      </c>
      <c r="N233" s="38" t="n">
        <v>0.11</v>
      </c>
      <c r="O233" s="37" t="n">
        <f aca="false">J233*(1-N233)</f>
        <v>569457.6</v>
      </c>
      <c r="P233" s="37" t="n">
        <v>7</v>
      </c>
      <c r="Q233" s="38" t="n">
        <f aca="false">IF(H233=0,0,P233/H233)</f>
        <v>0.04375</v>
      </c>
      <c r="R233" s="35" t="s">
        <v>2604</v>
      </c>
      <c r="S233" s="34" t="s">
        <v>2107</v>
      </c>
      <c r="T233" s="34" t="s">
        <v>2124</v>
      </c>
    </row>
    <row r="234" customFormat="false" ht="15" hidden="false" customHeight="false" outlineLevel="0" collapsed="false">
      <c r="A234" s="43" t="s">
        <v>2605</v>
      </c>
      <c r="B234" s="43" t="s">
        <v>2156</v>
      </c>
      <c r="C234" s="51" t="n">
        <v>2024</v>
      </c>
      <c r="D234" s="44" t="s">
        <v>2133</v>
      </c>
      <c r="E234" s="44" t="s">
        <v>2103</v>
      </c>
      <c r="F234" s="43" t="s">
        <v>2095</v>
      </c>
      <c r="G234" s="43" t="s">
        <v>2096</v>
      </c>
      <c r="H234" s="46" t="n">
        <v>29</v>
      </c>
      <c r="I234" s="46" t="n">
        <v>15999</v>
      </c>
      <c r="J234" s="46" t="n">
        <f aca="false">H234*I234</f>
        <v>463971</v>
      </c>
      <c r="K234" s="46" t="n">
        <f aca="false">J234*0.52</f>
        <v>241264.92</v>
      </c>
      <c r="L234" s="46" t="n">
        <f aca="false">J234-K234</f>
        <v>222706.08</v>
      </c>
      <c r="M234" s="47" t="n">
        <f aca="false">IF(J234=0,0,L234/J234)</f>
        <v>0.48</v>
      </c>
      <c r="N234" s="47" t="n">
        <v>0.09</v>
      </c>
      <c r="O234" s="46" t="n">
        <f aca="false">J234*(1-N234)</f>
        <v>422213.61</v>
      </c>
      <c r="P234" s="46" t="n">
        <v>1</v>
      </c>
      <c r="Q234" s="47" t="n">
        <f aca="false">IF(H234=0,0,P234/H234)</f>
        <v>0.0344827586206897</v>
      </c>
      <c r="R234" s="44" t="s">
        <v>2606</v>
      </c>
      <c r="S234" s="43" t="s">
        <v>2118</v>
      </c>
      <c r="T234" s="43" t="s">
        <v>2099</v>
      </c>
    </row>
    <row r="235" customFormat="false" ht="15" hidden="false" customHeight="false" outlineLevel="0" collapsed="false">
      <c r="A235" s="34" t="s">
        <v>2607</v>
      </c>
      <c r="B235" s="34" t="s">
        <v>2148</v>
      </c>
      <c r="C235" s="42" t="n">
        <v>2023</v>
      </c>
      <c r="D235" s="35" t="s">
        <v>2180</v>
      </c>
      <c r="E235" s="35" t="s">
        <v>2181</v>
      </c>
      <c r="F235" s="34" t="s">
        <v>2116</v>
      </c>
      <c r="G235" s="34" t="s">
        <v>2096</v>
      </c>
      <c r="H235" s="37" t="n">
        <v>24</v>
      </c>
      <c r="I235" s="37" t="n">
        <v>12999</v>
      </c>
      <c r="J235" s="37" t="n">
        <f aca="false">H235*I235</f>
        <v>311976</v>
      </c>
      <c r="K235" s="37" t="n">
        <f aca="false">J235*0.66</f>
        <v>205904.16</v>
      </c>
      <c r="L235" s="37" t="n">
        <f aca="false">J235-K235</f>
        <v>106071.84</v>
      </c>
      <c r="M235" s="38" t="n">
        <f aca="false">IF(J235=0,0,L235/J235)</f>
        <v>0.34</v>
      </c>
      <c r="N235" s="38" t="n">
        <v>0.05</v>
      </c>
      <c r="O235" s="37" t="n">
        <f aca="false">J235*(1-N235)</f>
        <v>296377.2</v>
      </c>
      <c r="P235" s="37" t="n">
        <v>0</v>
      </c>
      <c r="Q235" s="38" t="n">
        <f aca="false">IF(H235=0,0,P235/H235)</f>
        <v>0</v>
      </c>
      <c r="R235" s="35" t="s">
        <v>2608</v>
      </c>
      <c r="S235" s="34" t="s">
        <v>2136</v>
      </c>
      <c r="T235" s="34" t="s">
        <v>2099</v>
      </c>
    </row>
    <row r="236" customFormat="false" ht="15" hidden="false" customHeight="false" outlineLevel="0" collapsed="false">
      <c r="A236" s="43" t="s">
        <v>2609</v>
      </c>
      <c r="B236" s="43" t="s">
        <v>2213</v>
      </c>
      <c r="C236" s="51" t="n">
        <v>2022</v>
      </c>
      <c r="D236" s="44" t="s">
        <v>2207</v>
      </c>
      <c r="E236" s="44" t="s">
        <v>2208</v>
      </c>
      <c r="F236" s="43" t="s">
        <v>2194</v>
      </c>
      <c r="G236" s="43" t="s">
        <v>2105</v>
      </c>
      <c r="H236" s="46" t="n">
        <v>211</v>
      </c>
      <c r="I236" s="46" t="n">
        <v>8999</v>
      </c>
      <c r="J236" s="46" t="n">
        <f aca="false">H236*I236</f>
        <v>1898789</v>
      </c>
      <c r="K236" s="46" t="n">
        <f aca="false">J236*0.46</f>
        <v>873442.94</v>
      </c>
      <c r="L236" s="46" t="n">
        <f aca="false">J236-K236</f>
        <v>1025346.06</v>
      </c>
      <c r="M236" s="47" t="n">
        <f aca="false">IF(J236=0,0,L236/J236)</f>
        <v>0.54</v>
      </c>
      <c r="N236" s="47" t="n">
        <v>0.04</v>
      </c>
      <c r="O236" s="46" t="n">
        <f aca="false">J236*(1-N236)</f>
        <v>1822837.44</v>
      </c>
      <c r="P236" s="46" t="n">
        <v>3</v>
      </c>
      <c r="Q236" s="47" t="n">
        <f aca="false">IF(H236=0,0,P236/H236)</f>
        <v>0.014218009478673</v>
      </c>
      <c r="R236" s="44" t="s">
        <v>2610</v>
      </c>
      <c r="S236" s="43" t="s">
        <v>2118</v>
      </c>
      <c r="T236" s="43" t="s">
        <v>2099</v>
      </c>
    </row>
    <row r="237" customFormat="false" ht="15" hidden="false" customHeight="false" outlineLevel="0" collapsed="false">
      <c r="A237" s="34" t="s">
        <v>2611</v>
      </c>
      <c r="B237" s="34" t="s">
        <v>2162</v>
      </c>
      <c r="C237" s="42" t="n">
        <v>2022</v>
      </c>
      <c r="D237" s="35" t="s">
        <v>2145</v>
      </c>
      <c r="E237" s="35" t="s">
        <v>2103</v>
      </c>
      <c r="F237" s="34" t="s">
        <v>2142</v>
      </c>
      <c r="G237" s="34" t="s">
        <v>2134</v>
      </c>
      <c r="H237" s="37" t="n">
        <v>445</v>
      </c>
      <c r="I237" s="37" t="n">
        <v>35999</v>
      </c>
      <c r="J237" s="37" t="n">
        <f aca="false">H237*I237</f>
        <v>16019555</v>
      </c>
      <c r="K237" s="37" t="n">
        <f aca="false">J237*0.48</f>
        <v>7689386.4</v>
      </c>
      <c r="L237" s="37" t="n">
        <f aca="false">J237-K237</f>
        <v>8330168.6</v>
      </c>
      <c r="M237" s="38" t="n">
        <f aca="false">IF(J237=0,0,L237/J237)</f>
        <v>0.52</v>
      </c>
      <c r="N237" s="38" t="n">
        <v>0.03</v>
      </c>
      <c r="O237" s="37" t="n">
        <f aca="false">J237*(1-N237)</f>
        <v>15538968.35</v>
      </c>
      <c r="P237" s="37" t="n">
        <v>17</v>
      </c>
      <c r="Q237" s="38" t="n">
        <f aca="false">IF(H237=0,0,P237/H237)</f>
        <v>0.0382022471910112</v>
      </c>
      <c r="R237" s="35" t="s">
        <v>2612</v>
      </c>
      <c r="S237" s="34" t="s">
        <v>2107</v>
      </c>
      <c r="T237" s="34" t="s">
        <v>2099</v>
      </c>
    </row>
    <row r="238" customFormat="false" ht="15" hidden="false" customHeight="false" outlineLevel="0" collapsed="false">
      <c r="A238" s="43" t="s">
        <v>2613</v>
      </c>
      <c r="B238" s="43" t="s">
        <v>2165</v>
      </c>
      <c r="C238" s="51" t="n">
        <v>2023</v>
      </c>
      <c r="D238" s="44" t="s">
        <v>2093</v>
      </c>
      <c r="E238" s="44" t="s">
        <v>2094</v>
      </c>
      <c r="F238" s="43" t="s">
        <v>2104</v>
      </c>
      <c r="G238" s="43" t="s">
        <v>2157</v>
      </c>
      <c r="H238" s="46" t="n">
        <v>291</v>
      </c>
      <c r="I238" s="46" t="n">
        <v>1999</v>
      </c>
      <c r="J238" s="46" t="n">
        <f aca="false">H238*I238</f>
        <v>581709</v>
      </c>
      <c r="K238" s="46" t="n">
        <f aca="false">J238*0.68</f>
        <v>395562.12</v>
      </c>
      <c r="L238" s="46" t="n">
        <f aca="false">J238-K238</f>
        <v>186146.88</v>
      </c>
      <c r="M238" s="47" t="n">
        <f aca="false">IF(J238=0,0,L238/J238)</f>
        <v>0.32</v>
      </c>
      <c r="N238" s="47" t="n">
        <v>0.04</v>
      </c>
      <c r="O238" s="46" t="n">
        <f aca="false">J238*(1-N238)</f>
        <v>558440.64</v>
      </c>
      <c r="P238" s="46" t="n">
        <v>11</v>
      </c>
      <c r="Q238" s="47" t="n">
        <f aca="false">IF(H238=0,0,P238/H238)</f>
        <v>0.0378006872852234</v>
      </c>
      <c r="R238" s="44" t="s">
        <v>2614</v>
      </c>
      <c r="S238" s="43" t="s">
        <v>2098</v>
      </c>
      <c r="T238" s="43" t="s">
        <v>2124</v>
      </c>
    </row>
    <row r="239" customFormat="false" ht="15" hidden="false" customHeight="false" outlineLevel="0" collapsed="false">
      <c r="A239" s="34" t="s">
        <v>2615</v>
      </c>
      <c r="B239" s="34" t="s">
        <v>2162</v>
      </c>
      <c r="C239" s="42" t="n">
        <v>2022</v>
      </c>
      <c r="D239" s="35" t="s">
        <v>2127</v>
      </c>
      <c r="E239" s="35" t="s">
        <v>2128</v>
      </c>
      <c r="F239" s="34" t="s">
        <v>2111</v>
      </c>
      <c r="G239" s="34" t="s">
        <v>2096</v>
      </c>
      <c r="H239" s="37" t="n">
        <v>200</v>
      </c>
      <c r="I239" s="37" t="n">
        <v>8999</v>
      </c>
      <c r="J239" s="37" t="n">
        <f aca="false">H239*I239</f>
        <v>1799800</v>
      </c>
      <c r="K239" s="37" t="n">
        <f aca="false">J239*0.59</f>
        <v>1061882</v>
      </c>
      <c r="L239" s="37" t="n">
        <f aca="false">J239-K239</f>
        <v>737918</v>
      </c>
      <c r="M239" s="38" t="n">
        <f aca="false">IF(J239=0,0,L239/J239)</f>
        <v>0.41</v>
      </c>
      <c r="N239" s="38" t="n">
        <v>0.12</v>
      </c>
      <c r="O239" s="37" t="n">
        <f aca="false">J239*(1-N239)</f>
        <v>1583824</v>
      </c>
      <c r="P239" s="37" t="n">
        <v>1</v>
      </c>
      <c r="Q239" s="38" t="n">
        <f aca="false">IF(H239=0,0,P239/H239)</f>
        <v>0.005</v>
      </c>
      <c r="R239" s="35" t="s">
        <v>2616</v>
      </c>
      <c r="S239" s="34" t="s">
        <v>2107</v>
      </c>
      <c r="T239" s="34" t="s">
        <v>2099</v>
      </c>
    </row>
    <row r="240" customFormat="false" ht="15" hidden="false" customHeight="false" outlineLevel="0" collapsed="false">
      <c r="A240" s="43" t="s">
        <v>2617</v>
      </c>
      <c r="B240" s="43" t="s">
        <v>2141</v>
      </c>
      <c r="C240" s="51" t="n">
        <v>2023</v>
      </c>
      <c r="D240" s="44" t="s">
        <v>2102</v>
      </c>
      <c r="E240" s="44" t="s">
        <v>2103</v>
      </c>
      <c r="F240" s="43" t="s">
        <v>2104</v>
      </c>
      <c r="G240" s="43" t="s">
        <v>2105</v>
      </c>
      <c r="H240" s="46" t="n">
        <v>86</v>
      </c>
      <c r="I240" s="46" t="n">
        <v>11999</v>
      </c>
      <c r="J240" s="46" t="n">
        <f aca="false">H240*I240</f>
        <v>1031914</v>
      </c>
      <c r="K240" s="46" t="n">
        <f aca="false">J240*0.52</f>
        <v>536595.28</v>
      </c>
      <c r="L240" s="46" t="n">
        <f aca="false">J240-K240</f>
        <v>495318.72</v>
      </c>
      <c r="M240" s="47" t="n">
        <f aca="false">IF(J240=0,0,L240/J240)</f>
        <v>0.48</v>
      </c>
      <c r="N240" s="47" t="n">
        <v>0.15</v>
      </c>
      <c r="O240" s="46" t="n">
        <f aca="false">J240*(1-N240)</f>
        <v>877126.9</v>
      </c>
      <c r="P240" s="46" t="n">
        <v>1</v>
      </c>
      <c r="Q240" s="47" t="n">
        <f aca="false">IF(H240=0,0,P240/H240)</f>
        <v>0.0116279069767442</v>
      </c>
      <c r="R240" s="44" t="s">
        <v>2407</v>
      </c>
      <c r="S240" s="43" t="s">
        <v>2136</v>
      </c>
      <c r="T240" s="43" t="s">
        <v>2124</v>
      </c>
    </row>
    <row r="241" customFormat="false" ht="15" hidden="false" customHeight="false" outlineLevel="0" collapsed="false">
      <c r="A241" s="34" t="s">
        <v>2618</v>
      </c>
      <c r="B241" s="34" t="s">
        <v>2101</v>
      </c>
      <c r="C241" s="42" t="n">
        <v>2022</v>
      </c>
      <c r="D241" s="35" t="s">
        <v>2133</v>
      </c>
      <c r="E241" s="35" t="s">
        <v>2103</v>
      </c>
      <c r="F241" s="34" t="s">
        <v>2104</v>
      </c>
      <c r="G241" s="34" t="s">
        <v>2096</v>
      </c>
      <c r="H241" s="37" t="n">
        <v>110</v>
      </c>
      <c r="I241" s="37" t="n">
        <v>35999</v>
      </c>
      <c r="J241" s="37" t="n">
        <f aca="false">H241*I241</f>
        <v>3959890</v>
      </c>
      <c r="K241" s="37" t="n">
        <f aca="false">J241*0.52</f>
        <v>2059142.8</v>
      </c>
      <c r="L241" s="37" t="n">
        <f aca="false">J241-K241</f>
        <v>1900747.2</v>
      </c>
      <c r="M241" s="38" t="n">
        <f aca="false">IF(J241=0,0,L241/J241)</f>
        <v>0.48</v>
      </c>
      <c r="N241" s="38" t="n">
        <v>0.04</v>
      </c>
      <c r="O241" s="37" t="n">
        <f aca="false">J241*(1-N241)</f>
        <v>3801494.4</v>
      </c>
      <c r="P241" s="37" t="n">
        <v>4</v>
      </c>
      <c r="Q241" s="38" t="n">
        <f aca="false">IF(H241=0,0,P241/H241)</f>
        <v>0.0363636363636364</v>
      </c>
      <c r="R241" s="35" t="s">
        <v>2583</v>
      </c>
      <c r="S241" s="34" t="s">
        <v>2107</v>
      </c>
      <c r="T241" s="34" t="s">
        <v>2124</v>
      </c>
    </row>
    <row r="242" customFormat="false" ht="15" hidden="false" customHeight="false" outlineLevel="0" collapsed="false">
      <c r="A242" s="43" t="s">
        <v>2619</v>
      </c>
      <c r="B242" s="43" t="s">
        <v>2132</v>
      </c>
      <c r="C242" s="51" t="n">
        <v>2024</v>
      </c>
      <c r="D242" s="44" t="s">
        <v>2174</v>
      </c>
      <c r="E242" s="44" t="s">
        <v>2103</v>
      </c>
      <c r="F242" s="43" t="s">
        <v>2116</v>
      </c>
      <c r="G242" s="43" t="s">
        <v>2096</v>
      </c>
      <c r="H242" s="46" t="n">
        <v>49</v>
      </c>
      <c r="I242" s="46" t="n">
        <v>11999</v>
      </c>
      <c r="J242" s="46" t="n">
        <f aca="false">H242*I242</f>
        <v>587951</v>
      </c>
      <c r="K242" s="46" t="n">
        <f aca="false">J242*0.53</f>
        <v>311614.03</v>
      </c>
      <c r="L242" s="46" t="n">
        <f aca="false">J242-K242</f>
        <v>276336.97</v>
      </c>
      <c r="M242" s="47" t="n">
        <f aca="false">IF(J242=0,0,L242/J242)</f>
        <v>0.47</v>
      </c>
      <c r="N242" s="47" t="n">
        <v>0.01</v>
      </c>
      <c r="O242" s="46" t="n">
        <f aca="false">J242*(1-N242)</f>
        <v>582071.49</v>
      </c>
      <c r="P242" s="46" t="n">
        <v>2</v>
      </c>
      <c r="Q242" s="47" t="n">
        <f aca="false">IF(H242=0,0,P242/H242)</f>
        <v>0.0408163265306122</v>
      </c>
      <c r="R242" s="44" t="s">
        <v>2620</v>
      </c>
      <c r="S242" s="43" t="s">
        <v>2136</v>
      </c>
      <c r="T242" s="43" t="s">
        <v>2124</v>
      </c>
    </row>
    <row r="243" customFormat="false" ht="15" hidden="false" customHeight="false" outlineLevel="0" collapsed="false">
      <c r="A243" s="34" t="s">
        <v>2621</v>
      </c>
      <c r="B243" s="34" t="s">
        <v>2213</v>
      </c>
      <c r="C243" s="42" t="n">
        <v>2022</v>
      </c>
      <c r="D243" s="35" t="s">
        <v>2127</v>
      </c>
      <c r="E243" s="35" t="s">
        <v>2128</v>
      </c>
      <c r="F243" s="34" t="s">
        <v>2104</v>
      </c>
      <c r="G243" s="34" t="s">
        <v>2134</v>
      </c>
      <c r="H243" s="37" t="n">
        <v>334</v>
      </c>
      <c r="I243" s="37" t="n">
        <v>799</v>
      </c>
      <c r="J243" s="37" t="n">
        <f aca="false">H243*I243</f>
        <v>266866</v>
      </c>
      <c r="K243" s="37" t="n">
        <f aca="false">J243*0.53</f>
        <v>141438.98</v>
      </c>
      <c r="L243" s="37" t="n">
        <f aca="false">J243-K243</f>
        <v>125427.02</v>
      </c>
      <c r="M243" s="38" t="n">
        <f aca="false">IF(J243=0,0,L243/J243)</f>
        <v>0.47</v>
      </c>
      <c r="N243" s="38" t="n">
        <v>0.12</v>
      </c>
      <c r="O243" s="37" t="n">
        <f aca="false">J243*(1-N243)</f>
        <v>234842.08</v>
      </c>
      <c r="P243" s="37" t="n">
        <v>13</v>
      </c>
      <c r="Q243" s="38" t="n">
        <f aca="false">IF(H243=0,0,P243/H243)</f>
        <v>0.0389221556886228</v>
      </c>
      <c r="R243" s="35" t="s">
        <v>2622</v>
      </c>
      <c r="S243" s="34" t="s">
        <v>2118</v>
      </c>
      <c r="T243" s="34" t="s">
        <v>2099</v>
      </c>
    </row>
    <row r="244" customFormat="false" ht="15" hidden="false" customHeight="false" outlineLevel="0" collapsed="false">
      <c r="A244" s="43" t="s">
        <v>2623</v>
      </c>
      <c r="B244" s="43" t="s">
        <v>2132</v>
      </c>
      <c r="C244" s="51" t="n">
        <v>2023</v>
      </c>
      <c r="D244" s="44" t="s">
        <v>2207</v>
      </c>
      <c r="E244" s="44" t="s">
        <v>2208</v>
      </c>
      <c r="F244" s="43" t="s">
        <v>2194</v>
      </c>
      <c r="G244" s="43" t="s">
        <v>2096</v>
      </c>
      <c r="H244" s="46" t="n">
        <v>264</v>
      </c>
      <c r="I244" s="46" t="n">
        <v>9999</v>
      </c>
      <c r="J244" s="46" t="n">
        <f aca="false">H244*I244</f>
        <v>2639736</v>
      </c>
      <c r="K244" s="46" t="n">
        <f aca="false">J244*0.62</f>
        <v>1636636.32</v>
      </c>
      <c r="L244" s="46" t="n">
        <f aca="false">J244-K244</f>
        <v>1003099.68</v>
      </c>
      <c r="M244" s="47" t="n">
        <f aca="false">IF(J244=0,0,L244/J244)</f>
        <v>0.38</v>
      </c>
      <c r="N244" s="47" t="n">
        <v>0.08</v>
      </c>
      <c r="O244" s="46" t="n">
        <f aca="false">J244*(1-N244)</f>
        <v>2428557.12</v>
      </c>
      <c r="P244" s="46" t="n">
        <v>0</v>
      </c>
      <c r="Q244" s="47" t="n">
        <f aca="false">IF(H244=0,0,P244/H244)</f>
        <v>0</v>
      </c>
      <c r="R244" s="44" t="s">
        <v>2624</v>
      </c>
      <c r="S244" s="43" t="s">
        <v>2136</v>
      </c>
      <c r="T244" s="43" t="s">
        <v>2099</v>
      </c>
    </row>
    <row r="245" customFormat="false" ht="15" hidden="false" customHeight="false" outlineLevel="0" collapsed="false">
      <c r="A245" s="34" t="s">
        <v>2625</v>
      </c>
      <c r="B245" s="34" t="s">
        <v>2162</v>
      </c>
      <c r="C245" s="42" t="n">
        <v>2023</v>
      </c>
      <c r="D245" s="35" t="s">
        <v>2138</v>
      </c>
      <c r="E245" s="35" t="s">
        <v>2128</v>
      </c>
      <c r="F245" s="34" t="s">
        <v>2142</v>
      </c>
      <c r="G245" s="34" t="s">
        <v>2157</v>
      </c>
      <c r="H245" s="37" t="n">
        <v>138</v>
      </c>
      <c r="I245" s="37" t="n">
        <v>299</v>
      </c>
      <c r="J245" s="37" t="n">
        <f aca="false">H245*I245</f>
        <v>41262</v>
      </c>
      <c r="K245" s="37" t="n">
        <f aca="false">J245*0.61</f>
        <v>25169.82</v>
      </c>
      <c r="L245" s="37" t="n">
        <f aca="false">J245-K245</f>
        <v>16092.18</v>
      </c>
      <c r="M245" s="38" t="n">
        <f aca="false">IF(J245=0,0,L245/J245)</f>
        <v>0.39</v>
      </c>
      <c r="N245" s="38" t="n">
        <v>0.12</v>
      </c>
      <c r="O245" s="37" t="n">
        <f aca="false">J245*(1-N245)</f>
        <v>36310.56</v>
      </c>
      <c r="P245" s="37" t="n">
        <v>6</v>
      </c>
      <c r="Q245" s="38" t="n">
        <f aca="false">IF(H245=0,0,P245/H245)</f>
        <v>0.0434782608695652</v>
      </c>
      <c r="R245" s="35" t="s">
        <v>2626</v>
      </c>
      <c r="S245" s="34" t="s">
        <v>2107</v>
      </c>
      <c r="T245" s="34" t="s">
        <v>2124</v>
      </c>
    </row>
    <row r="246" customFormat="false" ht="15" hidden="false" customHeight="false" outlineLevel="0" collapsed="false">
      <c r="A246" s="43" t="s">
        <v>2627</v>
      </c>
      <c r="B246" s="43" t="s">
        <v>2162</v>
      </c>
      <c r="C246" s="51" t="n">
        <v>2024</v>
      </c>
      <c r="D246" s="44" t="s">
        <v>2093</v>
      </c>
      <c r="E246" s="44" t="s">
        <v>2094</v>
      </c>
      <c r="F246" s="43" t="s">
        <v>2116</v>
      </c>
      <c r="G246" s="43" t="s">
        <v>2096</v>
      </c>
      <c r="H246" s="46" t="n">
        <v>103</v>
      </c>
      <c r="I246" s="46" t="n">
        <v>8999</v>
      </c>
      <c r="J246" s="46" t="n">
        <f aca="false">H246*I246</f>
        <v>926897</v>
      </c>
      <c r="K246" s="46" t="n">
        <f aca="false">J246*0.57</f>
        <v>528331.29</v>
      </c>
      <c r="L246" s="46" t="n">
        <f aca="false">J246-K246</f>
        <v>398565.71</v>
      </c>
      <c r="M246" s="47" t="n">
        <f aca="false">IF(J246=0,0,L246/J246)</f>
        <v>0.43</v>
      </c>
      <c r="N246" s="47" t="n">
        <v>0.04</v>
      </c>
      <c r="O246" s="46" t="n">
        <f aca="false">J246*(1-N246)</f>
        <v>889821.12</v>
      </c>
      <c r="P246" s="46" t="n">
        <v>5</v>
      </c>
      <c r="Q246" s="47" t="n">
        <f aca="false">IF(H246=0,0,P246/H246)</f>
        <v>0.0485436893203884</v>
      </c>
      <c r="R246" s="44" t="s">
        <v>2628</v>
      </c>
      <c r="S246" s="43" t="s">
        <v>2107</v>
      </c>
      <c r="T246" s="43" t="s">
        <v>2099</v>
      </c>
    </row>
    <row r="247" customFormat="false" ht="15" hidden="false" customHeight="false" outlineLevel="0" collapsed="false">
      <c r="A247" s="34" t="s">
        <v>2629</v>
      </c>
      <c r="B247" s="34" t="s">
        <v>2213</v>
      </c>
      <c r="C247" s="42" t="n">
        <v>2023</v>
      </c>
      <c r="D247" s="35" t="s">
        <v>2127</v>
      </c>
      <c r="E247" s="35" t="s">
        <v>2128</v>
      </c>
      <c r="F247" s="34" t="s">
        <v>2104</v>
      </c>
      <c r="G247" s="34" t="s">
        <v>2134</v>
      </c>
      <c r="H247" s="37" t="n">
        <v>325</v>
      </c>
      <c r="I247" s="37" t="n">
        <v>2499</v>
      </c>
      <c r="J247" s="37" t="n">
        <f aca="false">H247*I247</f>
        <v>812175</v>
      </c>
      <c r="K247" s="37" t="n">
        <f aca="false">J247*0.66</f>
        <v>536035.5</v>
      </c>
      <c r="L247" s="37" t="n">
        <f aca="false">J247-K247</f>
        <v>276139.5</v>
      </c>
      <c r="M247" s="38" t="n">
        <f aca="false">IF(J247=0,0,L247/J247)</f>
        <v>0.34</v>
      </c>
      <c r="N247" s="38" t="n">
        <v>0.04</v>
      </c>
      <c r="O247" s="37" t="n">
        <f aca="false">J247*(1-N247)</f>
        <v>779688</v>
      </c>
      <c r="P247" s="37" t="n">
        <v>9</v>
      </c>
      <c r="Q247" s="38" t="n">
        <f aca="false">IF(H247=0,0,P247/H247)</f>
        <v>0.0276923076923077</v>
      </c>
      <c r="R247" s="35" t="s">
        <v>2630</v>
      </c>
      <c r="S247" s="34" t="s">
        <v>2118</v>
      </c>
      <c r="T247" s="34" t="s">
        <v>2099</v>
      </c>
    </row>
    <row r="248" customFormat="false" ht="15" hidden="false" customHeight="false" outlineLevel="0" collapsed="false">
      <c r="A248" s="43" t="s">
        <v>2631</v>
      </c>
      <c r="B248" s="43" t="s">
        <v>2148</v>
      </c>
      <c r="C248" s="51" t="n">
        <v>2024</v>
      </c>
      <c r="D248" s="44" t="s">
        <v>2109</v>
      </c>
      <c r="E248" s="44" t="s">
        <v>2110</v>
      </c>
      <c r="F248" s="43" t="s">
        <v>2095</v>
      </c>
      <c r="G248" s="43" t="s">
        <v>2157</v>
      </c>
      <c r="H248" s="46" t="n">
        <v>123</v>
      </c>
      <c r="I248" s="46" t="n">
        <v>7999</v>
      </c>
      <c r="J248" s="46" t="n">
        <f aca="false">H248*I248</f>
        <v>983877</v>
      </c>
      <c r="K248" s="46" t="n">
        <f aca="false">J248*0.49</f>
        <v>482099.73</v>
      </c>
      <c r="L248" s="46" t="n">
        <f aca="false">J248-K248</f>
        <v>501777.27</v>
      </c>
      <c r="M248" s="47" t="n">
        <f aca="false">IF(J248=0,0,L248/J248)</f>
        <v>0.51</v>
      </c>
      <c r="N248" s="47" t="n">
        <v>0</v>
      </c>
      <c r="O248" s="46" t="n">
        <f aca="false">J248*(1-N248)</f>
        <v>983877</v>
      </c>
      <c r="P248" s="46" t="n">
        <v>6</v>
      </c>
      <c r="Q248" s="47" t="n">
        <f aca="false">IF(H248=0,0,P248/H248)</f>
        <v>0.0487804878048781</v>
      </c>
      <c r="R248" s="44" t="s">
        <v>2632</v>
      </c>
      <c r="S248" s="43" t="s">
        <v>2136</v>
      </c>
      <c r="T248" s="43" t="s">
        <v>2099</v>
      </c>
    </row>
    <row r="249" customFormat="false" ht="15" hidden="false" customHeight="false" outlineLevel="0" collapsed="false">
      <c r="A249" s="34" t="s">
        <v>2633</v>
      </c>
      <c r="B249" s="34" t="s">
        <v>2156</v>
      </c>
      <c r="C249" s="42" t="n">
        <v>2023</v>
      </c>
      <c r="D249" s="35" t="s">
        <v>2102</v>
      </c>
      <c r="E249" s="35" t="s">
        <v>2103</v>
      </c>
      <c r="F249" s="34" t="s">
        <v>2111</v>
      </c>
      <c r="G249" s="34" t="s">
        <v>2157</v>
      </c>
      <c r="H249" s="37" t="n">
        <v>332</v>
      </c>
      <c r="I249" s="37" t="n">
        <v>299</v>
      </c>
      <c r="J249" s="37" t="n">
        <f aca="false">H249*I249</f>
        <v>99268</v>
      </c>
      <c r="K249" s="37" t="n">
        <f aca="false">J249*0.46</f>
        <v>45663.28</v>
      </c>
      <c r="L249" s="37" t="n">
        <f aca="false">J249-K249</f>
        <v>53604.72</v>
      </c>
      <c r="M249" s="38" t="n">
        <f aca="false">IF(J249=0,0,L249/J249)</f>
        <v>0.54</v>
      </c>
      <c r="N249" s="38" t="n">
        <v>0.02</v>
      </c>
      <c r="O249" s="37" t="n">
        <f aca="false">J249*(1-N249)</f>
        <v>97282.64</v>
      </c>
      <c r="P249" s="37" t="n">
        <v>4</v>
      </c>
      <c r="Q249" s="38" t="n">
        <f aca="false">IF(H249=0,0,P249/H249)</f>
        <v>0.0120481927710843</v>
      </c>
      <c r="R249" s="35" t="s">
        <v>2634</v>
      </c>
      <c r="S249" s="34" t="s">
        <v>2118</v>
      </c>
      <c r="T249" s="34" t="s">
        <v>2099</v>
      </c>
    </row>
    <row r="250" customFormat="false" ht="15" hidden="false" customHeight="false" outlineLevel="0" collapsed="false">
      <c r="A250" s="43" t="s">
        <v>2635</v>
      </c>
      <c r="B250" s="43" t="s">
        <v>2148</v>
      </c>
      <c r="C250" s="51" t="n">
        <v>2023</v>
      </c>
      <c r="D250" s="44" t="s">
        <v>2093</v>
      </c>
      <c r="E250" s="44" t="s">
        <v>2094</v>
      </c>
      <c r="F250" s="43" t="s">
        <v>2175</v>
      </c>
      <c r="G250" s="43" t="s">
        <v>2129</v>
      </c>
      <c r="H250" s="46" t="n">
        <v>330</v>
      </c>
      <c r="I250" s="46" t="n">
        <v>799</v>
      </c>
      <c r="J250" s="46" t="n">
        <f aca="false">H250*I250</f>
        <v>263670</v>
      </c>
      <c r="K250" s="46" t="n">
        <f aca="false">J250*0.46</f>
        <v>121288.2</v>
      </c>
      <c r="L250" s="46" t="n">
        <f aca="false">J250-K250</f>
        <v>142381.8</v>
      </c>
      <c r="M250" s="47" t="n">
        <f aca="false">IF(J250=0,0,L250/J250)</f>
        <v>0.54</v>
      </c>
      <c r="N250" s="47" t="n">
        <v>0.11</v>
      </c>
      <c r="O250" s="46" t="n">
        <f aca="false">J250*(1-N250)</f>
        <v>234666.3</v>
      </c>
      <c r="P250" s="46" t="n">
        <v>0</v>
      </c>
      <c r="Q250" s="47" t="n">
        <f aca="false">IF(H250=0,0,P250/H250)</f>
        <v>0</v>
      </c>
      <c r="R250" s="44" t="s">
        <v>2636</v>
      </c>
      <c r="S250" s="43" t="s">
        <v>2136</v>
      </c>
      <c r="T250" s="43" t="s">
        <v>2099</v>
      </c>
    </row>
    <row r="251" customFormat="false" ht="15" hidden="false" customHeight="false" outlineLevel="0" collapsed="false">
      <c r="A251" s="34" t="s">
        <v>2637</v>
      </c>
      <c r="B251" s="34" t="s">
        <v>2092</v>
      </c>
      <c r="C251" s="42" t="n">
        <v>2023</v>
      </c>
      <c r="D251" s="35" t="s">
        <v>2109</v>
      </c>
      <c r="E251" s="35" t="s">
        <v>2110</v>
      </c>
      <c r="F251" s="34" t="s">
        <v>2194</v>
      </c>
      <c r="G251" s="34" t="s">
        <v>2134</v>
      </c>
      <c r="H251" s="37" t="n">
        <v>462</v>
      </c>
      <c r="I251" s="37" t="n">
        <v>15999</v>
      </c>
      <c r="J251" s="37" t="n">
        <f aca="false">H251*I251</f>
        <v>7391538</v>
      </c>
      <c r="K251" s="37" t="n">
        <f aca="false">J251*0.67</f>
        <v>4952330.46</v>
      </c>
      <c r="L251" s="37" t="n">
        <f aca="false">J251-K251</f>
        <v>2439207.54</v>
      </c>
      <c r="M251" s="38" t="n">
        <f aca="false">IF(J251=0,0,L251/J251)</f>
        <v>0.33</v>
      </c>
      <c r="N251" s="38" t="n">
        <v>0.1</v>
      </c>
      <c r="O251" s="37" t="n">
        <f aca="false">J251*(1-N251)</f>
        <v>6652384.2</v>
      </c>
      <c r="P251" s="37" t="n">
        <v>2</v>
      </c>
      <c r="Q251" s="38" t="n">
        <f aca="false">IF(H251=0,0,P251/H251)</f>
        <v>0.00432900432900433</v>
      </c>
      <c r="R251" s="35" t="s">
        <v>2638</v>
      </c>
      <c r="S251" s="34" t="s">
        <v>2098</v>
      </c>
      <c r="T251" s="34" t="s">
        <v>2124</v>
      </c>
    </row>
    <row r="252" customFormat="false" ht="15" hidden="false" customHeight="false" outlineLevel="0" collapsed="false">
      <c r="A252" s="43" t="s">
        <v>2639</v>
      </c>
      <c r="B252" s="43" t="s">
        <v>2126</v>
      </c>
      <c r="C252" s="51" t="n">
        <v>2022</v>
      </c>
      <c r="D252" s="44" t="s">
        <v>2138</v>
      </c>
      <c r="E252" s="44" t="s">
        <v>2128</v>
      </c>
      <c r="F252" s="43" t="s">
        <v>2116</v>
      </c>
      <c r="G252" s="43" t="s">
        <v>2096</v>
      </c>
      <c r="H252" s="46" t="n">
        <v>377</v>
      </c>
      <c r="I252" s="46" t="n">
        <v>1999</v>
      </c>
      <c r="J252" s="46" t="n">
        <f aca="false">H252*I252</f>
        <v>753623</v>
      </c>
      <c r="K252" s="46" t="n">
        <f aca="false">J252*0.68</f>
        <v>512463.64</v>
      </c>
      <c r="L252" s="46" t="n">
        <f aca="false">J252-K252</f>
        <v>241159.36</v>
      </c>
      <c r="M252" s="47" t="n">
        <f aca="false">IF(J252=0,0,L252/J252)</f>
        <v>0.32</v>
      </c>
      <c r="N252" s="47" t="n">
        <v>0.08</v>
      </c>
      <c r="O252" s="46" t="n">
        <f aca="false">J252*(1-N252)</f>
        <v>693333.16</v>
      </c>
      <c r="P252" s="46" t="n">
        <v>18</v>
      </c>
      <c r="Q252" s="47" t="n">
        <f aca="false">IF(H252=0,0,P252/H252)</f>
        <v>0.0477453580901857</v>
      </c>
      <c r="R252" s="44" t="s">
        <v>2640</v>
      </c>
      <c r="S252" s="43" t="s">
        <v>2107</v>
      </c>
      <c r="T252" s="43" t="s">
        <v>2099</v>
      </c>
    </row>
    <row r="253" customFormat="false" ht="15" hidden="false" customHeight="false" outlineLevel="0" collapsed="false">
      <c r="A253" s="34" t="s">
        <v>2641</v>
      </c>
      <c r="B253" s="34" t="s">
        <v>2156</v>
      </c>
      <c r="C253" s="42" t="n">
        <v>2022</v>
      </c>
      <c r="D253" s="35" t="s">
        <v>2138</v>
      </c>
      <c r="E253" s="35" t="s">
        <v>2128</v>
      </c>
      <c r="F253" s="34" t="s">
        <v>2175</v>
      </c>
      <c r="G253" s="34" t="s">
        <v>2134</v>
      </c>
      <c r="H253" s="37" t="n">
        <v>396</v>
      </c>
      <c r="I253" s="37" t="n">
        <v>2999</v>
      </c>
      <c r="J253" s="37" t="n">
        <f aca="false">H253*I253</f>
        <v>1187604</v>
      </c>
      <c r="K253" s="37" t="n">
        <f aca="false">J253*0.53</f>
        <v>629430.12</v>
      </c>
      <c r="L253" s="37" t="n">
        <f aca="false">J253-K253</f>
        <v>558173.88</v>
      </c>
      <c r="M253" s="38" t="n">
        <f aca="false">IF(J253=0,0,L253/J253)</f>
        <v>0.47</v>
      </c>
      <c r="N253" s="38" t="n">
        <v>0.12</v>
      </c>
      <c r="O253" s="37" t="n">
        <f aca="false">J253*(1-N253)</f>
        <v>1045091.52</v>
      </c>
      <c r="P253" s="37" t="n">
        <v>12</v>
      </c>
      <c r="Q253" s="38" t="n">
        <f aca="false">IF(H253=0,0,P253/H253)</f>
        <v>0.0303030303030303</v>
      </c>
      <c r="R253" s="35" t="s">
        <v>2642</v>
      </c>
      <c r="S253" s="34" t="s">
        <v>2118</v>
      </c>
      <c r="T253" s="34" t="s">
        <v>2099</v>
      </c>
    </row>
    <row r="254" customFormat="false" ht="15" hidden="false" customHeight="false" outlineLevel="0" collapsed="false">
      <c r="A254" s="43" t="s">
        <v>2643</v>
      </c>
      <c r="B254" s="43" t="s">
        <v>2213</v>
      </c>
      <c r="C254" s="51" t="n">
        <v>2022</v>
      </c>
      <c r="D254" s="44" t="s">
        <v>2115</v>
      </c>
      <c r="E254" s="44" t="s">
        <v>2103</v>
      </c>
      <c r="F254" s="43" t="s">
        <v>2116</v>
      </c>
      <c r="G254" s="43" t="s">
        <v>2129</v>
      </c>
      <c r="H254" s="46" t="n">
        <v>110</v>
      </c>
      <c r="I254" s="46" t="n">
        <v>35999</v>
      </c>
      <c r="J254" s="46" t="n">
        <f aca="false">H254*I254</f>
        <v>3959890</v>
      </c>
      <c r="K254" s="46" t="n">
        <f aca="false">J254*0.56</f>
        <v>2217538.4</v>
      </c>
      <c r="L254" s="46" t="n">
        <f aca="false">J254-K254</f>
        <v>1742351.6</v>
      </c>
      <c r="M254" s="47" t="n">
        <f aca="false">IF(J254=0,0,L254/J254)</f>
        <v>0.44</v>
      </c>
      <c r="N254" s="47" t="n">
        <v>0.04</v>
      </c>
      <c r="O254" s="46" t="n">
        <f aca="false">J254*(1-N254)</f>
        <v>3801494.4</v>
      </c>
      <c r="P254" s="46" t="n">
        <v>4</v>
      </c>
      <c r="Q254" s="47" t="n">
        <f aca="false">IF(H254=0,0,P254/H254)</f>
        <v>0.0363636363636364</v>
      </c>
      <c r="R254" s="44" t="s">
        <v>2644</v>
      </c>
      <c r="S254" s="43" t="s">
        <v>2118</v>
      </c>
      <c r="T254" s="43" t="s">
        <v>2099</v>
      </c>
    </row>
    <row r="255" customFormat="false" ht="15" hidden="false" customHeight="false" outlineLevel="0" collapsed="false">
      <c r="A255" s="34" t="s">
        <v>2645</v>
      </c>
      <c r="B255" s="34" t="s">
        <v>2156</v>
      </c>
      <c r="C255" s="42" t="n">
        <v>2024</v>
      </c>
      <c r="D255" s="35" t="s">
        <v>2127</v>
      </c>
      <c r="E255" s="35" t="s">
        <v>2128</v>
      </c>
      <c r="F255" s="34" t="s">
        <v>2142</v>
      </c>
      <c r="G255" s="34" t="s">
        <v>2134</v>
      </c>
      <c r="H255" s="37" t="n">
        <v>163</v>
      </c>
      <c r="I255" s="37" t="n">
        <v>1999</v>
      </c>
      <c r="J255" s="37" t="n">
        <f aca="false">H255*I255</f>
        <v>325837</v>
      </c>
      <c r="K255" s="37" t="n">
        <f aca="false">J255*0.56</f>
        <v>182468.72</v>
      </c>
      <c r="L255" s="37" t="n">
        <f aca="false">J255-K255</f>
        <v>143368.28</v>
      </c>
      <c r="M255" s="38" t="n">
        <f aca="false">IF(J255=0,0,L255/J255)</f>
        <v>0.44</v>
      </c>
      <c r="N255" s="38" t="n">
        <v>0.1</v>
      </c>
      <c r="O255" s="37" t="n">
        <f aca="false">J255*(1-N255)</f>
        <v>293253.3</v>
      </c>
      <c r="P255" s="37" t="n">
        <v>4</v>
      </c>
      <c r="Q255" s="38" t="n">
        <f aca="false">IF(H255=0,0,P255/H255)</f>
        <v>0.0245398773006135</v>
      </c>
      <c r="R255" s="35" t="s">
        <v>2646</v>
      </c>
      <c r="S255" s="34" t="s">
        <v>2118</v>
      </c>
      <c r="T255" s="34" t="s">
        <v>2099</v>
      </c>
    </row>
    <row r="256" customFormat="false" ht="15" hidden="false" customHeight="false" outlineLevel="0" collapsed="false">
      <c r="A256" s="43" t="s">
        <v>2647</v>
      </c>
      <c r="B256" s="43" t="s">
        <v>2141</v>
      </c>
      <c r="C256" s="51" t="n">
        <v>2023</v>
      </c>
      <c r="D256" s="44" t="s">
        <v>2174</v>
      </c>
      <c r="E256" s="44" t="s">
        <v>2103</v>
      </c>
      <c r="F256" s="43" t="s">
        <v>2194</v>
      </c>
      <c r="G256" s="43" t="s">
        <v>2105</v>
      </c>
      <c r="H256" s="46" t="n">
        <v>11</v>
      </c>
      <c r="I256" s="46" t="n">
        <v>24999</v>
      </c>
      <c r="J256" s="46" t="n">
        <f aca="false">H256*I256</f>
        <v>274989</v>
      </c>
      <c r="K256" s="46" t="n">
        <f aca="false">J256*0.69</f>
        <v>189742.41</v>
      </c>
      <c r="L256" s="46" t="n">
        <f aca="false">J256-K256</f>
        <v>85246.59</v>
      </c>
      <c r="M256" s="47" t="n">
        <f aca="false">IF(J256=0,0,L256/J256)</f>
        <v>0.31</v>
      </c>
      <c r="N256" s="47" t="n">
        <v>0.09</v>
      </c>
      <c r="O256" s="46" t="n">
        <f aca="false">J256*(1-N256)</f>
        <v>250239.99</v>
      </c>
      <c r="P256" s="46" t="n">
        <v>0</v>
      </c>
      <c r="Q256" s="47" t="n">
        <f aca="false">IF(H256=0,0,P256/H256)</f>
        <v>0</v>
      </c>
      <c r="R256" s="44" t="s">
        <v>2367</v>
      </c>
      <c r="S256" s="43" t="s">
        <v>2136</v>
      </c>
      <c r="T256" s="43" t="s">
        <v>2099</v>
      </c>
    </row>
    <row r="257" customFormat="false" ht="15" hidden="false" customHeight="false" outlineLevel="0" collapsed="false">
      <c r="A257" s="34" t="s">
        <v>2648</v>
      </c>
      <c r="B257" s="34" t="s">
        <v>2148</v>
      </c>
      <c r="C257" s="42" t="n">
        <v>2024</v>
      </c>
      <c r="D257" s="35" t="s">
        <v>2207</v>
      </c>
      <c r="E257" s="35" t="s">
        <v>2208</v>
      </c>
      <c r="F257" s="34" t="s">
        <v>2194</v>
      </c>
      <c r="G257" s="34" t="s">
        <v>2105</v>
      </c>
      <c r="H257" s="37" t="n">
        <v>463</v>
      </c>
      <c r="I257" s="37" t="n">
        <v>2999</v>
      </c>
      <c r="J257" s="37" t="n">
        <f aca="false">H257*I257</f>
        <v>1388537</v>
      </c>
      <c r="K257" s="37" t="n">
        <f aca="false">J257*0.62</f>
        <v>860892.94</v>
      </c>
      <c r="L257" s="37" t="n">
        <f aca="false">J257-K257</f>
        <v>527644.06</v>
      </c>
      <c r="M257" s="38" t="n">
        <f aca="false">IF(J257=0,0,L257/J257)</f>
        <v>0.38</v>
      </c>
      <c r="N257" s="38" t="n">
        <v>0.08</v>
      </c>
      <c r="O257" s="37" t="n">
        <f aca="false">J257*(1-N257)</f>
        <v>1277454.04</v>
      </c>
      <c r="P257" s="37" t="n">
        <v>7</v>
      </c>
      <c r="Q257" s="38" t="n">
        <f aca="false">IF(H257=0,0,P257/H257)</f>
        <v>0.0151187904967603</v>
      </c>
      <c r="R257" s="35" t="s">
        <v>2649</v>
      </c>
      <c r="S257" s="34" t="s">
        <v>2136</v>
      </c>
      <c r="T257" s="34" t="s">
        <v>2124</v>
      </c>
    </row>
    <row r="258" customFormat="false" ht="15" hidden="false" customHeight="false" outlineLevel="0" collapsed="false">
      <c r="A258" s="43" t="s">
        <v>2650</v>
      </c>
      <c r="B258" s="43" t="s">
        <v>2213</v>
      </c>
      <c r="C258" s="51" t="n">
        <v>2022</v>
      </c>
      <c r="D258" s="44" t="s">
        <v>2145</v>
      </c>
      <c r="E258" s="44" t="s">
        <v>2103</v>
      </c>
      <c r="F258" s="43" t="s">
        <v>2111</v>
      </c>
      <c r="G258" s="43" t="s">
        <v>2105</v>
      </c>
      <c r="H258" s="46" t="n">
        <v>155</v>
      </c>
      <c r="I258" s="46" t="n">
        <v>7999</v>
      </c>
      <c r="J258" s="46" t="n">
        <f aca="false">H258*I258</f>
        <v>1239845</v>
      </c>
      <c r="K258" s="46" t="n">
        <f aca="false">J258*0.68</f>
        <v>843094.6</v>
      </c>
      <c r="L258" s="46" t="n">
        <f aca="false">J258-K258</f>
        <v>396750.4</v>
      </c>
      <c r="M258" s="47" t="n">
        <f aca="false">IF(J258=0,0,L258/J258)</f>
        <v>0.32</v>
      </c>
      <c r="N258" s="47" t="n">
        <v>0.11</v>
      </c>
      <c r="O258" s="46" t="n">
        <f aca="false">J258*(1-N258)</f>
        <v>1103462.05</v>
      </c>
      <c r="P258" s="46" t="n">
        <v>4</v>
      </c>
      <c r="Q258" s="47" t="n">
        <f aca="false">IF(H258=0,0,P258/H258)</f>
        <v>0.0258064516129032</v>
      </c>
      <c r="R258" s="44" t="s">
        <v>2651</v>
      </c>
      <c r="S258" s="43" t="s">
        <v>2118</v>
      </c>
      <c r="T258" s="43" t="s">
        <v>2099</v>
      </c>
    </row>
    <row r="259" customFormat="false" ht="15" hidden="false" customHeight="false" outlineLevel="0" collapsed="false">
      <c r="A259" s="34" t="s">
        <v>2652</v>
      </c>
      <c r="B259" s="34" t="s">
        <v>2120</v>
      </c>
      <c r="C259" s="42" t="n">
        <v>2023</v>
      </c>
      <c r="D259" s="35" t="s">
        <v>2093</v>
      </c>
      <c r="E259" s="35" t="s">
        <v>2094</v>
      </c>
      <c r="F259" s="34" t="s">
        <v>2194</v>
      </c>
      <c r="G259" s="34" t="s">
        <v>2157</v>
      </c>
      <c r="H259" s="37" t="n">
        <v>405</v>
      </c>
      <c r="I259" s="37" t="n">
        <v>4999</v>
      </c>
      <c r="J259" s="37" t="n">
        <f aca="false">H259*I259</f>
        <v>2024595</v>
      </c>
      <c r="K259" s="37" t="n">
        <f aca="false">J259*0.52</f>
        <v>1052789.4</v>
      </c>
      <c r="L259" s="37" t="n">
        <f aca="false">J259-K259</f>
        <v>971805.6</v>
      </c>
      <c r="M259" s="38" t="n">
        <f aca="false">IF(J259=0,0,L259/J259)</f>
        <v>0.48</v>
      </c>
      <c r="N259" s="38" t="n">
        <v>0.01</v>
      </c>
      <c r="O259" s="37" t="n">
        <f aca="false">J259*(1-N259)</f>
        <v>2004349.05</v>
      </c>
      <c r="P259" s="37" t="n">
        <v>15</v>
      </c>
      <c r="Q259" s="38" t="n">
        <f aca="false">IF(H259=0,0,P259/H259)</f>
        <v>0.037037037037037</v>
      </c>
      <c r="R259" s="35" t="s">
        <v>2653</v>
      </c>
      <c r="S259" s="34" t="s">
        <v>2098</v>
      </c>
      <c r="T259" s="34" t="s">
        <v>2124</v>
      </c>
    </row>
    <row r="260" customFormat="false" ht="15" hidden="false" customHeight="false" outlineLevel="0" collapsed="false">
      <c r="A260" s="43" t="s">
        <v>2654</v>
      </c>
      <c r="B260" s="43" t="s">
        <v>2126</v>
      </c>
      <c r="C260" s="51" t="n">
        <v>2023</v>
      </c>
      <c r="D260" s="44" t="s">
        <v>2145</v>
      </c>
      <c r="E260" s="44" t="s">
        <v>2103</v>
      </c>
      <c r="F260" s="43" t="s">
        <v>2104</v>
      </c>
      <c r="G260" s="43" t="s">
        <v>2105</v>
      </c>
      <c r="H260" s="46" t="n">
        <v>368</v>
      </c>
      <c r="I260" s="46" t="n">
        <v>15999</v>
      </c>
      <c r="J260" s="46" t="n">
        <f aca="false">H260*I260</f>
        <v>5887632</v>
      </c>
      <c r="K260" s="46" t="n">
        <f aca="false">J260*0.67</f>
        <v>3944713.44</v>
      </c>
      <c r="L260" s="46" t="n">
        <f aca="false">J260-K260</f>
        <v>1942918.56</v>
      </c>
      <c r="M260" s="47" t="n">
        <f aca="false">IF(J260=0,0,L260/J260)</f>
        <v>0.33</v>
      </c>
      <c r="N260" s="47" t="n">
        <v>0.12</v>
      </c>
      <c r="O260" s="46" t="n">
        <f aca="false">J260*(1-N260)</f>
        <v>5181116.16</v>
      </c>
      <c r="P260" s="46" t="n">
        <v>5</v>
      </c>
      <c r="Q260" s="47" t="n">
        <f aca="false">IF(H260=0,0,P260/H260)</f>
        <v>0.0135869565217391</v>
      </c>
      <c r="R260" s="44" t="s">
        <v>2655</v>
      </c>
      <c r="S260" s="43" t="s">
        <v>2107</v>
      </c>
      <c r="T260" s="43" t="s">
        <v>2099</v>
      </c>
    </row>
    <row r="261" customFormat="false" ht="15" hidden="false" customHeight="false" outlineLevel="0" collapsed="false">
      <c r="A261" s="34" t="s">
        <v>2656</v>
      </c>
      <c r="B261" s="34" t="s">
        <v>2114</v>
      </c>
      <c r="C261" s="42" t="n">
        <v>2022</v>
      </c>
      <c r="D261" s="35" t="s">
        <v>2127</v>
      </c>
      <c r="E261" s="35" t="s">
        <v>2128</v>
      </c>
      <c r="F261" s="34" t="s">
        <v>2111</v>
      </c>
      <c r="G261" s="34" t="s">
        <v>2096</v>
      </c>
      <c r="H261" s="37" t="n">
        <v>374</v>
      </c>
      <c r="I261" s="37" t="n">
        <v>799</v>
      </c>
      <c r="J261" s="37" t="n">
        <f aca="false">H261*I261</f>
        <v>298826</v>
      </c>
      <c r="K261" s="37" t="n">
        <f aca="false">J261*0.59</f>
        <v>176307.34</v>
      </c>
      <c r="L261" s="37" t="n">
        <f aca="false">J261-K261</f>
        <v>122518.66</v>
      </c>
      <c r="M261" s="38" t="n">
        <f aca="false">IF(J261=0,0,L261/J261)</f>
        <v>0.41</v>
      </c>
      <c r="N261" s="38" t="n">
        <v>0.05</v>
      </c>
      <c r="O261" s="37" t="n">
        <f aca="false">J261*(1-N261)</f>
        <v>283884.7</v>
      </c>
      <c r="P261" s="37" t="n">
        <v>0</v>
      </c>
      <c r="Q261" s="38" t="n">
        <f aca="false">IF(H261=0,0,P261/H261)</f>
        <v>0</v>
      </c>
      <c r="R261" s="35" t="s">
        <v>2657</v>
      </c>
      <c r="S261" s="34" t="s">
        <v>2118</v>
      </c>
      <c r="T261" s="34" t="s">
        <v>2099</v>
      </c>
    </row>
    <row r="262" customFormat="false" ht="15" hidden="false" customHeight="false" outlineLevel="0" collapsed="false">
      <c r="A262" s="43" t="s">
        <v>2658</v>
      </c>
      <c r="B262" s="43" t="s">
        <v>2101</v>
      </c>
      <c r="C262" s="51" t="n">
        <v>2024</v>
      </c>
      <c r="D262" s="44" t="s">
        <v>2115</v>
      </c>
      <c r="E262" s="44" t="s">
        <v>2103</v>
      </c>
      <c r="F262" s="43" t="s">
        <v>2142</v>
      </c>
      <c r="G262" s="43" t="s">
        <v>2157</v>
      </c>
      <c r="H262" s="46" t="n">
        <v>406</v>
      </c>
      <c r="I262" s="46" t="n">
        <v>24999</v>
      </c>
      <c r="J262" s="46" t="n">
        <f aca="false">H262*I262</f>
        <v>10149594</v>
      </c>
      <c r="K262" s="46" t="n">
        <f aca="false">J262*0.48</f>
        <v>4871805.12</v>
      </c>
      <c r="L262" s="46" t="n">
        <f aca="false">J262-K262</f>
        <v>5277788.88</v>
      </c>
      <c r="M262" s="47" t="n">
        <f aca="false">IF(J262=0,0,L262/J262)</f>
        <v>0.52</v>
      </c>
      <c r="N262" s="47" t="n">
        <v>0.06</v>
      </c>
      <c r="O262" s="46" t="n">
        <f aca="false">J262*(1-N262)</f>
        <v>9540618.36</v>
      </c>
      <c r="P262" s="46" t="n">
        <v>20</v>
      </c>
      <c r="Q262" s="47" t="n">
        <f aca="false">IF(H262=0,0,P262/H262)</f>
        <v>0.0492610837438424</v>
      </c>
      <c r="R262" s="44" t="s">
        <v>2659</v>
      </c>
      <c r="S262" s="43" t="s">
        <v>2107</v>
      </c>
      <c r="T262" s="43" t="s">
        <v>2099</v>
      </c>
    </row>
    <row r="263" customFormat="false" ht="15" hidden="false" customHeight="false" outlineLevel="0" collapsed="false">
      <c r="A263" s="34" t="s">
        <v>2660</v>
      </c>
      <c r="B263" s="34" t="s">
        <v>2141</v>
      </c>
      <c r="C263" s="42" t="n">
        <v>2024</v>
      </c>
      <c r="D263" s="35" t="s">
        <v>2149</v>
      </c>
      <c r="E263" s="35" t="s">
        <v>2128</v>
      </c>
      <c r="F263" s="34" t="s">
        <v>2116</v>
      </c>
      <c r="G263" s="34" t="s">
        <v>2129</v>
      </c>
      <c r="H263" s="37" t="n">
        <v>128</v>
      </c>
      <c r="I263" s="37" t="n">
        <v>1999</v>
      </c>
      <c r="J263" s="37" t="n">
        <f aca="false">H263*I263</f>
        <v>255872</v>
      </c>
      <c r="K263" s="37" t="n">
        <f aca="false">J263*0.63</f>
        <v>161199.36</v>
      </c>
      <c r="L263" s="37" t="n">
        <f aca="false">J263-K263</f>
        <v>94672.64</v>
      </c>
      <c r="M263" s="38" t="n">
        <f aca="false">IF(J263=0,0,L263/J263)</f>
        <v>0.37</v>
      </c>
      <c r="N263" s="38" t="n">
        <v>0.12</v>
      </c>
      <c r="O263" s="37" t="n">
        <f aca="false">J263*(1-N263)</f>
        <v>225167.36</v>
      </c>
      <c r="P263" s="37" t="n">
        <v>5</v>
      </c>
      <c r="Q263" s="38" t="n">
        <f aca="false">IF(H263=0,0,P263/H263)</f>
        <v>0.0390625</v>
      </c>
      <c r="R263" s="35" t="s">
        <v>2661</v>
      </c>
      <c r="S263" s="34" t="s">
        <v>2136</v>
      </c>
      <c r="T263" s="34" t="s">
        <v>2099</v>
      </c>
    </row>
    <row r="264" customFormat="false" ht="15" hidden="false" customHeight="false" outlineLevel="0" collapsed="false">
      <c r="A264" s="43" t="s">
        <v>2662</v>
      </c>
      <c r="B264" s="43" t="s">
        <v>2162</v>
      </c>
      <c r="C264" s="51" t="n">
        <v>2024</v>
      </c>
      <c r="D264" s="44" t="s">
        <v>2207</v>
      </c>
      <c r="E264" s="44" t="s">
        <v>2208</v>
      </c>
      <c r="F264" s="43" t="s">
        <v>2104</v>
      </c>
      <c r="G264" s="43" t="s">
        <v>2105</v>
      </c>
      <c r="H264" s="46" t="n">
        <v>232</v>
      </c>
      <c r="I264" s="46" t="n">
        <v>9999</v>
      </c>
      <c r="J264" s="46" t="n">
        <f aca="false">H264*I264</f>
        <v>2319768</v>
      </c>
      <c r="K264" s="46" t="n">
        <f aca="false">J264*0.67</f>
        <v>1554244.56</v>
      </c>
      <c r="L264" s="46" t="n">
        <f aca="false">J264-K264</f>
        <v>765523.44</v>
      </c>
      <c r="M264" s="47" t="n">
        <f aca="false">IF(J264=0,0,L264/J264)</f>
        <v>0.33</v>
      </c>
      <c r="N264" s="47" t="n">
        <v>0.02</v>
      </c>
      <c r="O264" s="46" t="n">
        <f aca="false">J264*(1-N264)</f>
        <v>2273372.64</v>
      </c>
      <c r="P264" s="46" t="n">
        <v>2</v>
      </c>
      <c r="Q264" s="47" t="n">
        <f aca="false">IF(H264=0,0,P264/H264)</f>
        <v>0.00862068965517241</v>
      </c>
      <c r="R264" s="44" t="s">
        <v>2663</v>
      </c>
      <c r="S264" s="43" t="s">
        <v>2107</v>
      </c>
      <c r="T264" s="43" t="s">
        <v>2099</v>
      </c>
    </row>
    <row r="265" customFormat="false" ht="15" hidden="false" customHeight="false" outlineLevel="0" collapsed="false">
      <c r="A265" s="34" t="s">
        <v>2664</v>
      </c>
      <c r="B265" s="34" t="s">
        <v>2148</v>
      </c>
      <c r="C265" s="42" t="n">
        <v>2022</v>
      </c>
      <c r="D265" s="35" t="s">
        <v>2149</v>
      </c>
      <c r="E265" s="35" t="s">
        <v>2128</v>
      </c>
      <c r="F265" s="34" t="s">
        <v>2111</v>
      </c>
      <c r="G265" s="34" t="s">
        <v>2105</v>
      </c>
      <c r="H265" s="37" t="n">
        <v>94</v>
      </c>
      <c r="I265" s="37" t="n">
        <v>15999</v>
      </c>
      <c r="J265" s="37" t="n">
        <f aca="false">H265*I265</f>
        <v>1503906</v>
      </c>
      <c r="K265" s="37" t="n">
        <f aca="false">J265*0.67</f>
        <v>1007617.02</v>
      </c>
      <c r="L265" s="37" t="n">
        <f aca="false">J265-K265</f>
        <v>496288.98</v>
      </c>
      <c r="M265" s="38" t="n">
        <f aca="false">IF(J265=0,0,L265/J265)</f>
        <v>0.33</v>
      </c>
      <c r="N265" s="38" t="n">
        <v>0.14</v>
      </c>
      <c r="O265" s="37" t="n">
        <f aca="false">J265*(1-N265)</f>
        <v>1293359.16</v>
      </c>
      <c r="P265" s="37" t="n">
        <v>4</v>
      </c>
      <c r="Q265" s="38" t="n">
        <f aca="false">IF(H265=0,0,P265/H265)</f>
        <v>0.0425531914893617</v>
      </c>
      <c r="R265" s="35" t="s">
        <v>2665</v>
      </c>
      <c r="S265" s="34" t="s">
        <v>2136</v>
      </c>
      <c r="T265" s="34" t="s">
        <v>2099</v>
      </c>
    </row>
    <row r="266" customFormat="false" ht="15" hidden="false" customHeight="false" outlineLevel="0" collapsed="false">
      <c r="A266" s="43" t="s">
        <v>2666</v>
      </c>
      <c r="B266" s="43" t="s">
        <v>2165</v>
      </c>
      <c r="C266" s="51" t="n">
        <v>2022</v>
      </c>
      <c r="D266" s="44" t="s">
        <v>2145</v>
      </c>
      <c r="E266" s="44" t="s">
        <v>2103</v>
      </c>
      <c r="F266" s="43" t="s">
        <v>2175</v>
      </c>
      <c r="G266" s="43" t="s">
        <v>2096</v>
      </c>
      <c r="H266" s="46" t="n">
        <v>321</v>
      </c>
      <c r="I266" s="46" t="n">
        <v>2499</v>
      </c>
      <c r="J266" s="46" t="n">
        <f aca="false">H266*I266</f>
        <v>802179</v>
      </c>
      <c r="K266" s="46" t="n">
        <f aca="false">J266*0.68</f>
        <v>545481.72</v>
      </c>
      <c r="L266" s="46" t="n">
        <f aca="false">J266-K266</f>
        <v>256697.28</v>
      </c>
      <c r="M266" s="47" t="n">
        <f aca="false">IF(J266=0,0,L266/J266)</f>
        <v>0.32</v>
      </c>
      <c r="N266" s="47" t="n">
        <v>0.15</v>
      </c>
      <c r="O266" s="46" t="n">
        <f aca="false">J266*(1-N266)</f>
        <v>681852.15</v>
      </c>
      <c r="P266" s="46" t="n">
        <v>6</v>
      </c>
      <c r="Q266" s="47" t="n">
        <f aca="false">IF(H266=0,0,P266/H266)</f>
        <v>0.0186915887850467</v>
      </c>
      <c r="R266" s="44" t="s">
        <v>2667</v>
      </c>
      <c r="S266" s="43" t="s">
        <v>2098</v>
      </c>
      <c r="T266" s="43" t="s">
        <v>2099</v>
      </c>
    </row>
    <row r="267" customFormat="false" ht="15" hidden="false" customHeight="false" outlineLevel="0" collapsed="false">
      <c r="A267" s="34" t="s">
        <v>2668</v>
      </c>
      <c r="B267" s="34" t="s">
        <v>2126</v>
      </c>
      <c r="C267" s="42" t="n">
        <v>2022</v>
      </c>
      <c r="D267" s="35" t="s">
        <v>2180</v>
      </c>
      <c r="E267" s="35" t="s">
        <v>2181</v>
      </c>
      <c r="F267" s="34" t="s">
        <v>2111</v>
      </c>
      <c r="G267" s="34" t="s">
        <v>2096</v>
      </c>
      <c r="H267" s="37" t="n">
        <v>220</v>
      </c>
      <c r="I267" s="37" t="n">
        <v>11999</v>
      </c>
      <c r="J267" s="37" t="n">
        <f aca="false">H267*I267</f>
        <v>2639780</v>
      </c>
      <c r="K267" s="37" t="n">
        <f aca="false">J267*0.52</f>
        <v>1372685.6</v>
      </c>
      <c r="L267" s="37" t="n">
        <f aca="false">J267-K267</f>
        <v>1267094.4</v>
      </c>
      <c r="M267" s="38" t="n">
        <f aca="false">IF(J267=0,0,L267/J267)</f>
        <v>0.48</v>
      </c>
      <c r="N267" s="38" t="n">
        <v>0.01</v>
      </c>
      <c r="O267" s="37" t="n">
        <f aca="false">J267*(1-N267)</f>
        <v>2613382.2</v>
      </c>
      <c r="P267" s="37" t="n">
        <v>5</v>
      </c>
      <c r="Q267" s="38" t="n">
        <f aca="false">IF(H267=0,0,P267/H267)</f>
        <v>0.0227272727272727</v>
      </c>
      <c r="R267" s="35" t="s">
        <v>2669</v>
      </c>
      <c r="S267" s="34" t="s">
        <v>2107</v>
      </c>
      <c r="T267" s="34" t="s">
        <v>2099</v>
      </c>
    </row>
    <row r="268" customFormat="false" ht="15" hidden="false" customHeight="false" outlineLevel="0" collapsed="false">
      <c r="A268" s="43" t="s">
        <v>2670</v>
      </c>
      <c r="B268" s="43" t="s">
        <v>2162</v>
      </c>
      <c r="C268" s="51" t="n">
        <v>2022</v>
      </c>
      <c r="D268" s="44" t="s">
        <v>2180</v>
      </c>
      <c r="E268" s="44" t="s">
        <v>2181</v>
      </c>
      <c r="F268" s="43" t="s">
        <v>2142</v>
      </c>
      <c r="G268" s="43" t="s">
        <v>2096</v>
      </c>
      <c r="H268" s="46" t="n">
        <v>223</v>
      </c>
      <c r="I268" s="46" t="n">
        <v>2999</v>
      </c>
      <c r="J268" s="46" t="n">
        <f aca="false">H268*I268</f>
        <v>668777</v>
      </c>
      <c r="K268" s="46" t="n">
        <f aca="false">J268*0.68</f>
        <v>454768.36</v>
      </c>
      <c r="L268" s="46" t="n">
        <f aca="false">J268-K268</f>
        <v>214008.64</v>
      </c>
      <c r="M268" s="47" t="n">
        <f aca="false">IF(J268=0,0,L268/J268)</f>
        <v>0.32</v>
      </c>
      <c r="N268" s="47" t="n">
        <v>0.07</v>
      </c>
      <c r="O268" s="46" t="n">
        <f aca="false">J268*(1-N268)</f>
        <v>621962.61</v>
      </c>
      <c r="P268" s="46" t="n">
        <v>10</v>
      </c>
      <c r="Q268" s="47" t="n">
        <f aca="false">IF(H268=0,0,P268/H268)</f>
        <v>0.0448430493273543</v>
      </c>
      <c r="R268" s="44" t="s">
        <v>2671</v>
      </c>
      <c r="S268" s="43" t="s">
        <v>2107</v>
      </c>
      <c r="T268" s="43" t="s">
        <v>2124</v>
      </c>
    </row>
    <row r="269" customFormat="false" ht="15" hidden="false" customHeight="false" outlineLevel="0" collapsed="false">
      <c r="A269" s="34" t="s">
        <v>2672</v>
      </c>
      <c r="B269" s="34" t="s">
        <v>2092</v>
      </c>
      <c r="C269" s="42" t="n">
        <v>2022</v>
      </c>
      <c r="D269" s="35" t="s">
        <v>2174</v>
      </c>
      <c r="E269" s="35" t="s">
        <v>2103</v>
      </c>
      <c r="F269" s="34" t="s">
        <v>2095</v>
      </c>
      <c r="G269" s="34" t="s">
        <v>2129</v>
      </c>
      <c r="H269" s="37" t="n">
        <v>485</v>
      </c>
      <c r="I269" s="37" t="n">
        <v>799</v>
      </c>
      <c r="J269" s="37" t="n">
        <f aca="false">H269*I269</f>
        <v>387515</v>
      </c>
      <c r="K269" s="37" t="n">
        <f aca="false">J269*0.65</f>
        <v>251884.75</v>
      </c>
      <c r="L269" s="37" t="n">
        <f aca="false">J269-K269</f>
        <v>135630.25</v>
      </c>
      <c r="M269" s="38" t="n">
        <f aca="false">IF(J269=0,0,L269/J269)</f>
        <v>0.35</v>
      </c>
      <c r="N269" s="38" t="n">
        <v>0.04</v>
      </c>
      <c r="O269" s="37" t="n">
        <f aca="false">J269*(1-N269)</f>
        <v>372014.4</v>
      </c>
      <c r="P269" s="37" t="n">
        <v>23</v>
      </c>
      <c r="Q269" s="38" t="n">
        <f aca="false">IF(H269=0,0,P269/H269)</f>
        <v>0.0474226804123711</v>
      </c>
      <c r="R269" s="35" t="s">
        <v>2673</v>
      </c>
      <c r="S269" s="34" t="s">
        <v>2098</v>
      </c>
      <c r="T269" s="34" t="s">
        <v>2124</v>
      </c>
    </row>
    <row r="270" customFormat="false" ht="15" hidden="false" customHeight="false" outlineLevel="0" collapsed="false">
      <c r="A270" s="43" t="s">
        <v>2674</v>
      </c>
      <c r="B270" s="43" t="s">
        <v>2213</v>
      </c>
      <c r="C270" s="51" t="n">
        <v>2022</v>
      </c>
      <c r="D270" s="44" t="s">
        <v>2207</v>
      </c>
      <c r="E270" s="44" t="s">
        <v>2208</v>
      </c>
      <c r="F270" s="43" t="s">
        <v>2104</v>
      </c>
      <c r="G270" s="43" t="s">
        <v>2129</v>
      </c>
      <c r="H270" s="46" t="n">
        <v>308</v>
      </c>
      <c r="I270" s="46" t="n">
        <v>2499</v>
      </c>
      <c r="J270" s="46" t="n">
        <f aca="false">H270*I270</f>
        <v>769692</v>
      </c>
      <c r="K270" s="46" t="n">
        <f aca="false">J270*0.7</f>
        <v>538784.4</v>
      </c>
      <c r="L270" s="46" t="n">
        <f aca="false">J270-K270</f>
        <v>230907.6</v>
      </c>
      <c r="M270" s="47" t="n">
        <f aca="false">IF(J270=0,0,L270/J270)</f>
        <v>0.3</v>
      </c>
      <c r="N270" s="47" t="n">
        <v>0.04</v>
      </c>
      <c r="O270" s="46" t="n">
        <f aca="false">J270*(1-N270)</f>
        <v>738904.32</v>
      </c>
      <c r="P270" s="46" t="n">
        <v>6</v>
      </c>
      <c r="Q270" s="47" t="n">
        <f aca="false">IF(H270=0,0,P270/H270)</f>
        <v>0.0194805194805195</v>
      </c>
      <c r="R270" s="44" t="s">
        <v>2675</v>
      </c>
      <c r="S270" s="43" t="s">
        <v>2118</v>
      </c>
      <c r="T270" s="43" t="s">
        <v>2124</v>
      </c>
    </row>
    <row r="271" customFormat="false" ht="15" hidden="false" customHeight="false" outlineLevel="0" collapsed="false">
      <c r="A271" s="34" t="s">
        <v>2676</v>
      </c>
      <c r="B271" s="34" t="s">
        <v>2120</v>
      </c>
      <c r="C271" s="42" t="n">
        <v>2023</v>
      </c>
      <c r="D271" s="35" t="s">
        <v>2214</v>
      </c>
      <c r="E271" s="35" t="s">
        <v>2103</v>
      </c>
      <c r="F271" s="34" t="s">
        <v>2095</v>
      </c>
      <c r="G271" s="34" t="s">
        <v>2134</v>
      </c>
      <c r="H271" s="37" t="n">
        <v>149</v>
      </c>
      <c r="I271" s="37" t="n">
        <v>35999</v>
      </c>
      <c r="J271" s="37" t="n">
        <f aca="false">H271*I271</f>
        <v>5363851</v>
      </c>
      <c r="K271" s="37" t="n">
        <f aca="false">J271*0.51</f>
        <v>2735564.01</v>
      </c>
      <c r="L271" s="37" t="n">
        <f aca="false">J271-K271</f>
        <v>2628286.99</v>
      </c>
      <c r="M271" s="38" t="n">
        <f aca="false">IF(J271=0,0,L271/J271)</f>
        <v>0.49</v>
      </c>
      <c r="N271" s="38" t="n">
        <v>0.07</v>
      </c>
      <c r="O271" s="37" t="n">
        <f aca="false">J271*(1-N271)</f>
        <v>4988381.43</v>
      </c>
      <c r="P271" s="37" t="n">
        <v>3</v>
      </c>
      <c r="Q271" s="38" t="n">
        <f aca="false">IF(H271=0,0,P271/H271)</f>
        <v>0.0201342281879195</v>
      </c>
      <c r="R271" s="35" t="s">
        <v>2677</v>
      </c>
      <c r="S271" s="34" t="s">
        <v>2098</v>
      </c>
      <c r="T271" s="34" t="s">
        <v>2099</v>
      </c>
    </row>
    <row r="272" customFormat="false" ht="15" hidden="false" customHeight="false" outlineLevel="0" collapsed="false">
      <c r="A272" s="43" t="s">
        <v>2678</v>
      </c>
      <c r="B272" s="43" t="s">
        <v>2162</v>
      </c>
      <c r="C272" s="51" t="n">
        <v>2024</v>
      </c>
      <c r="D272" s="44" t="s">
        <v>2093</v>
      </c>
      <c r="E272" s="44" t="s">
        <v>2094</v>
      </c>
      <c r="F272" s="43" t="s">
        <v>2111</v>
      </c>
      <c r="G272" s="43" t="s">
        <v>2134</v>
      </c>
      <c r="H272" s="46" t="n">
        <v>6</v>
      </c>
      <c r="I272" s="46" t="n">
        <v>9999</v>
      </c>
      <c r="J272" s="46" t="n">
        <f aca="false">H272*I272</f>
        <v>59994</v>
      </c>
      <c r="K272" s="46" t="n">
        <f aca="false">J272*0.48</f>
        <v>28797.12</v>
      </c>
      <c r="L272" s="46" t="n">
        <f aca="false">J272-K272</f>
        <v>31196.88</v>
      </c>
      <c r="M272" s="47" t="n">
        <f aca="false">IF(J272=0,0,L272/J272)</f>
        <v>0.52</v>
      </c>
      <c r="N272" s="47" t="n">
        <v>0.05</v>
      </c>
      <c r="O272" s="46" t="n">
        <f aca="false">J272*(1-N272)</f>
        <v>56994.3</v>
      </c>
      <c r="P272" s="46" t="n">
        <v>1</v>
      </c>
      <c r="Q272" s="47" t="n">
        <f aca="false">IF(H272=0,0,P272/H272)</f>
        <v>0.166666666666667</v>
      </c>
      <c r="R272" s="44" t="s">
        <v>2679</v>
      </c>
      <c r="S272" s="43" t="s">
        <v>2107</v>
      </c>
      <c r="T272" s="43" t="s">
        <v>2099</v>
      </c>
    </row>
    <row r="273" customFormat="false" ht="15" hidden="false" customHeight="false" outlineLevel="0" collapsed="false">
      <c r="A273" s="34" t="s">
        <v>2680</v>
      </c>
      <c r="B273" s="34" t="s">
        <v>2126</v>
      </c>
      <c r="C273" s="42" t="n">
        <v>2023</v>
      </c>
      <c r="D273" s="35" t="s">
        <v>2174</v>
      </c>
      <c r="E273" s="35" t="s">
        <v>2103</v>
      </c>
      <c r="F273" s="34" t="s">
        <v>2111</v>
      </c>
      <c r="G273" s="34" t="s">
        <v>2096</v>
      </c>
      <c r="H273" s="37" t="n">
        <v>132</v>
      </c>
      <c r="I273" s="37" t="n">
        <v>7999</v>
      </c>
      <c r="J273" s="37" t="n">
        <f aca="false">H273*I273</f>
        <v>1055868</v>
      </c>
      <c r="K273" s="37" t="n">
        <f aca="false">J273*0.47</f>
        <v>496257.96</v>
      </c>
      <c r="L273" s="37" t="n">
        <f aca="false">J273-K273</f>
        <v>559610.04</v>
      </c>
      <c r="M273" s="38" t="n">
        <f aca="false">IF(J273=0,0,L273/J273)</f>
        <v>0.53</v>
      </c>
      <c r="N273" s="38" t="n">
        <v>0.01</v>
      </c>
      <c r="O273" s="37" t="n">
        <f aca="false">J273*(1-N273)</f>
        <v>1045309.32</v>
      </c>
      <c r="P273" s="37" t="n">
        <v>2</v>
      </c>
      <c r="Q273" s="38" t="n">
        <f aca="false">IF(H273=0,0,P273/H273)</f>
        <v>0.0151515151515152</v>
      </c>
      <c r="R273" s="35" t="s">
        <v>2681</v>
      </c>
      <c r="S273" s="34" t="s">
        <v>2107</v>
      </c>
      <c r="T273" s="34" t="s">
        <v>2099</v>
      </c>
    </row>
    <row r="274" customFormat="false" ht="15" hidden="false" customHeight="false" outlineLevel="0" collapsed="false">
      <c r="A274" s="43" t="s">
        <v>2682</v>
      </c>
      <c r="B274" s="43" t="s">
        <v>2156</v>
      </c>
      <c r="C274" s="51" t="n">
        <v>2023</v>
      </c>
      <c r="D274" s="44" t="s">
        <v>2109</v>
      </c>
      <c r="E274" s="44" t="s">
        <v>2110</v>
      </c>
      <c r="F274" s="43" t="s">
        <v>2142</v>
      </c>
      <c r="G274" s="43" t="s">
        <v>2096</v>
      </c>
      <c r="H274" s="46" t="n">
        <v>364</v>
      </c>
      <c r="I274" s="46" t="n">
        <v>3999</v>
      </c>
      <c r="J274" s="46" t="n">
        <f aca="false">H274*I274</f>
        <v>1455636</v>
      </c>
      <c r="K274" s="46" t="n">
        <f aca="false">J274*0.65</f>
        <v>946163.4</v>
      </c>
      <c r="L274" s="46" t="n">
        <f aca="false">J274-K274</f>
        <v>509472.6</v>
      </c>
      <c r="M274" s="47" t="n">
        <f aca="false">IF(J274=0,0,L274/J274)</f>
        <v>0.35</v>
      </c>
      <c r="N274" s="47" t="n">
        <v>0</v>
      </c>
      <c r="O274" s="46" t="n">
        <f aca="false">J274*(1-N274)</f>
        <v>1455636</v>
      </c>
      <c r="P274" s="46" t="n">
        <v>16</v>
      </c>
      <c r="Q274" s="47" t="n">
        <f aca="false">IF(H274=0,0,P274/H274)</f>
        <v>0.043956043956044</v>
      </c>
      <c r="R274" s="44" t="s">
        <v>2683</v>
      </c>
      <c r="S274" s="43" t="s">
        <v>2118</v>
      </c>
      <c r="T274" s="43" t="s">
        <v>2124</v>
      </c>
    </row>
    <row r="275" customFormat="false" ht="15" hidden="false" customHeight="false" outlineLevel="0" collapsed="false">
      <c r="A275" s="34" t="s">
        <v>2684</v>
      </c>
      <c r="B275" s="34" t="s">
        <v>2148</v>
      </c>
      <c r="C275" s="42" t="n">
        <v>2023</v>
      </c>
      <c r="D275" s="35" t="s">
        <v>2093</v>
      </c>
      <c r="E275" s="35" t="s">
        <v>2094</v>
      </c>
      <c r="F275" s="34" t="s">
        <v>2194</v>
      </c>
      <c r="G275" s="34" t="s">
        <v>2129</v>
      </c>
      <c r="H275" s="37" t="n">
        <v>496</v>
      </c>
      <c r="I275" s="37" t="n">
        <v>299</v>
      </c>
      <c r="J275" s="37" t="n">
        <f aca="false">H275*I275</f>
        <v>148304</v>
      </c>
      <c r="K275" s="37" t="n">
        <f aca="false">J275*0.59</f>
        <v>87499.36</v>
      </c>
      <c r="L275" s="37" t="n">
        <f aca="false">J275-K275</f>
        <v>60804.64</v>
      </c>
      <c r="M275" s="38" t="n">
        <f aca="false">IF(J275=0,0,L275/J275)</f>
        <v>0.41</v>
      </c>
      <c r="N275" s="38" t="n">
        <v>0.09</v>
      </c>
      <c r="O275" s="37" t="n">
        <f aca="false">J275*(1-N275)</f>
        <v>134956.64</v>
      </c>
      <c r="P275" s="37" t="n">
        <v>8</v>
      </c>
      <c r="Q275" s="38" t="n">
        <f aca="false">IF(H275=0,0,P275/H275)</f>
        <v>0.0161290322580645</v>
      </c>
      <c r="R275" s="35" t="s">
        <v>2685</v>
      </c>
      <c r="S275" s="34" t="s">
        <v>2136</v>
      </c>
      <c r="T275" s="34" t="s">
        <v>2099</v>
      </c>
    </row>
    <row r="276" customFormat="false" ht="15" hidden="false" customHeight="false" outlineLevel="0" collapsed="false">
      <c r="A276" s="43" t="s">
        <v>2686</v>
      </c>
      <c r="B276" s="43" t="s">
        <v>2114</v>
      </c>
      <c r="C276" s="51" t="n">
        <v>2023</v>
      </c>
      <c r="D276" s="44" t="s">
        <v>2145</v>
      </c>
      <c r="E276" s="44" t="s">
        <v>2103</v>
      </c>
      <c r="F276" s="43" t="s">
        <v>2194</v>
      </c>
      <c r="G276" s="43" t="s">
        <v>2157</v>
      </c>
      <c r="H276" s="46" t="n">
        <v>68</v>
      </c>
      <c r="I276" s="46" t="n">
        <v>7999</v>
      </c>
      <c r="J276" s="46" t="n">
        <f aca="false">H276*I276</f>
        <v>543932</v>
      </c>
      <c r="K276" s="46" t="n">
        <f aca="false">J276*0.53</f>
        <v>288283.96</v>
      </c>
      <c r="L276" s="46" t="n">
        <f aca="false">J276-K276</f>
        <v>255648.04</v>
      </c>
      <c r="M276" s="47" t="n">
        <f aca="false">IF(J276=0,0,L276/J276)</f>
        <v>0.47</v>
      </c>
      <c r="N276" s="47" t="n">
        <v>0.08</v>
      </c>
      <c r="O276" s="46" t="n">
        <f aca="false">J276*(1-N276)</f>
        <v>500417.44</v>
      </c>
      <c r="P276" s="46" t="n">
        <v>1</v>
      </c>
      <c r="Q276" s="47" t="n">
        <f aca="false">IF(H276=0,0,P276/H276)</f>
        <v>0.0147058823529412</v>
      </c>
      <c r="R276" s="44" t="s">
        <v>2687</v>
      </c>
      <c r="S276" s="43" t="s">
        <v>2118</v>
      </c>
      <c r="T276" s="43" t="s">
        <v>2099</v>
      </c>
    </row>
    <row r="277" customFormat="false" ht="15" hidden="false" customHeight="false" outlineLevel="0" collapsed="false">
      <c r="A277" s="34" t="s">
        <v>2688</v>
      </c>
      <c r="B277" s="34" t="s">
        <v>2092</v>
      </c>
      <c r="C277" s="42" t="n">
        <v>2023</v>
      </c>
      <c r="D277" s="35" t="s">
        <v>2180</v>
      </c>
      <c r="E277" s="35" t="s">
        <v>2181</v>
      </c>
      <c r="F277" s="34" t="s">
        <v>2095</v>
      </c>
      <c r="G277" s="34" t="s">
        <v>2157</v>
      </c>
      <c r="H277" s="37" t="n">
        <v>447</v>
      </c>
      <c r="I277" s="37" t="n">
        <v>799</v>
      </c>
      <c r="J277" s="37" t="n">
        <f aca="false">H277*I277</f>
        <v>357153</v>
      </c>
      <c r="K277" s="37" t="n">
        <f aca="false">J277*0.52</f>
        <v>185719.56</v>
      </c>
      <c r="L277" s="37" t="n">
        <f aca="false">J277-K277</f>
        <v>171433.44</v>
      </c>
      <c r="M277" s="38" t="n">
        <f aca="false">IF(J277=0,0,L277/J277)</f>
        <v>0.48</v>
      </c>
      <c r="N277" s="38" t="n">
        <v>0.05</v>
      </c>
      <c r="O277" s="37" t="n">
        <f aca="false">J277*(1-N277)</f>
        <v>339295.35</v>
      </c>
      <c r="P277" s="37" t="n">
        <v>13</v>
      </c>
      <c r="Q277" s="38" t="n">
        <f aca="false">IF(H277=0,0,P277/H277)</f>
        <v>0.029082774049217</v>
      </c>
      <c r="R277" s="35" t="s">
        <v>2689</v>
      </c>
      <c r="S277" s="34" t="s">
        <v>2098</v>
      </c>
      <c r="T277" s="34" t="s">
        <v>2099</v>
      </c>
    </row>
    <row r="278" customFormat="false" ht="15" hidden="false" customHeight="false" outlineLevel="0" collapsed="false">
      <c r="A278" s="43" t="s">
        <v>2690</v>
      </c>
      <c r="B278" s="43" t="s">
        <v>2148</v>
      </c>
      <c r="C278" s="51" t="n">
        <v>2024</v>
      </c>
      <c r="D278" s="44" t="s">
        <v>2133</v>
      </c>
      <c r="E278" s="44" t="s">
        <v>2103</v>
      </c>
      <c r="F278" s="43" t="s">
        <v>2104</v>
      </c>
      <c r="G278" s="43" t="s">
        <v>2105</v>
      </c>
      <c r="H278" s="46" t="n">
        <v>265</v>
      </c>
      <c r="I278" s="46" t="n">
        <v>8999</v>
      </c>
      <c r="J278" s="46" t="n">
        <f aca="false">H278*I278</f>
        <v>2384735</v>
      </c>
      <c r="K278" s="46" t="n">
        <f aca="false">J278*0.56</f>
        <v>1335451.6</v>
      </c>
      <c r="L278" s="46" t="n">
        <f aca="false">J278-K278</f>
        <v>1049283.4</v>
      </c>
      <c r="M278" s="47" t="n">
        <f aca="false">IF(J278=0,0,L278/J278)</f>
        <v>0.44</v>
      </c>
      <c r="N278" s="47" t="n">
        <v>0.02</v>
      </c>
      <c r="O278" s="46" t="n">
        <f aca="false">J278*(1-N278)</f>
        <v>2337040.3</v>
      </c>
      <c r="P278" s="46" t="n">
        <v>11</v>
      </c>
      <c r="Q278" s="47" t="n">
        <f aca="false">IF(H278=0,0,P278/H278)</f>
        <v>0.0415094339622642</v>
      </c>
      <c r="R278" s="44" t="s">
        <v>2691</v>
      </c>
      <c r="S278" s="43" t="s">
        <v>2136</v>
      </c>
      <c r="T278" s="43" t="s">
        <v>2124</v>
      </c>
    </row>
    <row r="279" customFormat="false" ht="15" hidden="false" customHeight="false" outlineLevel="0" collapsed="false">
      <c r="A279" s="34" t="s">
        <v>2692</v>
      </c>
      <c r="B279" s="34" t="s">
        <v>2120</v>
      </c>
      <c r="C279" s="42" t="n">
        <v>2024</v>
      </c>
      <c r="D279" s="35" t="s">
        <v>2133</v>
      </c>
      <c r="E279" s="35" t="s">
        <v>2103</v>
      </c>
      <c r="F279" s="34" t="s">
        <v>2142</v>
      </c>
      <c r="G279" s="34" t="s">
        <v>2157</v>
      </c>
      <c r="H279" s="37" t="n">
        <v>28</v>
      </c>
      <c r="I279" s="37" t="n">
        <v>2499</v>
      </c>
      <c r="J279" s="37" t="n">
        <f aca="false">H279*I279</f>
        <v>69972</v>
      </c>
      <c r="K279" s="37" t="n">
        <f aca="false">J279*0.49</f>
        <v>34286.28</v>
      </c>
      <c r="L279" s="37" t="n">
        <f aca="false">J279-K279</f>
        <v>35685.72</v>
      </c>
      <c r="M279" s="38" t="n">
        <f aca="false">IF(J279=0,0,L279/J279)</f>
        <v>0.51</v>
      </c>
      <c r="N279" s="38" t="n">
        <v>0.03</v>
      </c>
      <c r="O279" s="37" t="n">
        <f aca="false">J279*(1-N279)</f>
        <v>67872.84</v>
      </c>
      <c r="P279" s="37" t="n">
        <v>0</v>
      </c>
      <c r="Q279" s="38" t="n">
        <f aca="false">IF(H279=0,0,P279/H279)</f>
        <v>0</v>
      </c>
      <c r="R279" s="35" t="s">
        <v>2693</v>
      </c>
      <c r="S279" s="34" t="s">
        <v>2098</v>
      </c>
      <c r="T279" s="34" t="s">
        <v>2124</v>
      </c>
    </row>
    <row r="280" customFormat="false" ht="15" hidden="false" customHeight="false" outlineLevel="0" collapsed="false">
      <c r="A280" s="43" t="s">
        <v>2694</v>
      </c>
      <c r="B280" s="43" t="s">
        <v>2148</v>
      </c>
      <c r="C280" s="51" t="n">
        <v>2022</v>
      </c>
      <c r="D280" s="44" t="s">
        <v>2174</v>
      </c>
      <c r="E280" s="44" t="s">
        <v>2103</v>
      </c>
      <c r="F280" s="43" t="s">
        <v>2111</v>
      </c>
      <c r="G280" s="43" t="s">
        <v>2157</v>
      </c>
      <c r="H280" s="46" t="n">
        <v>60</v>
      </c>
      <c r="I280" s="46" t="n">
        <v>299</v>
      </c>
      <c r="J280" s="46" t="n">
        <f aca="false">H280*I280</f>
        <v>17940</v>
      </c>
      <c r="K280" s="46" t="n">
        <f aca="false">J280*0.68</f>
        <v>12199.2</v>
      </c>
      <c r="L280" s="46" t="n">
        <f aca="false">J280-K280</f>
        <v>5740.8</v>
      </c>
      <c r="M280" s="47" t="n">
        <f aca="false">IF(J280=0,0,L280/J280)</f>
        <v>0.32</v>
      </c>
      <c r="N280" s="47" t="n">
        <v>0.01</v>
      </c>
      <c r="O280" s="46" t="n">
        <f aca="false">J280*(1-N280)</f>
        <v>17760.6</v>
      </c>
      <c r="P280" s="46" t="n">
        <v>2</v>
      </c>
      <c r="Q280" s="47" t="n">
        <f aca="false">IF(H280=0,0,P280/H280)</f>
        <v>0.0333333333333333</v>
      </c>
      <c r="R280" s="44" t="s">
        <v>2695</v>
      </c>
      <c r="S280" s="43" t="s">
        <v>2136</v>
      </c>
      <c r="T280" s="43" t="s">
        <v>2124</v>
      </c>
    </row>
    <row r="281" customFormat="false" ht="15" hidden="false" customHeight="false" outlineLevel="0" collapsed="false">
      <c r="A281" s="34" t="s">
        <v>2696</v>
      </c>
      <c r="B281" s="34" t="s">
        <v>2156</v>
      </c>
      <c r="C281" s="42" t="n">
        <v>2023</v>
      </c>
      <c r="D281" s="35" t="s">
        <v>2149</v>
      </c>
      <c r="E281" s="35" t="s">
        <v>2128</v>
      </c>
      <c r="F281" s="34" t="s">
        <v>2104</v>
      </c>
      <c r="G281" s="34" t="s">
        <v>2129</v>
      </c>
      <c r="H281" s="37" t="n">
        <v>64</v>
      </c>
      <c r="I281" s="37" t="n">
        <v>8999</v>
      </c>
      <c r="J281" s="37" t="n">
        <f aca="false">H281*I281</f>
        <v>575936</v>
      </c>
      <c r="K281" s="37" t="n">
        <f aca="false">J281*0.47</f>
        <v>270689.92</v>
      </c>
      <c r="L281" s="37" t="n">
        <f aca="false">J281-K281</f>
        <v>305246.08</v>
      </c>
      <c r="M281" s="38" t="n">
        <f aca="false">IF(J281=0,0,L281/J281)</f>
        <v>0.53</v>
      </c>
      <c r="N281" s="38" t="n">
        <v>0.13</v>
      </c>
      <c r="O281" s="37" t="n">
        <f aca="false">J281*(1-N281)</f>
        <v>501064.32</v>
      </c>
      <c r="P281" s="37" t="n">
        <v>1</v>
      </c>
      <c r="Q281" s="38" t="n">
        <f aca="false">IF(H281=0,0,P281/H281)</f>
        <v>0.015625</v>
      </c>
      <c r="R281" s="35" t="s">
        <v>2697</v>
      </c>
      <c r="S281" s="34" t="s">
        <v>2118</v>
      </c>
      <c r="T281" s="34" t="s">
        <v>2099</v>
      </c>
    </row>
    <row r="282" customFormat="false" ht="15" hidden="false" customHeight="false" outlineLevel="0" collapsed="false">
      <c r="A282" s="43" t="s">
        <v>2698</v>
      </c>
      <c r="B282" s="43" t="s">
        <v>2126</v>
      </c>
      <c r="C282" s="51" t="n">
        <v>2024</v>
      </c>
      <c r="D282" s="44" t="s">
        <v>2133</v>
      </c>
      <c r="E282" s="44" t="s">
        <v>2103</v>
      </c>
      <c r="F282" s="43" t="s">
        <v>2194</v>
      </c>
      <c r="G282" s="43" t="s">
        <v>2096</v>
      </c>
      <c r="H282" s="46" t="n">
        <v>457</v>
      </c>
      <c r="I282" s="46" t="n">
        <v>24999</v>
      </c>
      <c r="J282" s="46" t="n">
        <f aca="false">H282*I282</f>
        <v>11424543</v>
      </c>
      <c r="K282" s="46" t="n">
        <f aca="false">J282*0.6</f>
        <v>6854725.8</v>
      </c>
      <c r="L282" s="46" t="n">
        <f aca="false">J282-K282</f>
        <v>4569817.2</v>
      </c>
      <c r="M282" s="47" t="n">
        <f aca="false">IF(J282=0,0,L282/J282)</f>
        <v>0.4</v>
      </c>
      <c r="N282" s="47" t="n">
        <v>0.09</v>
      </c>
      <c r="O282" s="46" t="n">
        <f aca="false">J282*(1-N282)</f>
        <v>10396334.13</v>
      </c>
      <c r="P282" s="46" t="n">
        <v>0</v>
      </c>
      <c r="Q282" s="47" t="n">
        <f aca="false">IF(H282=0,0,P282/H282)</f>
        <v>0</v>
      </c>
      <c r="R282" s="44" t="s">
        <v>2699</v>
      </c>
      <c r="S282" s="43" t="s">
        <v>2107</v>
      </c>
      <c r="T282" s="43" t="s">
        <v>2099</v>
      </c>
    </row>
    <row r="283" customFormat="false" ht="15" hidden="false" customHeight="false" outlineLevel="0" collapsed="false">
      <c r="A283" s="34" t="s">
        <v>2700</v>
      </c>
      <c r="B283" s="34" t="s">
        <v>2213</v>
      </c>
      <c r="C283" s="42" t="n">
        <v>2022</v>
      </c>
      <c r="D283" s="35" t="s">
        <v>2138</v>
      </c>
      <c r="E283" s="35" t="s">
        <v>2128</v>
      </c>
      <c r="F283" s="34" t="s">
        <v>2104</v>
      </c>
      <c r="G283" s="34" t="s">
        <v>2157</v>
      </c>
      <c r="H283" s="37" t="n">
        <v>347</v>
      </c>
      <c r="I283" s="37" t="n">
        <v>7999</v>
      </c>
      <c r="J283" s="37" t="n">
        <f aca="false">H283*I283</f>
        <v>2775653</v>
      </c>
      <c r="K283" s="37" t="n">
        <f aca="false">J283*0.67</f>
        <v>1859687.51</v>
      </c>
      <c r="L283" s="37" t="n">
        <f aca="false">J283-K283</f>
        <v>915965.49</v>
      </c>
      <c r="M283" s="38" t="n">
        <f aca="false">IF(J283=0,0,L283/J283)</f>
        <v>0.33</v>
      </c>
      <c r="N283" s="38" t="n">
        <v>0</v>
      </c>
      <c r="O283" s="37" t="n">
        <f aca="false">J283*(1-N283)</f>
        <v>2775653</v>
      </c>
      <c r="P283" s="37" t="n">
        <v>3</v>
      </c>
      <c r="Q283" s="38" t="n">
        <f aca="false">IF(H283=0,0,P283/H283)</f>
        <v>0.00864553314121038</v>
      </c>
      <c r="R283" s="35" t="s">
        <v>2701</v>
      </c>
      <c r="S283" s="34" t="s">
        <v>2118</v>
      </c>
      <c r="T283" s="34" t="s">
        <v>2124</v>
      </c>
    </row>
    <row r="284" customFormat="false" ht="15" hidden="false" customHeight="false" outlineLevel="0" collapsed="false">
      <c r="A284" s="43" t="s">
        <v>2702</v>
      </c>
      <c r="B284" s="43" t="s">
        <v>2141</v>
      </c>
      <c r="C284" s="51" t="n">
        <v>2024</v>
      </c>
      <c r="D284" s="44" t="s">
        <v>2145</v>
      </c>
      <c r="E284" s="44" t="s">
        <v>2103</v>
      </c>
      <c r="F284" s="43" t="s">
        <v>2116</v>
      </c>
      <c r="G284" s="43" t="s">
        <v>2105</v>
      </c>
      <c r="H284" s="46" t="n">
        <v>79</v>
      </c>
      <c r="I284" s="46" t="n">
        <v>4999</v>
      </c>
      <c r="J284" s="46" t="n">
        <f aca="false">H284*I284</f>
        <v>394921</v>
      </c>
      <c r="K284" s="46" t="n">
        <f aca="false">J284*0.47</f>
        <v>185612.87</v>
      </c>
      <c r="L284" s="46" t="n">
        <f aca="false">J284-K284</f>
        <v>209308.13</v>
      </c>
      <c r="M284" s="47" t="n">
        <f aca="false">IF(J284=0,0,L284/J284)</f>
        <v>0.53</v>
      </c>
      <c r="N284" s="47" t="n">
        <v>0.12</v>
      </c>
      <c r="O284" s="46" t="n">
        <f aca="false">J284*(1-N284)</f>
        <v>347530.48</v>
      </c>
      <c r="P284" s="46" t="n">
        <v>3</v>
      </c>
      <c r="Q284" s="47" t="n">
        <f aca="false">IF(H284=0,0,P284/H284)</f>
        <v>0.0379746835443038</v>
      </c>
      <c r="R284" s="44" t="s">
        <v>2703</v>
      </c>
      <c r="S284" s="43" t="s">
        <v>2136</v>
      </c>
      <c r="T284" s="43" t="s">
        <v>2124</v>
      </c>
    </row>
    <row r="285" customFormat="false" ht="15" hidden="false" customHeight="false" outlineLevel="0" collapsed="false">
      <c r="A285" s="34" t="s">
        <v>2704</v>
      </c>
      <c r="B285" s="34" t="s">
        <v>2101</v>
      </c>
      <c r="C285" s="42" t="n">
        <v>2023</v>
      </c>
      <c r="D285" s="35" t="s">
        <v>2109</v>
      </c>
      <c r="E285" s="35" t="s">
        <v>2110</v>
      </c>
      <c r="F285" s="34" t="s">
        <v>2142</v>
      </c>
      <c r="G285" s="34" t="s">
        <v>2134</v>
      </c>
      <c r="H285" s="37" t="n">
        <v>169</v>
      </c>
      <c r="I285" s="37" t="n">
        <v>4999</v>
      </c>
      <c r="J285" s="37" t="n">
        <f aca="false">H285*I285</f>
        <v>844831</v>
      </c>
      <c r="K285" s="37" t="n">
        <f aca="false">J285*0.61</f>
        <v>515346.91</v>
      </c>
      <c r="L285" s="37" t="n">
        <f aca="false">J285-K285</f>
        <v>329484.09</v>
      </c>
      <c r="M285" s="38" t="n">
        <f aca="false">IF(J285=0,0,L285/J285)</f>
        <v>0.39</v>
      </c>
      <c r="N285" s="38" t="n">
        <v>0.14</v>
      </c>
      <c r="O285" s="37" t="n">
        <f aca="false">J285*(1-N285)</f>
        <v>726554.66</v>
      </c>
      <c r="P285" s="37" t="n">
        <v>5</v>
      </c>
      <c r="Q285" s="38" t="n">
        <f aca="false">IF(H285=0,0,P285/H285)</f>
        <v>0.029585798816568</v>
      </c>
      <c r="R285" s="35" t="s">
        <v>2705</v>
      </c>
      <c r="S285" s="34" t="s">
        <v>2107</v>
      </c>
      <c r="T285" s="34" t="s">
        <v>2099</v>
      </c>
    </row>
    <row r="286" customFormat="false" ht="15" hidden="false" customHeight="false" outlineLevel="0" collapsed="false">
      <c r="A286" s="43" t="s">
        <v>2706</v>
      </c>
      <c r="B286" s="43" t="s">
        <v>2132</v>
      </c>
      <c r="C286" s="51" t="n">
        <v>2022</v>
      </c>
      <c r="D286" s="44" t="s">
        <v>2214</v>
      </c>
      <c r="E286" s="44" t="s">
        <v>2103</v>
      </c>
      <c r="F286" s="43" t="s">
        <v>2142</v>
      </c>
      <c r="G286" s="43" t="s">
        <v>2105</v>
      </c>
      <c r="H286" s="46" t="n">
        <v>166</v>
      </c>
      <c r="I286" s="46" t="n">
        <v>2999</v>
      </c>
      <c r="J286" s="46" t="n">
        <f aca="false">H286*I286</f>
        <v>497834</v>
      </c>
      <c r="K286" s="46" t="n">
        <f aca="false">J286*0.46</f>
        <v>229003.64</v>
      </c>
      <c r="L286" s="46" t="n">
        <f aca="false">J286-K286</f>
        <v>268830.36</v>
      </c>
      <c r="M286" s="47" t="n">
        <f aca="false">IF(J286=0,0,L286/J286)</f>
        <v>0.54</v>
      </c>
      <c r="N286" s="47" t="n">
        <v>0.01</v>
      </c>
      <c r="O286" s="46" t="n">
        <f aca="false">J286*(1-N286)</f>
        <v>492855.66</v>
      </c>
      <c r="P286" s="46" t="n">
        <v>6</v>
      </c>
      <c r="Q286" s="47" t="n">
        <f aca="false">IF(H286=0,0,P286/H286)</f>
        <v>0.036144578313253</v>
      </c>
      <c r="R286" s="44" t="s">
        <v>2707</v>
      </c>
      <c r="S286" s="43" t="s">
        <v>2136</v>
      </c>
      <c r="T286" s="43" t="s">
        <v>2099</v>
      </c>
    </row>
    <row r="287" customFormat="false" ht="15" hidden="false" customHeight="false" outlineLevel="0" collapsed="false">
      <c r="A287" s="34" t="s">
        <v>2708</v>
      </c>
      <c r="B287" s="34" t="s">
        <v>2213</v>
      </c>
      <c r="C287" s="42" t="n">
        <v>2023</v>
      </c>
      <c r="D287" s="35" t="s">
        <v>2115</v>
      </c>
      <c r="E287" s="35" t="s">
        <v>2103</v>
      </c>
      <c r="F287" s="34" t="s">
        <v>2095</v>
      </c>
      <c r="G287" s="34" t="s">
        <v>2157</v>
      </c>
      <c r="H287" s="37" t="n">
        <v>46</v>
      </c>
      <c r="I287" s="37" t="n">
        <v>4999</v>
      </c>
      <c r="J287" s="37" t="n">
        <f aca="false">H287*I287</f>
        <v>229954</v>
      </c>
      <c r="K287" s="37" t="n">
        <f aca="false">J287*0.66</f>
        <v>151769.64</v>
      </c>
      <c r="L287" s="37" t="n">
        <f aca="false">J287-K287</f>
        <v>78184.36</v>
      </c>
      <c r="M287" s="38" t="n">
        <f aca="false">IF(J287=0,0,L287/J287)</f>
        <v>0.34</v>
      </c>
      <c r="N287" s="38" t="n">
        <v>0.02</v>
      </c>
      <c r="O287" s="37" t="n">
        <f aca="false">J287*(1-N287)</f>
        <v>225354.92</v>
      </c>
      <c r="P287" s="37" t="n">
        <v>1</v>
      </c>
      <c r="Q287" s="38" t="n">
        <f aca="false">IF(H287=0,0,P287/H287)</f>
        <v>0.0217391304347826</v>
      </c>
      <c r="R287" s="35" t="s">
        <v>2709</v>
      </c>
      <c r="S287" s="34" t="s">
        <v>2118</v>
      </c>
      <c r="T287" s="34" t="s">
        <v>2099</v>
      </c>
    </row>
    <row r="288" customFormat="false" ht="15" hidden="false" customHeight="false" outlineLevel="0" collapsed="false">
      <c r="A288" s="43" t="s">
        <v>2710</v>
      </c>
      <c r="B288" s="43" t="s">
        <v>2101</v>
      </c>
      <c r="C288" s="51" t="n">
        <v>2024</v>
      </c>
      <c r="D288" s="44" t="s">
        <v>2115</v>
      </c>
      <c r="E288" s="44" t="s">
        <v>2103</v>
      </c>
      <c r="F288" s="43" t="s">
        <v>2116</v>
      </c>
      <c r="G288" s="43" t="s">
        <v>2105</v>
      </c>
      <c r="H288" s="46" t="n">
        <v>252</v>
      </c>
      <c r="I288" s="46" t="n">
        <v>2999</v>
      </c>
      <c r="J288" s="46" t="n">
        <f aca="false">H288*I288</f>
        <v>755748</v>
      </c>
      <c r="K288" s="46" t="n">
        <f aca="false">J288*0.56</f>
        <v>423218.88</v>
      </c>
      <c r="L288" s="46" t="n">
        <f aca="false">J288-K288</f>
        <v>332529.12</v>
      </c>
      <c r="M288" s="47" t="n">
        <f aca="false">IF(J288=0,0,L288/J288)</f>
        <v>0.44</v>
      </c>
      <c r="N288" s="47" t="n">
        <v>0.12</v>
      </c>
      <c r="O288" s="46" t="n">
        <f aca="false">J288*(1-N288)</f>
        <v>665058.24</v>
      </c>
      <c r="P288" s="46" t="n">
        <v>4</v>
      </c>
      <c r="Q288" s="47" t="n">
        <f aca="false">IF(H288=0,0,P288/H288)</f>
        <v>0.0158730158730159</v>
      </c>
      <c r="R288" s="44" t="s">
        <v>2711</v>
      </c>
      <c r="S288" s="43" t="s">
        <v>2107</v>
      </c>
      <c r="T288" s="43" t="s">
        <v>2099</v>
      </c>
    </row>
    <row r="289" customFormat="false" ht="15" hidden="false" customHeight="false" outlineLevel="0" collapsed="false">
      <c r="A289" s="34" t="s">
        <v>2712</v>
      </c>
      <c r="B289" s="34" t="s">
        <v>2141</v>
      </c>
      <c r="C289" s="42" t="n">
        <v>2024</v>
      </c>
      <c r="D289" s="35" t="s">
        <v>2149</v>
      </c>
      <c r="E289" s="35" t="s">
        <v>2128</v>
      </c>
      <c r="F289" s="34" t="s">
        <v>2104</v>
      </c>
      <c r="G289" s="34" t="s">
        <v>2105</v>
      </c>
      <c r="H289" s="37" t="n">
        <v>263</v>
      </c>
      <c r="I289" s="37" t="n">
        <v>2499</v>
      </c>
      <c r="J289" s="37" t="n">
        <f aca="false">H289*I289</f>
        <v>657237</v>
      </c>
      <c r="K289" s="37" t="n">
        <f aca="false">J289*0.57</f>
        <v>374625.09</v>
      </c>
      <c r="L289" s="37" t="n">
        <f aca="false">J289-K289</f>
        <v>282611.91</v>
      </c>
      <c r="M289" s="38" t="n">
        <f aca="false">IF(J289=0,0,L289/J289)</f>
        <v>0.43</v>
      </c>
      <c r="N289" s="38" t="n">
        <v>0.13</v>
      </c>
      <c r="O289" s="37" t="n">
        <f aca="false">J289*(1-N289)</f>
        <v>571796.19</v>
      </c>
      <c r="P289" s="37" t="n">
        <v>7</v>
      </c>
      <c r="Q289" s="38" t="n">
        <f aca="false">IF(H289=0,0,P289/H289)</f>
        <v>0.026615969581749</v>
      </c>
      <c r="R289" s="35" t="s">
        <v>2713</v>
      </c>
      <c r="S289" s="34" t="s">
        <v>2136</v>
      </c>
      <c r="T289" s="34" t="s">
        <v>2099</v>
      </c>
    </row>
    <row r="290" customFormat="false" ht="15" hidden="false" customHeight="false" outlineLevel="0" collapsed="false">
      <c r="A290" s="43" t="s">
        <v>2714</v>
      </c>
      <c r="B290" s="43" t="s">
        <v>2162</v>
      </c>
      <c r="C290" s="51" t="n">
        <v>2024</v>
      </c>
      <c r="D290" s="44" t="s">
        <v>2207</v>
      </c>
      <c r="E290" s="44" t="s">
        <v>2208</v>
      </c>
      <c r="F290" s="43" t="s">
        <v>2116</v>
      </c>
      <c r="G290" s="43" t="s">
        <v>2157</v>
      </c>
      <c r="H290" s="46" t="n">
        <v>416</v>
      </c>
      <c r="I290" s="46" t="n">
        <v>8999</v>
      </c>
      <c r="J290" s="46" t="n">
        <f aca="false">H290*I290</f>
        <v>3743584</v>
      </c>
      <c r="K290" s="46" t="n">
        <f aca="false">J290*0.6</f>
        <v>2246150.4</v>
      </c>
      <c r="L290" s="46" t="n">
        <f aca="false">J290-K290</f>
        <v>1497433.6</v>
      </c>
      <c r="M290" s="47" t="n">
        <f aca="false">IF(J290=0,0,L290/J290)</f>
        <v>0.4</v>
      </c>
      <c r="N290" s="47" t="n">
        <v>0.07</v>
      </c>
      <c r="O290" s="46" t="n">
        <f aca="false">J290*(1-N290)</f>
        <v>3481533.12</v>
      </c>
      <c r="P290" s="46" t="n">
        <v>13</v>
      </c>
      <c r="Q290" s="47" t="n">
        <f aca="false">IF(H290=0,0,P290/H290)</f>
        <v>0.03125</v>
      </c>
      <c r="R290" s="44" t="s">
        <v>2715</v>
      </c>
      <c r="S290" s="43" t="s">
        <v>2107</v>
      </c>
      <c r="T290" s="43" t="s">
        <v>2099</v>
      </c>
    </row>
    <row r="291" customFormat="false" ht="15" hidden="false" customHeight="false" outlineLevel="0" collapsed="false">
      <c r="A291" s="34" t="s">
        <v>2716</v>
      </c>
      <c r="B291" s="34" t="s">
        <v>2165</v>
      </c>
      <c r="C291" s="42" t="n">
        <v>2024</v>
      </c>
      <c r="D291" s="35" t="s">
        <v>2127</v>
      </c>
      <c r="E291" s="35" t="s">
        <v>2128</v>
      </c>
      <c r="F291" s="34" t="s">
        <v>2111</v>
      </c>
      <c r="G291" s="34" t="s">
        <v>2129</v>
      </c>
      <c r="H291" s="37" t="n">
        <v>332</v>
      </c>
      <c r="I291" s="37" t="n">
        <v>24999</v>
      </c>
      <c r="J291" s="37" t="n">
        <f aca="false">H291*I291</f>
        <v>8299668</v>
      </c>
      <c r="K291" s="37" t="n">
        <f aca="false">J291*0.63</f>
        <v>5228790.84</v>
      </c>
      <c r="L291" s="37" t="n">
        <f aca="false">J291-K291</f>
        <v>3070877.16</v>
      </c>
      <c r="M291" s="38" t="n">
        <f aca="false">IF(J291=0,0,L291/J291)</f>
        <v>0.37</v>
      </c>
      <c r="N291" s="38" t="n">
        <v>0.14</v>
      </c>
      <c r="O291" s="37" t="n">
        <f aca="false">J291*(1-N291)</f>
        <v>7137714.48</v>
      </c>
      <c r="P291" s="37" t="n">
        <v>16</v>
      </c>
      <c r="Q291" s="38" t="n">
        <f aca="false">IF(H291=0,0,P291/H291)</f>
        <v>0.0481927710843374</v>
      </c>
      <c r="R291" s="35" t="s">
        <v>2717</v>
      </c>
      <c r="S291" s="34" t="s">
        <v>2098</v>
      </c>
      <c r="T291" s="34" t="s">
        <v>2099</v>
      </c>
    </row>
    <row r="292" customFormat="false" ht="15" hidden="false" customHeight="false" outlineLevel="0" collapsed="false">
      <c r="A292" s="43" t="s">
        <v>2718</v>
      </c>
      <c r="B292" s="43" t="s">
        <v>2148</v>
      </c>
      <c r="C292" s="51" t="n">
        <v>2023</v>
      </c>
      <c r="D292" s="44" t="s">
        <v>2207</v>
      </c>
      <c r="E292" s="44" t="s">
        <v>2208</v>
      </c>
      <c r="F292" s="43" t="s">
        <v>2116</v>
      </c>
      <c r="G292" s="43" t="s">
        <v>2157</v>
      </c>
      <c r="H292" s="46" t="n">
        <v>154</v>
      </c>
      <c r="I292" s="46" t="n">
        <v>12999</v>
      </c>
      <c r="J292" s="46" t="n">
        <f aca="false">H292*I292</f>
        <v>2001846</v>
      </c>
      <c r="K292" s="46" t="n">
        <f aca="false">J292*0.7</f>
        <v>1401292.2</v>
      </c>
      <c r="L292" s="46" t="n">
        <f aca="false">J292-K292</f>
        <v>600553.8</v>
      </c>
      <c r="M292" s="47" t="n">
        <f aca="false">IF(J292=0,0,L292/J292)</f>
        <v>0.3</v>
      </c>
      <c r="N292" s="47" t="n">
        <v>0.1</v>
      </c>
      <c r="O292" s="46" t="n">
        <f aca="false">J292*(1-N292)</f>
        <v>1801661.4</v>
      </c>
      <c r="P292" s="46" t="n">
        <v>4</v>
      </c>
      <c r="Q292" s="47" t="n">
        <f aca="false">IF(H292=0,0,P292/H292)</f>
        <v>0.025974025974026</v>
      </c>
      <c r="R292" s="44" t="s">
        <v>2719</v>
      </c>
      <c r="S292" s="43" t="s">
        <v>2136</v>
      </c>
      <c r="T292" s="43" t="s">
        <v>2099</v>
      </c>
    </row>
    <row r="293" customFormat="false" ht="15" hidden="false" customHeight="false" outlineLevel="0" collapsed="false">
      <c r="A293" s="34" t="s">
        <v>2720</v>
      </c>
      <c r="B293" s="34" t="s">
        <v>2114</v>
      </c>
      <c r="C293" s="42" t="n">
        <v>2023</v>
      </c>
      <c r="D293" s="35" t="s">
        <v>2243</v>
      </c>
      <c r="E293" s="35" t="s">
        <v>2244</v>
      </c>
      <c r="F293" s="34" t="s">
        <v>2175</v>
      </c>
      <c r="G293" s="34" t="s">
        <v>2134</v>
      </c>
      <c r="H293" s="37" t="n">
        <v>283</v>
      </c>
      <c r="I293" s="37" t="n">
        <v>7999</v>
      </c>
      <c r="J293" s="37" t="n">
        <f aca="false">H293*I293</f>
        <v>2263717</v>
      </c>
      <c r="K293" s="37" t="n">
        <f aca="false">J293*0.68</f>
        <v>1539327.56</v>
      </c>
      <c r="L293" s="37" t="n">
        <f aca="false">J293-K293</f>
        <v>724389.44</v>
      </c>
      <c r="M293" s="38" t="n">
        <f aca="false">IF(J293=0,0,L293/J293)</f>
        <v>0.32</v>
      </c>
      <c r="N293" s="38" t="n">
        <v>0.08</v>
      </c>
      <c r="O293" s="37" t="n">
        <f aca="false">J293*(1-N293)</f>
        <v>2082619.64</v>
      </c>
      <c r="P293" s="37" t="n">
        <v>8</v>
      </c>
      <c r="Q293" s="38" t="n">
        <f aca="false">IF(H293=0,0,P293/H293)</f>
        <v>0.0282685512367491</v>
      </c>
      <c r="R293" s="35" t="s">
        <v>2721</v>
      </c>
      <c r="S293" s="34" t="s">
        <v>2118</v>
      </c>
      <c r="T293" s="34" t="s">
        <v>2124</v>
      </c>
    </row>
    <row r="294" customFormat="false" ht="15" hidden="false" customHeight="false" outlineLevel="0" collapsed="false">
      <c r="A294" s="43" t="s">
        <v>2722</v>
      </c>
      <c r="B294" s="43" t="s">
        <v>2213</v>
      </c>
      <c r="C294" s="51" t="n">
        <v>2022</v>
      </c>
      <c r="D294" s="44" t="s">
        <v>2121</v>
      </c>
      <c r="E294" s="44" t="s">
        <v>2122</v>
      </c>
      <c r="F294" s="43" t="s">
        <v>2142</v>
      </c>
      <c r="G294" s="43" t="s">
        <v>2096</v>
      </c>
      <c r="H294" s="46" t="n">
        <v>417</v>
      </c>
      <c r="I294" s="46" t="n">
        <v>35999</v>
      </c>
      <c r="J294" s="46" t="n">
        <f aca="false">H294*I294</f>
        <v>15011583</v>
      </c>
      <c r="K294" s="46" t="n">
        <f aca="false">J294*0.54</f>
        <v>8106254.82</v>
      </c>
      <c r="L294" s="46" t="n">
        <f aca="false">J294-K294</f>
        <v>6905328.18</v>
      </c>
      <c r="M294" s="47" t="n">
        <f aca="false">IF(J294=0,0,L294/J294)</f>
        <v>0.46</v>
      </c>
      <c r="N294" s="47" t="n">
        <v>0.09</v>
      </c>
      <c r="O294" s="46" t="n">
        <f aca="false">J294*(1-N294)</f>
        <v>13660540.53</v>
      </c>
      <c r="P294" s="46" t="n">
        <v>16</v>
      </c>
      <c r="Q294" s="47" t="n">
        <f aca="false">IF(H294=0,0,P294/H294)</f>
        <v>0.0383693045563549</v>
      </c>
      <c r="R294" s="44" t="s">
        <v>2723</v>
      </c>
      <c r="S294" s="43" t="s">
        <v>2118</v>
      </c>
      <c r="T294" s="43" t="s">
        <v>2099</v>
      </c>
    </row>
    <row r="295" customFormat="false" ht="15" hidden="false" customHeight="false" outlineLevel="0" collapsed="false">
      <c r="A295" s="34" t="s">
        <v>2724</v>
      </c>
      <c r="B295" s="34" t="s">
        <v>2092</v>
      </c>
      <c r="C295" s="42" t="n">
        <v>2024</v>
      </c>
      <c r="D295" s="35" t="s">
        <v>2093</v>
      </c>
      <c r="E295" s="35" t="s">
        <v>2094</v>
      </c>
      <c r="F295" s="34" t="s">
        <v>2111</v>
      </c>
      <c r="G295" s="34" t="s">
        <v>2129</v>
      </c>
      <c r="H295" s="37" t="n">
        <v>403</v>
      </c>
      <c r="I295" s="37" t="n">
        <v>12999</v>
      </c>
      <c r="J295" s="37" t="n">
        <f aca="false">H295*I295</f>
        <v>5238597</v>
      </c>
      <c r="K295" s="37" t="n">
        <f aca="false">J295*0.66</f>
        <v>3457474.02</v>
      </c>
      <c r="L295" s="37" t="n">
        <f aca="false">J295-K295</f>
        <v>1781122.98</v>
      </c>
      <c r="M295" s="38" t="n">
        <f aca="false">IF(J295=0,0,L295/J295)</f>
        <v>0.34</v>
      </c>
      <c r="N295" s="38" t="n">
        <v>0.01</v>
      </c>
      <c r="O295" s="37" t="n">
        <f aca="false">J295*(1-N295)</f>
        <v>5186211.03</v>
      </c>
      <c r="P295" s="37" t="n">
        <v>13</v>
      </c>
      <c r="Q295" s="38" t="n">
        <f aca="false">IF(H295=0,0,P295/H295)</f>
        <v>0.032258064516129</v>
      </c>
      <c r="R295" s="35" t="s">
        <v>2725</v>
      </c>
      <c r="S295" s="34" t="s">
        <v>2098</v>
      </c>
      <c r="T295" s="34" t="s">
        <v>2099</v>
      </c>
    </row>
    <row r="296" customFormat="false" ht="15" hidden="false" customHeight="false" outlineLevel="0" collapsed="false">
      <c r="A296" s="43" t="s">
        <v>2726</v>
      </c>
      <c r="B296" s="43" t="s">
        <v>2141</v>
      </c>
      <c r="C296" s="51" t="n">
        <v>2024</v>
      </c>
      <c r="D296" s="44" t="s">
        <v>2174</v>
      </c>
      <c r="E296" s="44" t="s">
        <v>2103</v>
      </c>
      <c r="F296" s="43" t="s">
        <v>2111</v>
      </c>
      <c r="G296" s="43" t="s">
        <v>2157</v>
      </c>
      <c r="H296" s="46" t="n">
        <v>320</v>
      </c>
      <c r="I296" s="46" t="n">
        <v>2999</v>
      </c>
      <c r="J296" s="46" t="n">
        <f aca="false">H296*I296</f>
        <v>959680</v>
      </c>
      <c r="K296" s="46" t="n">
        <f aca="false">J296*0.52</f>
        <v>499033.6</v>
      </c>
      <c r="L296" s="46" t="n">
        <f aca="false">J296-K296</f>
        <v>460646.4</v>
      </c>
      <c r="M296" s="47" t="n">
        <f aca="false">IF(J296=0,0,L296/J296)</f>
        <v>0.48</v>
      </c>
      <c r="N296" s="47" t="n">
        <v>0.15</v>
      </c>
      <c r="O296" s="46" t="n">
        <f aca="false">J296*(1-N296)</f>
        <v>815728</v>
      </c>
      <c r="P296" s="46" t="n">
        <v>5</v>
      </c>
      <c r="Q296" s="47" t="n">
        <f aca="false">IF(H296=0,0,P296/H296)</f>
        <v>0.015625</v>
      </c>
      <c r="R296" s="44" t="s">
        <v>2727</v>
      </c>
      <c r="S296" s="43" t="s">
        <v>2136</v>
      </c>
      <c r="T296" s="43" t="s">
        <v>2099</v>
      </c>
    </row>
    <row r="297" customFormat="false" ht="15" hidden="false" customHeight="false" outlineLevel="0" collapsed="false">
      <c r="A297" s="34" t="s">
        <v>2728</v>
      </c>
      <c r="B297" s="34" t="s">
        <v>2120</v>
      </c>
      <c r="C297" s="42" t="n">
        <v>2022</v>
      </c>
      <c r="D297" s="35" t="s">
        <v>2174</v>
      </c>
      <c r="E297" s="35" t="s">
        <v>2103</v>
      </c>
      <c r="F297" s="34" t="s">
        <v>2175</v>
      </c>
      <c r="G297" s="34" t="s">
        <v>2105</v>
      </c>
      <c r="H297" s="37" t="n">
        <v>447</v>
      </c>
      <c r="I297" s="37" t="n">
        <v>24999</v>
      </c>
      <c r="J297" s="37" t="n">
        <f aca="false">H297*I297</f>
        <v>11174553</v>
      </c>
      <c r="K297" s="37" t="n">
        <f aca="false">J297*0.48</f>
        <v>5363785.44</v>
      </c>
      <c r="L297" s="37" t="n">
        <f aca="false">J297-K297</f>
        <v>5810767.56</v>
      </c>
      <c r="M297" s="38" t="n">
        <f aca="false">IF(J297=0,0,L297/J297)</f>
        <v>0.52</v>
      </c>
      <c r="N297" s="38" t="n">
        <v>0.08</v>
      </c>
      <c r="O297" s="37" t="n">
        <f aca="false">J297*(1-N297)</f>
        <v>10280588.76</v>
      </c>
      <c r="P297" s="37" t="n">
        <v>0</v>
      </c>
      <c r="Q297" s="38" t="n">
        <f aca="false">IF(H297=0,0,P297/H297)</f>
        <v>0</v>
      </c>
      <c r="R297" s="35" t="s">
        <v>2729</v>
      </c>
      <c r="S297" s="34" t="s">
        <v>2098</v>
      </c>
      <c r="T297" s="34" t="s">
        <v>2124</v>
      </c>
    </row>
    <row r="298" customFormat="false" ht="15" hidden="false" customHeight="false" outlineLevel="0" collapsed="false">
      <c r="A298" s="43" t="s">
        <v>2730</v>
      </c>
      <c r="B298" s="43" t="s">
        <v>2092</v>
      </c>
      <c r="C298" s="51" t="n">
        <v>2022</v>
      </c>
      <c r="D298" s="44" t="s">
        <v>2115</v>
      </c>
      <c r="E298" s="44" t="s">
        <v>2103</v>
      </c>
      <c r="F298" s="43" t="s">
        <v>2142</v>
      </c>
      <c r="G298" s="43" t="s">
        <v>2157</v>
      </c>
      <c r="H298" s="46" t="n">
        <v>236</v>
      </c>
      <c r="I298" s="46" t="n">
        <v>3999</v>
      </c>
      <c r="J298" s="46" t="n">
        <f aca="false">H298*I298</f>
        <v>943764</v>
      </c>
      <c r="K298" s="46" t="n">
        <f aca="false">J298*0.55</f>
        <v>519070.2</v>
      </c>
      <c r="L298" s="46" t="n">
        <f aca="false">J298-K298</f>
        <v>424693.8</v>
      </c>
      <c r="M298" s="47" t="n">
        <f aca="false">IF(J298=0,0,L298/J298)</f>
        <v>0.45</v>
      </c>
      <c r="N298" s="47" t="n">
        <v>0.1</v>
      </c>
      <c r="O298" s="46" t="n">
        <f aca="false">J298*(1-N298)</f>
        <v>849387.6</v>
      </c>
      <c r="P298" s="46" t="n">
        <v>11</v>
      </c>
      <c r="Q298" s="47" t="n">
        <f aca="false">IF(H298=0,0,P298/H298)</f>
        <v>0.0466101694915254</v>
      </c>
      <c r="R298" s="44" t="s">
        <v>2731</v>
      </c>
      <c r="S298" s="43" t="s">
        <v>2098</v>
      </c>
      <c r="T298" s="43" t="s">
        <v>2124</v>
      </c>
    </row>
    <row r="299" customFormat="false" ht="15" hidden="false" customHeight="false" outlineLevel="0" collapsed="false">
      <c r="A299" s="34" t="s">
        <v>2732</v>
      </c>
      <c r="B299" s="34" t="s">
        <v>2148</v>
      </c>
      <c r="C299" s="42" t="n">
        <v>2024</v>
      </c>
      <c r="D299" s="35" t="s">
        <v>2133</v>
      </c>
      <c r="E299" s="35" t="s">
        <v>2103</v>
      </c>
      <c r="F299" s="34" t="s">
        <v>2175</v>
      </c>
      <c r="G299" s="34" t="s">
        <v>2105</v>
      </c>
      <c r="H299" s="37" t="n">
        <v>354</v>
      </c>
      <c r="I299" s="37" t="n">
        <v>24999</v>
      </c>
      <c r="J299" s="37" t="n">
        <f aca="false">H299*I299</f>
        <v>8849646</v>
      </c>
      <c r="K299" s="37" t="n">
        <f aca="false">J299*0.69</f>
        <v>6106255.74</v>
      </c>
      <c r="L299" s="37" t="n">
        <f aca="false">J299-K299</f>
        <v>2743390.26</v>
      </c>
      <c r="M299" s="38" t="n">
        <f aca="false">IF(J299=0,0,L299/J299)</f>
        <v>0.31</v>
      </c>
      <c r="N299" s="38" t="n">
        <v>0.1</v>
      </c>
      <c r="O299" s="37" t="n">
        <f aca="false">J299*(1-N299)</f>
        <v>7964681.4</v>
      </c>
      <c r="P299" s="37" t="n">
        <v>9</v>
      </c>
      <c r="Q299" s="38" t="n">
        <f aca="false">IF(H299=0,0,P299/H299)</f>
        <v>0.0254237288135593</v>
      </c>
      <c r="R299" s="35" t="s">
        <v>2733</v>
      </c>
      <c r="S299" s="34" t="s">
        <v>2136</v>
      </c>
      <c r="T299" s="34" t="s">
        <v>2099</v>
      </c>
    </row>
    <row r="300" customFormat="false" ht="15" hidden="false" customHeight="false" outlineLevel="0" collapsed="false">
      <c r="A300" s="43" t="s">
        <v>2734</v>
      </c>
      <c r="B300" s="43" t="s">
        <v>2120</v>
      </c>
      <c r="C300" s="51" t="n">
        <v>2022</v>
      </c>
      <c r="D300" s="44" t="s">
        <v>2180</v>
      </c>
      <c r="E300" s="44" t="s">
        <v>2181</v>
      </c>
      <c r="F300" s="43" t="s">
        <v>2095</v>
      </c>
      <c r="G300" s="43" t="s">
        <v>2134</v>
      </c>
      <c r="H300" s="46" t="n">
        <v>418</v>
      </c>
      <c r="I300" s="46" t="n">
        <v>4999</v>
      </c>
      <c r="J300" s="46" t="n">
        <f aca="false">H300*I300</f>
        <v>2089582</v>
      </c>
      <c r="K300" s="46" t="n">
        <f aca="false">J300*0.62</f>
        <v>1295540.84</v>
      </c>
      <c r="L300" s="46" t="n">
        <f aca="false">J300-K300</f>
        <v>794041.16</v>
      </c>
      <c r="M300" s="47" t="n">
        <f aca="false">IF(J300=0,0,L300/J300)</f>
        <v>0.38</v>
      </c>
      <c r="N300" s="47" t="n">
        <v>0.03</v>
      </c>
      <c r="O300" s="46" t="n">
        <f aca="false">J300*(1-N300)</f>
        <v>2026894.54</v>
      </c>
      <c r="P300" s="46" t="n">
        <v>0</v>
      </c>
      <c r="Q300" s="47" t="n">
        <f aca="false">IF(H300=0,0,P300/H300)</f>
        <v>0</v>
      </c>
      <c r="R300" s="44" t="s">
        <v>2735</v>
      </c>
      <c r="S300" s="43" t="s">
        <v>2098</v>
      </c>
      <c r="T300" s="43" t="s">
        <v>2099</v>
      </c>
    </row>
    <row r="301" customFormat="false" ht="15" hidden="false" customHeight="false" outlineLevel="0" collapsed="false">
      <c r="A301" s="34" t="s">
        <v>2736</v>
      </c>
      <c r="B301" s="34" t="s">
        <v>2156</v>
      </c>
      <c r="C301" s="42" t="n">
        <v>2024</v>
      </c>
      <c r="D301" s="35" t="s">
        <v>2115</v>
      </c>
      <c r="E301" s="35" t="s">
        <v>2103</v>
      </c>
      <c r="F301" s="34" t="s">
        <v>2142</v>
      </c>
      <c r="G301" s="34" t="s">
        <v>2129</v>
      </c>
      <c r="H301" s="37" t="n">
        <v>224</v>
      </c>
      <c r="I301" s="37" t="n">
        <v>799</v>
      </c>
      <c r="J301" s="37" t="n">
        <f aca="false">H301*I301</f>
        <v>178976</v>
      </c>
      <c r="K301" s="37" t="n">
        <f aca="false">J301*0.61</f>
        <v>109175.36</v>
      </c>
      <c r="L301" s="37" t="n">
        <f aca="false">J301-K301</f>
        <v>69800.64</v>
      </c>
      <c r="M301" s="38" t="n">
        <f aca="false">IF(J301=0,0,L301/J301)</f>
        <v>0.39</v>
      </c>
      <c r="N301" s="38" t="n">
        <v>0.12</v>
      </c>
      <c r="O301" s="37" t="n">
        <f aca="false">J301*(1-N301)</f>
        <v>157498.88</v>
      </c>
      <c r="P301" s="37" t="n">
        <v>3</v>
      </c>
      <c r="Q301" s="38" t="n">
        <f aca="false">IF(H301=0,0,P301/H301)</f>
        <v>0.0133928571428571</v>
      </c>
      <c r="R301" s="35" t="s">
        <v>2737</v>
      </c>
      <c r="S301" s="34" t="s">
        <v>2118</v>
      </c>
      <c r="T301" s="34" t="s">
        <v>2099</v>
      </c>
    </row>
    <row r="302" customFormat="false" ht="15" hidden="false" customHeight="false" outlineLevel="0" collapsed="false">
      <c r="A302" s="43" t="s">
        <v>2738</v>
      </c>
      <c r="B302" s="43" t="s">
        <v>2148</v>
      </c>
      <c r="C302" s="51" t="n">
        <v>2023</v>
      </c>
      <c r="D302" s="44" t="s">
        <v>2115</v>
      </c>
      <c r="E302" s="44" t="s">
        <v>2103</v>
      </c>
      <c r="F302" s="43" t="s">
        <v>2111</v>
      </c>
      <c r="G302" s="43" t="s">
        <v>2157</v>
      </c>
      <c r="H302" s="46" t="n">
        <v>12</v>
      </c>
      <c r="I302" s="46" t="n">
        <v>7999</v>
      </c>
      <c r="J302" s="46" t="n">
        <f aca="false">H302*I302</f>
        <v>95988</v>
      </c>
      <c r="K302" s="46" t="n">
        <f aca="false">J302*0.49</f>
        <v>47034.12</v>
      </c>
      <c r="L302" s="46" t="n">
        <f aca="false">J302-K302</f>
        <v>48953.88</v>
      </c>
      <c r="M302" s="47" t="n">
        <f aca="false">IF(J302=0,0,L302/J302)</f>
        <v>0.51</v>
      </c>
      <c r="N302" s="47" t="n">
        <v>0.02</v>
      </c>
      <c r="O302" s="46" t="n">
        <f aca="false">J302*(1-N302)</f>
        <v>94068.24</v>
      </c>
      <c r="P302" s="46" t="n">
        <v>1</v>
      </c>
      <c r="Q302" s="47" t="n">
        <f aca="false">IF(H302=0,0,P302/H302)</f>
        <v>0.0833333333333333</v>
      </c>
      <c r="R302" s="44" t="s">
        <v>2739</v>
      </c>
      <c r="S302" s="43" t="s">
        <v>2136</v>
      </c>
      <c r="T302" s="43" t="s">
        <v>2124</v>
      </c>
    </row>
    <row r="303" customFormat="false" ht="15" hidden="false" customHeight="false" outlineLevel="0" collapsed="false">
      <c r="A303" s="52" t="s">
        <v>2740</v>
      </c>
      <c r="B303" s="53"/>
      <c r="C303" s="53"/>
      <c r="D303" s="53"/>
      <c r="E303" s="53"/>
      <c r="F303" s="53"/>
      <c r="G303" s="53"/>
      <c r="H303" s="54" t="n">
        <f aca="false">SUM(H3:H302)</f>
        <v>72621</v>
      </c>
      <c r="I303" s="53"/>
      <c r="J303" s="54" t="n">
        <f aca="false">SUM(J3:J302)</f>
        <v>712485479</v>
      </c>
      <c r="K303" s="54" t="n">
        <f aca="false">SUM(K3:K302)</f>
        <v>408136526.82</v>
      </c>
      <c r="L303" s="54" t="n">
        <f aca="false">SUM(L3:L302)</f>
        <v>304348952.18</v>
      </c>
      <c r="M303" s="53"/>
      <c r="N303" s="53"/>
      <c r="O303" s="54" t="n">
        <f aca="false">SUM(O3:O302)</f>
        <v>659661480.22</v>
      </c>
      <c r="P303" s="54" t="n">
        <f aca="false">SUM(P3:P302)</f>
        <v>1833</v>
      </c>
      <c r="Q303" s="53"/>
      <c r="R303" s="53"/>
      <c r="S303" s="53"/>
      <c r="T303" s="53"/>
    </row>
  </sheetData>
  <autoFilter ref="A2:T302"/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A7517"/>
    <pageSetUpPr fitToPage="false"/>
  </sheetPr>
  <dimension ref="A1:T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5" min="14" style="0" width="8"/>
    <col collapsed="false" customWidth="true" hidden="false" outlineLevel="0" max="16" min="16" style="0" width="14"/>
    <col collapsed="false" customWidth="true" hidden="false" outlineLevel="0" max="17" min="17" style="0" width="17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0" min="20" style="0" width="14"/>
  </cols>
  <sheetData>
    <row r="1" customFormat="false" ht="16.15" hidden="false" customHeight="false" outlineLevel="0" collapsed="false">
      <c r="A1" s="61" t="s">
        <v>2741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customFormat="false" ht="15" hidden="false" customHeight="false" outlineLevel="0" collapsed="false">
      <c r="A2" s="62" t="s">
        <v>2742</v>
      </c>
      <c r="B2" s="62" t="s">
        <v>36</v>
      </c>
      <c r="C2" s="62" t="s">
        <v>2743</v>
      </c>
      <c r="D2" s="62" t="s">
        <v>2744</v>
      </c>
      <c r="E2" s="62" t="s">
        <v>2745</v>
      </c>
      <c r="F2" s="62" t="s">
        <v>2746</v>
      </c>
      <c r="G2" s="62" t="s">
        <v>2747</v>
      </c>
      <c r="H2" s="62" t="s">
        <v>2748</v>
      </c>
      <c r="I2" s="62" t="s">
        <v>2749</v>
      </c>
      <c r="J2" s="62" t="s">
        <v>2750</v>
      </c>
      <c r="K2" s="62" t="s">
        <v>2751</v>
      </c>
      <c r="L2" s="62" t="s">
        <v>2752</v>
      </c>
      <c r="M2" s="62" t="s">
        <v>2753</v>
      </c>
      <c r="N2" s="62" t="s">
        <v>2754</v>
      </c>
      <c r="O2" s="62" t="s">
        <v>2755</v>
      </c>
      <c r="P2" s="62" t="s">
        <v>47</v>
      </c>
      <c r="Q2" s="62" t="s">
        <v>2756</v>
      </c>
      <c r="R2" s="62" t="s">
        <v>2757</v>
      </c>
      <c r="S2" s="62" t="s">
        <v>2758</v>
      </c>
      <c r="T2" s="62" t="s">
        <v>2759</v>
      </c>
    </row>
    <row r="3" customFormat="false" ht="15" hidden="false" customHeight="false" outlineLevel="0" collapsed="false">
      <c r="A3" s="34" t="s">
        <v>2760</v>
      </c>
      <c r="B3" s="35" t="s">
        <v>2761</v>
      </c>
      <c r="C3" s="34" t="s">
        <v>2762</v>
      </c>
      <c r="D3" s="42" t="n">
        <v>1</v>
      </c>
      <c r="E3" s="34" t="s">
        <v>2763</v>
      </c>
      <c r="F3" s="35" t="s">
        <v>2764</v>
      </c>
      <c r="G3" s="63" t="n">
        <v>57</v>
      </c>
      <c r="H3" s="35" t="s">
        <v>2765</v>
      </c>
      <c r="I3" s="63" t="n">
        <v>92</v>
      </c>
      <c r="J3" s="35" t="s">
        <v>2766</v>
      </c>
      <c r="K3" s="63" t="n">
        <v>70</v>
      </c>
      <c r="L3" s="63" t="n">
        <f aca="false">G3+I3+K3</f>
        <v>219</v>
      </c>
      <c r="M3" s="64" t="n">
        <f aca="false">L3/300*100</f>
        <v>73</v>
      </c>
      <c r="N3" s="34" t="str">
        <f aca="false">IF(M3&gt;=90,"A+",IF(M3&gt;=80,"A",IF(M3&gt;=70,"B+",IF(M3&gt;=60,"B",IF(M3&gt;=50,"C","F")))))</f>
        <v>B+</v>
      </c>
      <c r="O3" s="65" t="n">
        <f aca="false">IF(M3&gt;=90,4,IF(M3&gt;=80,3.7,IF(M3&gt;=70,3.3,IF(M3&gt;=60,3,IF(M3&gt;=50,2,0)))))</f>
        <v>3.3</v>
      </c>
      <c r="P3" s="38" t="n">
        <v>0.573</v>
      </c>
      <c r="Q3" s="66" t="n">
        <v>40.5</v>
      </c>
      <c r="R3" s="66" t="n">
        <v>77.8</v>
      </c>
      <c r="S3" s="34" t="str">
        <f aca="false">IF(M3&gt;=40,"Pass","Fail")</f>
        <v>Pass</v>
      </c>
      <c r="T3" s="34" t="str">
        <f aca="false">IF(M3&gt;=80,"Yes","No")</f>
        <v>No</v>
      </c>
    </row>
    <row r="4" customFormat="false" ht="15" hidden="false" customHeight="false" outlineLevel="0" collapsed="false">
      <c r="A4" s="43" t="s">
        <v>2767</v>
      </c>
      <c r="B4" s="44" t="s">
        <v>2768</v>
      </c>
      <c r="C4" s="43" t="s">
        <v>2769</v>
      </c>
      <c r="D4" s="51" t="n">
        <v>7</v>
      </c>
      <c r="E4" s="43" t="s">
        <v>2763</v>
      </c>
      <c r="F4" s="44" t="s">
        <v>2770</v>
      </c>
      <c r="G4" s="67" t="n">
        <v>24</v>
      </c>
      <c r="H4" s="44" t="s">
        <v>2766</v>
      </c>
      <c r="I4" s="67" t="n">
        <v>82</v>
      </c>
      <c r="J4" s="44" t="s">
        <v>2771</v>
      </c>
      <c r="K4" s="67" t="n">
        <v>71</v>
      </c>
      <c r="L4" s="67" t="n">
        <f aca="false">G4+I4+K4</f>
        <v>177</v>
      </c>
      <c r="M4" s="68" t="n">
        <f aca="false">L4/300*100</f>
        <v>59</v>
      </c>
      <c r="N4" s="43" t="str">
        <f aca="false">IF(M4&gt;=90,"A+",IF(M4&gt;=80,"A",IF(M4&gt;=70,"B+",IF(M4&gt;=60,"B",IF(M4&gt;=50,"C","F")))))</f>
        <v>C</v>
      </c>
      <c r="O4" s="69" t="n">
        <f aca="false">IF(M4&gt;=90,4,IF(M4&gt;=80,3.7,IF(M4&gt;=70,3.3,IF(M4&gt;=60,3,IF(M4&gt;=50,2,0)))))</f>
        <v>2</v>
      </c>
      <c r="P4" s="47" t="n">
        <v>0.769</v>
      </c>
      <c r="Q4" s="70" t="n">
        <v>75.5</v>
      </c>
      <c r="R4" s="70" t="n">
        <v>76.7</v>
      </c>
      <c r="S4" s="43" t="str">
        <f aca="false">IF(M4&gt;=40,"Pass","Fail")</f>
        <v>Pass</v>
      </c>
      <c r="T4" s="43" t="str">
        <f aca="false">IF(M4&gt;=80,"Yes","No")</f>
        <v>No</v>
      </c>
    </row>
    <row r="5" customFormat="false" ht="15" hidden="false" customHeight="false" outlineLevel="0" collapsed="false">
      <c r="A5" s="34" t="s">
        <v>2772</v>
      </c>
      <c r="B5" s="35" t="s">
        <v>2773</v>
      </c>
      <c r="C5" s="34" t="s">
        <v>2769</v>
      </c>
      <c r="D5" s="42" t="n">
        <v>8</v>
      </c>
      <c r="E5" s="34" t="s">
        <v>2774</v>
      </c>
      <c r="F5" s="35" t="s">
        <v>2775</v>
      </c>
      <c r="G5" s="63" t="n">
        <v>74</v>
      </c>
      <c r="H5" s="35" t="s">
        <v>2766</v>
      </c>
      <c r="I5" s="63" t="n">
        <v>93</v>
      </c>
      <c r="J5" s="35" t="s">
        <v>2764</v>
      </c>
      <c r="K5" s="63" t="n">
        <v>60</v>
      </c>
      <c r="L5" s="63" t="n">
        <f aca="false">G5+I5+K5</f>
        <v>227</v>
      </c>
      <c r="M5" s="64" t="n">
        <f aca="false">L5/300*100</f>
        <v>75.6666666666667</v>
      </c>
      <c r="N5" s="34" t="str">
        <f aca="false">IF(M5&gt;=90,"A+",IF(M5&gt;=80,"A",IF(M5&gt;=70,"B+",IF(M5&gt;=60,"B",IF(M5&gt;=50,"C","F")))))</f>
        <v>B+</v>
      </c>
      <c r="O5" s="65" t="n">
        <f aca="false">IF(M5&gt;=90,4,IF(M5&gt;=80,3.7,IF(M5&gt;=70,3.3,IF(M5&gt;=60,3,IF(M5&gt;=50,2,0)))))</f>
        <v>3.3</v>
      </c>
      <c r="P5" s="38" t="n">
        <v>0.799</v>
      </c>
      <c r="Q5" s="66" t="n">
        <v>56.1</v>
      </c>
      <c r="R5" s="66" t="n">
        <v>78.9</v>
      </c>
      <c r="S5" s="34" t="str">
        <f aca="false">IF(M5&gt;=40,"Pass","Fail")</f>
        <v>Pass</v>
      </c>
      <c r="T5" s="34" t="str">
        <f aca="false">IF(M5&gt;=80,"Yes","No")</f>
        <v>No</v>
      </c>
    </row>
    <row r="6" customFormat="false" ht="15" hidden="false" customHeight="false" outlineLevel="0" collapsed="false">
      <c r="A6" s="43" t="s">
        <v>2776</v>
      </c>
      <c r="B6" s="44" t="s">
        <v>2777</v>
      </c>
      <c r="C6" s="43" t="s">
        <v>2762</v>
      </c>
      <c r="D6" s="51" t="n">
        <v>2</v>
      </c>
      <c r="E6" s="43" t="s">
        <v>2763</v>
      </c>
      <c r="F6" s="44" t="s">
        <v>2764</v>
      </c>
      <c r="G6" s="67" t="n">
        <v>75</v>
      </c>
      <c r="H6" s="44" t="s">
        <v>2778</v>
      </c>
      <c r="I6" s="67" t="n">
        <v>22</v>
      </c>
      <c r="J6" s="44" t="s">
        <v>2770</v>
      </c>
      <c r="K6" s="67" t="n">
        <v>40</v>
      </c>
      <c r="L6" s="67" t="n">
        <f aca="false">G6+I6+K6</f>
        <v>137</v>
      </c>
      <c r="M6" s="68" t="n">
        <f aca="false">L6/300*100</f>
        <v>45.6666666666667</v>
      </c>
      <c r="N6" s="43" t="str">
        <f aca="false">IF(M6&gt;=90,"A+",IF(M6&gt;=80,"A",IF(M6&gt;=70,"B+",IF(M6&gt;=60,"B",IF(M6&gt;=50,"C","F")))))</f>
        <v>F</v>
      </c>
      <c r="O6" s="69" t="n">
        <f aca="false">IF(M6&gt;=90,4,IF(M6&gt;=80,3.7,IF(M6&gt;=70,3.3,IF(M6&gt;=60,3,IF(M6&gt;=50,2,0)))))</f>
        <v>0</v>
      </c>
      <c r="P6" s="47" t="n">
        <v>0.68</v>
      </c>
      <c r="Q6" s="70" t="n">
        <v>51.5</v>
      </c>
      <c r="R6" s="70" t="n">
        <v>60.6</v>
      </c>
      <c r="S6" s="43" t="str">
        <f aca="false">IF(M6&gt;=40,"Pass","Fail")</f>
        <v>Pass</v>
      </c>
      <c r="T6" s="43" t="str">
        <f aca="false">IF(M6&gt;=80,"Yes","No")</f>
        <v>No</v>
      </c>
    </row>
    <row r="7" customFormat="false" ht="15" hidden="false" customHeight="false" outlineLevel="0" collapsed="false">
      <c r="A7" s="34" t="s">
        <v>2779</v>
      </c>
      <c r="B7" s="35" t="s">
        <v>2780</v>
      </c>
      <c r="C7" s="34" t="s">
        <v>2781</v>
      </c>
      <c r="D7" s="42" t="n">
        <v>4</v>
      </c>
      <c r="E7" s="34" t="s">
        <v>2782</v>
      </c>
      <c r="F7" s="35" t="s">
        <v>2778</v>
      </c>
      <c r="G7" s="63" t="n">
        <v>57</v>
      </c>
      <c r="H7" s="35" t="s">
        <v>2770</v>
      </c>
      <c r="I7" s="63" t="n">
        <v>69</v>
      </c>
      <c r="J7" s="35" t="s">
        <v>2783</v>
      </c>
      <c r="K7" s="63" t="n">
        <v>73</v>
      </c>
      <c r="L7" s="63" t="n">
        <f aca="false">G7+I7+K7</f>
        <v>199</v>
      </c>
      <c r="M7" s="64" t="n">
        <f aca="false">L7/300*100</f>
        <v>66.3333333333333</v>
      </c>
      <c r="N7" s="34" t="str">
        <f aca="false">IF(M7&gt;=90,"A+",IF(M7&gt;=80,"A",IF(M7&gt;=70,"B+",IF(M7&gt;=60,"B",IF(M7&gt;=50,"C","F")))))</f>
        <v>B</v>
      </c>
      <c r="O7" s="65" t="n">
        <f aca="false">IF(M7&gt;=90,4,IF(M7&gt;=80,3.7,IF(M7&gt;=70,3.3,IF(M7&gt;=60,3,IF(M7&gt;=50,2,0)))))</f>
        <v>3</v>
      </c>
      <c r="P7" s="38" t="n">
        <v>0.925</v>
      </c>
      <c r="Q7" s="66" t="n">
        <v>80.4</v>
      </c>
      <c r="R7" s="66" t="n">
        <v>84.1</v>
      </c>
      <c r="S7" s="34" t="str">
        <f aca="false">IF(M7&gt;=40,"Pass","Fail")</f>
        <v>Pass</v>
      </c>
      <c r="T7" s="34" t="str">
        <f aca="false">IF(M7&gt;=80,"Yes","No")</f>
        <v>No</v>
      </c>
    </row>
    <row r="8" customFormat="false" ht="15" hidden="false" customHeight="false" outlineLevel="0" collapsed="false">
      <c r="A8" s="43" t="s">
        <v>2784</v>
      </c>
      <c r="B8" s="44" t="s">
        <v>2785</v>
      </c>
      <c r="C8" s="43" t="s">
        <v>2786</v>
      </c>
      <c r="D8" s="51" t="n">
        <v>8</v>
      </c>
      <c r="E8" s="43" t="s">
        <v>2774</v>
      </c>
      <c r="F8" s="44" t="s">
        <v>2764</v>
      </c>
      <c r="G8" s="67" t="n">
        <v>31</v>
      </c>
      <c r="H8" s="44" t="s">
        <v>2765</v>
      </c>
      <c r="I8" s="67" t="n">
        <v>81</v>
      </c>
      <c r="J8" s="44" t="s">
        <v>2771</v>
      </c>
      <c r="K8" s="67" t="n">
        <v>36</v>
      </c>
      <c r="L8" s="67" t="n">
        <f aca="false">G8+I8+K8</f>
        <v>148</v>
      </c>
      <c r="M8" s="68" t="n">
        <f aca="false">L8/300*100</f>
        <v>49.3333333333333</v>
      </c>
      <c r="N8" s="43" t="str">
        <f aca="false">IF(M8&gt;=90,"A+",IF(M8&gt;=80,"A",IF(M8&gt;=70,"B+",IF(M8&gt;=60,"B",IF(M8&gt;=50,"C","F")))))</f>
        <v>F</v>
      </c>
      <c r="O8" s="69" t="n">
        <f aca="false">IF(M8&gt;=90,4,IF(M8&gt;=80,3.7,IF(M8&gt;=70,3.3,IF(M8&gt;=60,3,IF(M8&gt;=50,2,0)))))</f>
        <v>0</v>
      </c>
      <c r="P8" s="47" t="n">
        <v>0.628</v>
      </c>
      <c r="Q8" s="70" t="n">
        <v>49.4</v>
      </c>
      <c r="R8" s="70" t="n">
        <v>69.5</v>
      </c>
      <c r="S8" s="43" t="str">
        <f aca="false">IF(M8&gt;=40,"Pass","Fail")</f>
        <v>Pass</v>
      </c>
      <c r="T8" s="43" t="str">
        <f aca="false">IF(M8&gt;=80,"Yes","No")</f>
        <v>No</v>
      </c>
    </row>
    <row r="9" customFormat="false" ht="15" hidden="false" customHeight="false" outlineLevel="0" collapsed="false">
      <c r="A9" s="34" t="s">
        <v>2787</v>
      </c>
      <c r="B9" s="35" t="s">
        <v>2788</v>
      </c>
      <c r="C9" s="34" t="s">
        <v>2786</v>
      </c>
      <c r="D9" s="42" t="n">
        <v>7</v>
      </c>
      <c r="E9" s="34" t="s">
        <v>2763</v>
      </c>
      <c r="F9" s="35" t="s">
        <v>2771</v>
      </c>
      <c r="G9" s="63" t="n">
        <v>91</v>
      </c>
      <c r="H9" s="35" t="s">
        <v>2765</v>
      </c>
      <c r="I9" s="63" t="n">
        <v>26</v>
      </c>
      <c r="J9" s="35" t="s">
        <v>2766</v>
      </c>
      <c r="K9" s="63" t="n">
        <v>22</v>
      </c>
      <c r="L9" s="63" t="n">
        <f aca="false">G9+I9+K9</f>
        <v>139</v>
      </c>
      <c r="M9" s="64" t="n">
        <f aca="false">L9/300*100</f>
        <v>46.3333333333333</v>
      </c>
      <c r="N9" s="34" t="str">
        <f aca="false">IF(M9&gt;=90,"A+",IF(M9&gt;=80,"A",IF(M9&gt;=70,"B+",IF(M9&gt;=60,"B",IF(M9&gt;=50,"C","F")))))</f>
        <v>F</v>
      </c>
      <c r="O9" s="65" t="n">
        <f aca="false">IF(M9&gt;=90,4,IF(M9&gt;=80,3.7,IF(M9&gt;=70,3.3,IF(M9&gt;=60,3,IF(M9&gt;=50,2,0)))))</f>
        <v>0</v>
      </c>
      <c r="P9" s="38" t="n">
        <v>0.711</v>
      </c>
      <c r="Q9" s="66" t="n">
        <v>55.6</v>
      </c>
      <c r="R9" s="66" t="n">
        <v>80.6</v>
      </c>
      <c r="S9" s="34" t="str">
        <f aca="false">IF(M9&gt;=40,"Pass","Fail")</f>
        <v>Pass</v>
      </c>
      <c r="T9" s="34" t="str">
        <f aca="false">IF(M9&gt;=80,"Yes","No")</f>
        <v>No</v>
      </c>
    </row>
    <row r="10" customFormat="false" ht="15" hidden="false" customHeight="false" outlineLevel="0" collapsed="false">
      <c r="A10" s="43" t="s">
        <v>2789</v>
      </c>
      <c r="B10" s="44" t="s">
        <v>2790</v>
      </c>
      <c r="C10" s="43" t="s">
        <v>2781</v>
      </c>
      <c r="D10" s="51" t="n">
        <v>1</v>
      </c>
      <c r="E10" s="43" t="s">
        <v>2774</v>
      </c>
      <c r="F10" s="44" t="s">
        <v>2778</v>
      </c>
      <c r="G10" s="67" t="n">
        <v>99</v>
      </c>
      <c r="H10" s="44" t="s">
        <v>2791</v>
      </c>
      <c r="I10" s="67" t="n">
        <v>49</v>
      </c>
      <c r="J10" s="44" t="s">
        <v>2792</v>
      </c>
      <c r="K10" s="67" t="n">
        <v>35</v>
      </c>
      <c r="L10" s="67" t="n">
        <f aca="false">G10+I10+K10</f>
        <v>183</v>
      </c>
      <c r="M10" s="68" t="n">
        <f aca="false">L10/300*100</f>
        <v>61</v>
      </c>
      <c r="N10" s="43" t="str">
        <f aca="false">IF(M10&gt;=90,"A+",IF(M10&gt;=80,"A",IF(M10&gt;=70,"B+",IF(M10&gt;=60,"B",IF(M10&gt;=50,"C","F")))))</f>
        <v>B</v>
      </c>
      <c r="O10" s="69" t="n">
        <f aca="false">IF(M10&gt;=90,4,IF(M10&gt;=80,3.7,IF(M10&gt;=70,3.3,IF(M10&gt;=60,3,IF(M10&gt;=50,2,0)))))</f>
        <v>3</v>
      </c>
      <c r="P10" s="47" t="n">
        <v>0.803</v>
      </c>
      <c r="Q10" s="70" t="n">
        <v>69.2</v>
      </c>
      <c r="R10" s="70" t="n">
        <v>99.6</v>
      </c>
      <c r="S10" s="43" t="str">
        <f aca="false">IF(M10&gt;=40,"Pass","Fail")</f>
        <v>Pass</v>
      </c>
      <c r="T10" s="43" t="str">
        <f aca="false">IF(M10&gt;=80,"Yes","No")</f>
        <v>No</v>
      </c>
    </row>
    <row r="11" customFormat="false" ht="15" hidden="false" customHeight="false" outlineLevel="0" collapsed="false">
      <c r="A11" s="34" t="s">
        <v>2793</v>
      </c>
      <c r="B11" s="35" t="s">
        <v>2794</v>
      </c>
      <c r="C11" s="34" t="s">
        <v>2786</v>
      </c>
      <c r="D11" s="42" t="n">
        <v>6</v>
      </c>
      <c r="E11" s="34" t="s">
        <v>2774</v>
      </c>
      <c r="F11" s="35" t="s">
        <v>2766</v>
      </c>
      <c r="G11" s="63" t="n">
        <v>85</v>
      </c>
      <c r="H11" s="35" t="s">
        <v>2771</v>
      </c>
      <c r="I11" s="63" t="n">
        <v>97</v>
      </c>
      <c r="J11" s="35" t="s">
        <v>2783</v>
      </c>
      <c r="K11" s="63" t="n">
        <v>33</v>
      </c>
      <c r="L11" s="63" t="n">
        <f aca="false">G11+I11+K11</f>
        <v>215</v>
      </c>
      <c r="M11" s="64" t="n">
        <f aca="false">L11/300*100</f>
        <v>71.6666666666667</v>
      </c>
      <c r="N11" s="34" t="str">
        <f aca="false">IF(M11&gt;=90,"A+",IF(M11&gt;=80,"A",IF(M11&gt;=70,"B+",IF(M11&gt;=60,"B",IF(M11&gt;=50,"C","F")))))</f>
        <v>B+</v>
      </c>
      <c r="O11" s="65" t="n">
        <f aca="false">IF(M11&gt;=90,4,IF(M11&gt;=80,3.7,IF(M11&gt;=70,3.3,IF(M11&gt;=60,3,IF(M11&gt;=50,2,0)))))</f>
        <v>3.3</v>
      </c>
      <c r="P11" s="38" t="n">
        <v>0.868</v>
      </c>
      <c r="Q11" s="66" t="n">
        <v>95.6</v>
      </c>
      <c r="R11" s="66" t="n">
        <v>66.3</v>
      </c>
      <c r="S11" s="34" t="str">
        <f aca="false">IF(M11&gt;=40,"Pass","Fail")</f>
        <v>Pass</v>
      </c>
      <c r="T11" s="34" t="str">
        <f aca="false">IF(M11&gt;=80,"Yes","No")</f>
        <v>No</v>
      </c>
    </row>
    <row r="12" customFormat="false" ht="15" hidden="false" customHeight="false" outlineLevel="0" collapsed="false">
      <c r="A12" s="43" t="s">
        <v>2795</v>
      </c>
      <c r="B12" s="44" t="s">
        <v>2796</v>
      </c>
      <c r="C12" s="43" t="s">
        <v>2762</v>
      </c>
      <c r="D12" s="51" t="n">
        <v>2</v>
      </c>
      <c r="E12" s="43" t="s">
        <v>2774</v>
      </c>
      <c r="F12" s="44" t="s">
        <v>2764</v>
      </c>
      <c r="G12" s="67" t="n">
        <v>84</v>
      </c>
      <c r="H12" s="44" t="s">
        <v>2792</v>
      </c>
      <c r="I12" s="67" t="n">
        <v>33</v>
      </c>
      <c r="J12" s="44" t="s">
        <v>2775</v>
      </c>
      <c r="K12" s="67" t="n">
        <v>41</v>
      </c>
      <c r="L12" s="67" t="n">
        <f aca="false">G12+I12+K12</f>
        <v>158</v>
      </c>
      <c r="M12" s="68" t="n">
        <f aca="false">L12/300*100</f>
        <v>52.6666666666667</v>
      </c>
      <c r="N12" s="43" t="str">
        <f aca="false">IF(M12&gt;=90,"A+",IF(M12&gt;=80,"A",IF(M12&gt;=70,"B+",IF(M12&gt;=60,"B",IF(M12&gt;=50,"C","F")))))</f>
        <v>C</v>
      </c>
      <c r="O12" s="69" t="n">
        <f aca="false">IF(M12&gt;=90,4,IF(M12&gt;=80,3.7,IF(M12&gt;=70,3.3,IF(M12&gt;=60,3,IF(M12&gt;=50,2,0)))))</f>
        <v>2</v>
      </c>
      <c r="P12" s="47" t="n">
        <v>0.833</v>
      </c>
      <c r="Q12" s="70" t="n">
        <v>92.3</v>
      </c>
      <c r="R12" s="70" t="n">
        <v>94.7</v>
      </c>
      <c r="S12" s="43" t="str">
        <f aca="false">IF(M12&gt;=40,"Pass","Fail")</f>
        <v>Pass</v>
      </c>
      <c r="T12" s="43" t="str">
        <f aca="false">IF(M12&gt;=80,"Yes","No")</f>
        <v>No</v>
      </c>
    </row>
    <row r="13" customFormat="false" ht="15" hidden="false" customHeight="false" outlineLevel="0" collapsed="false">
      <c r="A13" s="34" t="s">
        <v>2797</v>
      </c>
      <c r="B13" s="35" t="s">
        <v>2798</v>
      </c>
      <c r="C13" s="34" t="s">
        <v>2781</v>
      </c>
      <c r="D13" s="42" t="n">
        <v>5</v>
      </c>
      <c r="E13" s="34" t="s">
        <v>2782</v>
      </c>
      <c r="F13" s="35" t="s">
        <v>2770</v>
      </c>
      <c r="G13" s="63" t="n">
        <v>32</v>
      </c>
      <c r="H13" s="35" t="s">
        <v>2766</v>
      </c>
      <c r="I13" s="63" t="n">
        <v>39</v>
      </c>
      <c r="J13" s="35" t="s">
        <v>2764</v>
      </c>
      <c r="K13" s="63" t="n">
        <v>66</v>
      </c>
      <c r="L13" s="63" t="n">
        <f aca="false">G13+I13+K13</f>
        <v>137</v>
      </c>
      <c r="M13" s="64" t="n">
        <f aca="false">L13/300*100</f>
        <v>45.6666666666667</v>
      </c>
      <c r="N13" s="34" t="str">
        <f aca="false">IF(M13&gt;=90,"A+",IF(M13&gt;=80,"A",IF(M13&gt;=70,"B+",IF(M13&gt;=60,"B",IF(M13&gt;=50,"C","F")))))</f>
        <v>F</v>
      </c>
      <c r="O13" s="65" t="n">
        <f aca="false">IF(M13&gt;=90,4,IF(M13&gt;=80,3.7,IF(M13&gt;=70,3.3,IF(M13&gt;=60,3,IF(M13&gt;=50,2,0)))))</f>
        <v>0</v>
      </c>
      <c r="P13" s="38" t="n">
        <v>0.701</v>
      </c>
      <c r="Q13" s="66" t="n">
        <v>48.3</v>
      </c>
      <c r="R13" s="66" t="n">
        <v>90.9</v>
      </c>
      <c r="S13" s="34" t="str">
        <f aca="false">IF(M13&gt;=40,"Pass","Fail")</f>
        <v>Pass</v>
      </c>
      <c r="T13" s="34" t="str">
        <f aca="false">IF(M13&gt;=80,"Yes","No")</f>
        <v>No</v>
      </c>
    </row>
    <row r="14" customFormat="false" ht="15" hidden="false" customHeight="false" outlineLevel="0" collapsed="false">
      <c r="A14" s="43" t="s">
        <v>2799</v>
      </c>
      <c r="B14" s="44" t="s">
        <v>2800</v>
      </c>
      <c r="C14" s="43" t="s">
        <v>2762</v>
      </c>
      <c r="D14" s="51" t="n">
        <v>7</v>
      </c>
      <c r="E14" s="43" t="s">
        <v>2774</v>
      </c>
      <c r="F14" s="44" t="s">
        <v>2765</v>
      </c>
      <c r="G14" s="67" t="n">
        <v>56</v>
      </c>
      <c r="H14" s="44" t="s">
        <v>2770</v>
      </c>
      <c r="I14" s="67" t="n">
        <v>84</v>
      </c>
      <c r="J14" s="44" t="s">
        <v>2778</v>
      </c>
      <c r="K14" s="67" t="n">
        <v>41</v>
      </c>
      <c r="L14" s="67" t="n">
        <f aca="false">G14+I14+K14</f>
        <v>181</v>
      </c>
      <c r="M14" s="68" t="n">
        <f aca="false">L14/300*100</f>
        <v>60.3333333333333</v>
      </c>
      <c r="N14" s="43" t="str">
        <f aca="false">IF(M14&gt;=90,"A+",IF(M14&gt;=80,"A",IF(M14&gt;=70,"B+",IF(M14&gt;=60,"B",IF(M14&gt;=50,"C","F")))))</f>
        <v>B</v>
      </c>
      <c r="O14" s="69" t="n">
        <f aca="false">IF(M14&gt;=90,4,IF(M14&gt;=80,3.7,IF(M14&gt;=70,3.3,IF(M14&gt;=60,3,IF(M14&gt;=50,2,0)))))</f>
        <v>3</v>
      </c>
      <c r="P14" s="47" t="n">
        <v>0.588</v>
      </c>
      <c r="Q14" s="70" t="n">
        <v>62.3</v>
      </c>
      <c r="R14" s="70" t="n">
        <v>85.3</v>
      </c>
      <c r="S14" s="43" t="str">
        <f aca="false">IF(M14&gt;=40,"Pass","Fail")</f>
        <v>Pass</v>
      </c>
      <c r="T14" s="43" t="str">
        <f aca="false">IF(M14&gt;=80,"Yes","No")</f>
        <v>No</v>
      </c>
    </row>
    <row r="15" customFormat="false" ht="15" hidden="false" customHeight="false" outlineLevel="0" collapsed="false">
      <c r="A15" s="34" t="s">
        <v>2801</v>
      </c>
      <c r="B15" s="35" t="s">
        <v>2802</v>
      </c>
      <c r="C15" s="34" t="s">
        <v>2803</v>
      </c>
      <c r="D15" s="42" t="n">
        <v>4</v>
      </c>
      <c r="E15" s="34" t="s">
        <v>2774</v>
      </c>
      <c r="F15" s="35" t="s">
        <v>2766</v>
      </c>
      <c r="G15" s="63" t="n">
        <v>37</v>
      </c>
      <c r="H15" s="35" t="s">
        <v>2791</v>
      </c>
      <c r="I15" s="63" t="n">
        <v>74</v>
      </c>
      <c r="J15" s="35" t="s">
        <v>2765</v>
      </c>
      <c r="K15" s="63" t="n">
        <v>72</v>
      </c>
      <c r="L15" s="63" t="n">
        <f aca="false">G15+I15+K15</f>
        <v>183</v>
      </c>
      <c r="M15" s="64" t="n">
        <f aca="false">L15/300*100</f>
        <v>61</v>
      </c>
      <c r="N15" s="34" t="str">
        <f aca="false">IF(M15&gt;=90,"A+",IF(M15&gt;=80,"A",IF(M15&gt;=70,"B+",IF(M15&gt;=60,"B",IF(M15&gt;=50,"C","F")))))</f>
        <v>B</v>
      </c>
      <c r="O15" s="65" t="n">
        <f aca="false">IF(M15&gt;=90,4,IF(M15&gt;=80,3.7,IF(M15&gt;=70,3.3,IF(M15&gt;=60,3,IF(M15&gt;=50,2,0)))))</f>
        <v>3</v>
      </c>
      <c r="P15" s="38" t="n">
        <v>0.963</v>
      </c>
      <c r="Q15" s="66" t="n">
        <v>93.9</v>
      </c>
      <c r="R15" s="66" t="n">
        <v>97.1</v>
      </c>
      <c r="S15" s="34" t="str">
        <f aca="false">IF(M15&gt;=40,"Pass","Fail")</f>
        <v>Pass</v>
      </c>
      <c r="T15" s="34" t="str">
        <f aca="false">IF(M15&gt;=80,"Yes","No")</f>
        <v>No</v>
      </c>
    </row>
    <row r="16" customFormat="false" ht="15" hidden="false" customHeight="false" outlineLevel="0" collapsed="false">
      <c r="A16" s="43" t="s">
        <v>2804</v>
      </c>
      <c r="B16" s="44" t="s">
        <v>2805</v>
      </c>
      <c r="C16" s="43" t="s">
        <v>2806</v>
      </c>
      <c r="D16" s="51" t="n">
        <v>6</v>
      </c>
      <c r="E16" s="43" t="s">
        <v>2774</v>
      </c>
      <c r="F16" s="44" t="s">
        <v>2770</v>
      </c>
      <c r="G16" s="67" t="n">
        <v>86</v>
      </c>
      <c r="H16" s="44" t="s">
        <v>2783</v>
      </c>
      <c r="I16" s="67" t="n">
        <v>28</v>
      </c>
      <c r="J16" s="44" t="s">
        <v>2775</v>
      </c>
      <c r="K16" s="67" t="n">
        <v>30</v>
      </c>
      <c r="L16" s="67" t="n">
        <f aca="false">G16+I16+K16</f>
        <v>144</v>
      </c>
      <c r="M16" s="68" t="n">
        <f aca="false">L16/300*100</f>
        <v>48</v>
      </c>
      <c r="N16" s="43" t="str">
        <f aca="false">IF(M16&gt;=90,"A+",IF(M16&gt;=80,"A",IF(M16&gt;=70,"B+",IF(M16&gt;=60,"B",IF(M16&gt;=50,"C","F")))))</f>
        <v>F</v>
      </c>
      <c r="O16" s="69" t="n">
        <f aca="false">IF(M16&gt;=90,4,IF(M16&gt;=80,3.7,IF(M16&gt;=70,3.3,IF(M16&gt;=60,3,IF(M16&gt;=50,2,0)))))</f>
        <v>0</v>
      </c>
      <c r="P16" s="47" t="n">
        <v>0.702</v>
      </c>
      <c r="Q16" s="70" t="n">
        <v>64.1</v>
      </c>
      <c r="R16" s="70" t="n">
        <v>86.3</v>
      </c>
      <c r="S16" s="43" t="str">
        <f aca="false">IF(M16&gt;=40,"Pass","Fail")</f>
        <v>Pass</v>
      </c>
      <c r="T16" s="43" t="str">
        <f aca="false">IF(M16&gt;=80,"Yes","No")</f>
        <v>No</v>
      </c>
    </row>
    <row r="17" customFormat="false" ht="15" hidden="false" customHeight="false" outlineLevel="0" collapsed="false">
      <c r="A17" s="34" t="s">
        <v>2807</v>
      </c>
      <c r="B17" s="35" t="s">
        <v>2808</v>
      </c>
      <c r="C17" s="34" t="s">
        <v>2762</v>
      </c>
      <c r="D17" s="42" t="n">
        <v>1</v>
      </c>
      <c r="E17" s="34" t="s">
        <v>2763</v>
      </c>
      <c r="F17" s="35" t="s">
        <v>2775</v>
      </c>
      <c r="G17" s="63" t="n">
        <v>100</v>
      </c>
      <c r="H17" s="35" t="s">
        <v>2783</v>
      </c>
      <c r="I17" s="63" t="n">
        <v>86</v>
      </c>
      <c r="J17" s="35" t="s">
        <v>2764</v>
      </c>
      <c r="K17" s="63" t="n">
        <v>57</v>
      </c>
      <c r="L17" s="63" t="n">
        <f aca="false">G17+I17+K17</f>
        <v>243</v>
      </c>
      <c r="M17" s="64" t="n">
        <f aca="false">L17/300*100</f>
        <v>81</v>
      </c>
      <c r="N17" s="34" t="str">
        <f aca="false">IF(M17&gt;=90,"A+",IF(M17&gt;=80,"A",IF(M17&gt;=70,"B+",IF(M17&gt;=60,"B",IF(M17&gt;=50,"C","F")))))</f>
        <v>A</v>
      </c>
      <c r="O17" s="65" t="n">
        <f aca="false">IF(M17&gt;=90,4,IF(M17&gt;=80,3.7,IF(M17&gt;=70,3.3,IF(M17&gt;=60,3,IF(M17&gt;=50,2,0)))))</f>
        <v>3.7</v>
      </c>
      <c r="P17" s="38" t="n">
        <v>0.739</v>
      </c>
      <c r="Q17" s="66" t="n">
        <v>93.1</v>
      </c>
      <c r="R17" s="66" t="n">
        <v>82</v>
      </c>
      <c r="S17" s="34" t="str">
        <f aca="false">IF(M17&gt;=40,"Pass","Fail")</f>
        <v>Pass</v>
      </c>
      <c r="T17" s="34" t="str">
        <f aca="false">IF(M17&gt;=80,"Yes","No")</f>
        <v>Yes</v>
      </c>
    </row>
    <row r="18" customFormat="false" ht="15" hidden="false" customHeight="false" outlineLevel="0" collapsed="false">
      <c r="A18" s="43" t="s">
        <v>2809</v>
      </c>
      <c r="B18" s="44" t="s">
        <v>2810</v>
      </c>
      <c r="C18" s="43" t="s">
        <v>2786</v>
      </c>
      <c r="D18" s="51" t="n">
        <v>5</v>
      </c>
      <c r="E18" s="43" t="s">
        <v>2782</v>
      </c>
      <c r="F18" s="44" t="s">
        <v>2778</v>
      </c>
      <c r="G18" s="67" t="n">
        <v>55</v>
      </c>
      <c r="H18" s="44" t="s">
        <v>2764</v>
      </c>
      <c r="I18" s="67" t="n">
        <v>87</v>
      </c>
      <c r="J18" s="44" t="s">
        <v>2775</v>
      </c>
      <c r="K18" s="67" t="n">
        <v>98</v>
      </c>
      <c r="L18" s="67" t="n">
        <f aca="false">G18+I18+K18</f>
        <v>240</v>
      </c>
      <c r="M18" s="68" t="n">
        <f aca="false">L18/300*100</f>
        <v>80</v>
      </c>
      <c r="N18" s="43" t="str">
        <f aca="false">IF(M18&gt;=90,"A+",IF(M18&gt;=80,"A",IF(M18&gt;=70,"B+",IF(M18&gt;=60,"B",IF(M18&gt;=50,"C","F")))))</f>
        <v>A</v>
      </c>
      <c r="O18" s="69" t="n">
        <f aca="false">IF(M18&gt;=90,4,IF(M18&gt;=80,3.7,IF(M18&gt;=70,3.3,IF(M18&gt;=60,3,IF(M18&gt;=50,2,0)))))</f>
        <v>3.7</v>
      </c>
      <c r="P18" s="47" t="n">
        <v>0.964</v>
      </c>
      <c r="Q18" s="70" t="n">
        <v>82</v>
      </c>
      <c r="R18" s="70" t="n">
        <v>66.8</v>
      </c>
      <c r="S18" s="43" t="str">
        <f aca="false">IF(M18&gt;=40,"Pass","Fail")</f>
        <v>Pass</v>
      </c>
      <c r="T18" s="43" t="str">
        <f aca="false">IF(M18&gt;=80,"Yes","No")</f>
        <v>Yes</v>
      </c>
    </row>
    <row r="19" customFormat="false" ht="15" hidden="false" customHeight="false" outlineLevel="0" collapsed="false">
      <c r="A19" s="34" t="s">
        <v>2811</v>
      </c>
      <c r="B19" s="35" t="s">
        <v>2812</v>
      </c>
      <c r="C19" s="34" t="s">
        <v>2781</v>
      </c>
      <c r="D19" s="42" t="n">
        <v>8</v>
      </c>
      <c r="E19" s="34" t="s">
        <v>2782</v>
      </c>
      <c r="F19" s="35" t="s">
        <v>2778</v>
      </c>
      <c r="G19" s="63" t="n">
        <v>58</v>
      </c>
      <c r="H19" s="35" t="s">
        <v>2791</v>
      </c>
      <c r="I19" s="63" t="n">
        <v>30</v>
      </c>
      <c r="J19" s="35" t="s">
        <v>2765</v>
      </c>
      <c r="K19" s="63" t="n">
        <v>24</v>
      </c>
      <c r="L19" s="63" t="n">
        <f aca="false">G19+I19+K19</f>
        <v>112</v>
      </c>
      <c r="M19" s="64" t="n">
        <f aca="false">L19/300*100</f>
        <v>37.3333333333333</v>
      </c>
      <c r="N19" s="34" t="str">
        <f aca="false">IF(M19&gt;=90,"A+",IF(M19&gt;=80,"A",IF(M19&gt;=70,"B+",IF(M19&gt;=60,"B",IF(M19&gt;=50,"C","F")))))</f>
        <v>F</v>
      </c>
      <c r="O19" s="65" t="n">
        <f aca="false">IF(M19&gt;=90,4,IF(M19&gt;=80,3.7,IF(M19&gt;=70,3.3,IF(M19&gt;=60,3,IF(M19&gt;=50,2,0)))))</f>
        <v>0</v>
      </c>
      <c r="P19" s="38" t="n">
        <v>0.792</v>
      </c>
      <c r="Q19" s="66" t="n">
        <v>63.4</v>
      </c>
      <c r="R19" s="66" t="n">
        <v>83.1</v>
      </c>
      <c r="S19" s="34" t="str">
        <f aca="false">IF(M19&gt;=40,"Pass","Fail")</f>
        <v>Fail</v>
      </c>
      <c r="T19" s="34" t="str">
        <f aca="false">IF(M19&gt;=80,"Yes","No")</f>
        <v>No</v>
      </c>
    </row>
    <row r="20" customFormat="false" ht="15" hidden="false" customHeight="false" outlineLevel="0" collapsed="false">
      <c r="A20" s="43" t="s">
        <v>2813</v>
      </c>
      <c r="B20" s="44" t="s">
        <v>2814</v>
      </c>
      <c r="C20" s="43" t="s">
        <v>2781</v>
      </c>
      <c r="D20" s="51" t="n">
        <v>5</v>
      </c>
      <c r="E20" s="43" t="s">
        <v>2774</v>
      </c>
      <c r="F20" s="44" t="s">
        <v>2792</v>
      </c>
      <c r="G20" s="67" t="n">
        <v>86</v>
      </c>
      <c r="H20" s="44" t="s">
        <v>2766</v>
      </c>
      <c r="I20" s="67" t="n">
        <v>63</v>
      </c>
      <c r="J20" s="44" t="s">
        <v>2771</v>
      </c>
      <c r="K20" s="67" t="n">
        <v>40</v>
      </c>
      <c r="L20" s="67" t="n">
        <f aca="false">G20+I20+K20</f>
        <v>189</v>
      </c>
      <c r="M20" s="68" t="n">
        <f aca="false">L20/300*100</f>
        <v>63</v>
      </c>
      <c r="N20" s="43" t="str">
        <f aca="false">IF(M20&gt;=90,"A+",IF(M20&gt;=80,"A",IF(M20&gt;=70,"B+",IF(M20&gt;=60,"B",IF(M20&gt;=50,"C","F")))))</f>
        <v>B</v>
      </c>
      <c r="O20" s="69" t="n">
        <f aca="false">IF(M20&gt;=90,4,IF(M20&gt;=80,3.7,IF(M20&gt;=70,3.3,IF(M20&gt;=60,3,IF(M20&gt;=50,2,0)))))</f>
        <v>3</v>
      </c>
      <c r="P20" s="47" t="n">
        <v>0.561</v>
      </c>
      <c r="Q20" s="70" t="n">
        <v>93.4</v>
      </c>
      <c r="R20" s="70" t="n">
        <v>72.4</v>
      </c>
      <c r="S20" s="43" t="str">
        <f aca="false">IF(M20&gt;=40,"Pass","Fail")</f>
        <v>Pass</v>
      </c>
      <c r="T20" s="43" t="str">
        <f aca="false">IF(M20&gt;=80,"Yes","No")</f>
        <v>No</v>
      </c>
    </row>
    <row r="21" customFormat="false" ht="15" hidden="false" customHeight="false" outlineLevel="0" collapsed="false">
      <c r="A21" s="34" t="s">
        <v>2815</v>
      </c>
      <c r="B21" s="35" t="s">
        <v>2816</v>
      </c>
      <c r="C21" s="34" t="s">
        <v>2803</v>
      </c>
      <c r="D21" s="42" t="n">
        <v>4</v>
      </c>
      <c r="E21" s="34" t="s">
        <v>2763</v>
      </c>
      <c r="F21" s="35" t="s">
        <v>2791</v>
      </c>
      <c r="G21" s="63" t="n">
        <v>27</v>
      </c>
      <c r="H21" s="35" t="s">
        <v>2766</v>
      </c>
      <c r="I21" s="63" t="n">
        <v>67</v>
      </c>
      <c r="J21" s="35" t="s">
        <v>2792</v>
      </c>
      <c r="K21" s="63" t="n">
        <v>53</v>
      </c>
      <c r="L21" s="63" t="n">
        <f aca="false">G21+I21+K21</f>
        <v>147</v>
      </c>
      <c r="M21" s="64" t="n">
        <f aca="false">L21/300*100</f>
        <v>49</v>
      </c>
      <c r="N21" s="34" t="str">
        <f aca="false">IF(M21&gt;=90,"A+",IF(M21&gt;=80,"A",IF(M21&gt;=70,"B+",IF(M21&gt;=60,"B",IF(M21&gt;=50,"C","F")))))</f>
        <v>F</v>
      </c>
      <c r="O21" s="65" t="n">
        <f aca="false">IF(M21&gt;=90,4,IF(M21&gt;=80,3.7,IF(M21&gt;=70,3.3,IF(M21&gt;=60,3,IF(M21&gt;=50,2,0)))))</f>
        <v>0</v>
      </c>
      <c r="P21" s="38" t="n">
        <v>0.832</v>
      </c>
      <c r="Q21" s="66" t="n">
        <v>61.3</v>
      </c>
      <c r="R21" s="66" t="n">
        <v>42.9</v>
      </c>
      <c r="S21" s="34" t="str">
        <f aca="false">IF(M21&gt;=40,"Pass","Fail")</f>
        <v>Pass</v>
      </c>
      <c r="T21" s="34" t="str">
        <f aca="false">IF(M21&gt;=80,"Yes","No")</f>
        <v>No</v>
      </c>
    </row>
    <row r="22" customFormat="false" ht="15" hidden="false" customHeight="false" outlineLevel="0" collapsed="false">
      <c r="A22" s="43" t="s">
        <v>2817</v>
      </c>
      <c r="B22" s="44" t="s">
        <v>2818</v>
      </c>
      <c r="C22" s="43" t="s">
        <v>2769</v>
      </c>
      <c r="D22" s="51" t="n">
        <v>2</v>
      </c>
      <c r="E22" s="43" t="s">
        <v>2763</v>
      </c>
      <c r="F22" s="44" t="s">
        <v>2771</v>
      </c>
      <c r="G22" s="67" t="n">
        <v>63</v>
      </c>
      <c r="H22" s="44" t="s">
        <v>2775</v>
      </c>
      <c r="I22" s="67" t="n">
        <v>50</v>
      </c>
      <c r="J22" s="44" t="s">
        <v>2770</v>
      </c>
      <c r="K22" s="67" t="n">
        <v>94</v>
      </c>
      <c r="L22" s="67" t="n">
        <f aca="false">G22+I22+K22</f>
        <v>207</v>
      </c>
      <c r="M22" s="68" t="n">
        <f aca="false">L22/300*100</f>
        <v>69</v>
      </c>
      <c r="N22" s="43" t="str">
        <f aca="false">IF(M22&gt;=90,"A+",IF(M22&gt;=80,"A",IF(M22&gt;=70,"B+",IF(M22&gt;=60,"B",IF(M22&gt;=50,"C","F")))))</f>
        <v>B</v>
      </c>
      <c r="O22" s="69" t="n">
        <f aca="false">IF(M22&gt;=90,4,IF(M22&gt;=80,3.7,IF(M22&gt;=70,3.3,IF(M22&gt;=60,3,IF(M22&gt;=50,2,0)))))</f>
        <v>3</v>
      </c>
      <c r="P22" s="47" t="n">
        <v>0.805</v>
      </c>
      <c r="Q22" s="70" t="n">
        <v>93.7</v>
      </c>
      <c r="R22" s="70" t="n">
        <v>77.7</v>
      </c>
      <c r="S22" s="43" t="str">
        <f aca="false">IF(M22&gt;=40,"Pass","Fail")</f>
        <v>Pass</v>
      </c>
      <c r="T22" s="43" t="str">
        <f aca="false">IF(M22&gt;=80,"Yes","No")</f>
        <v>No</v>
      </c>
    </row>
    <row r="23" customFormat="false" ht="15" hidden="false" customHeight="false" outlineLevel="0" collapsed="false">
      <c r="A23" s="34" t="s">
        <v>2819</v>
      </c>
      <c r="B23" s="35" t="s">
        <v>2820</v>
      </c>
      <c r="C23" s="34" t="s">
        <v>2806</v>
      </c>
      <c r="D23" s="42" t="n">
        <v>4</v>
      </c>
      <c r="E23" s="34" t="s">
        <v>2763</v>
      </c>
      <c r="F23" s="35" t="s">
        <v>2771</v>
      </c>
      <c r="G23" s="63" t="n">
        <v>68</v>
      </c>
      <c r="H23" s="35" t="s">
        <v>2764</v>
      </c>
      <c r="I23" s="63" t="n">
        <v>86</v>
      </c>
      <c r="J23" s="35" t="s">
        <v>2783</v>
      </c>
      <c r="K23" s="63" t="n">
        <v>51</v>
      </c>
      <c r="L23" s="63" t="n">
        <f aca="false">G23+I23+K23</f>
        <v>205</v>
      </c>
      <c r="M23" s="64" t="n">
        <f aca="false">L23/300*100</f>
        <v>68.3333333333333</v>
      </c>
      <c r="N23" s="34" t="str">
        <f aca="false">IF(M23&gt;=90,"A+",IF(M23&gt;=80,"A",IF(M23&gt;=70,"B+",IF(M23&gt;=60,"B",IF(M23&gt;=50,"C","F")))))</f>
        <v>B</v>
      </c>
      <c r="O23" s="65" t="n">
        <f aca="false">IF(M23&gt;=90,4,IF(M23&gt;=80,3.7,IF(M23&gt;=70,3.3,IF(M23&gt;=60,3,IF(M23&gt;=50,2,0)))))</f>
        <v>3</v>
      </c>
      <c r="P23" s="38" t="n">
        <v>0.597</v>
      </c>
      <c r="Q23" s="66" t="n">
        <v>71</v>
      </c>
      <c r="R23" s="66" t="n">
        <v>51.6</v>
      </c>
      <c r="S23" s="34" t="str">
        <f aca="false">IF(M23&gt;=40,"Pass","Fail")</f>
        <v>Pass</v>
      </c>
      <c r="T23" s="34" t="str">
        <f aca="false">IF(M23&gt;=80,"Yes","No")</f>
        <v>No</v>
      </c>
    </row>
    <row r="24" customFormat="false" ht="15" hidden="false" customHeight="false" outlineLevel="0" collapsed="false">
      <c r="A24" s="43" t="s">
        <v>2821</v>
      </c>
      <c r="B24" s="44" t="s">
        <v>2822</v>
      </c>
      <c r="C24" s="43" t="s">
        <v>2786</v>
      </c>
      <c r="D24" s="51" t="n">
        <v>6</v>
      </c>
      <c r="E24" s="43" t="s">
        <v>2763</v>
      </c>
      <c r="F24" s="44" t="s">
        <v>2792</v>
      </c>
      <c r="G24" s="67" t="n">
        <v>72</v>
      </c>
      <c r="H24" s="44" t="s">
        <v>2783</v>
      </c>
      <c r="I24" s="67" t="n">
        <v>30</v>
      </c>
      <c r="J24" s="44" t="s">
        <v>2791</v>
      </c>
      <c r="K24" s="67" t="n">
        <v>31</v>
      </c>
      <c r="L24" s="67" t="n">
        <f aca="false">G24+I24+K24</f>
        <v>133</v>
      </c>
      <c r="M24" s="68" t="n">
        <f aca="false">L24/300*100</f>
        <v>44.3333333333333</v>
      </c>
      <c r="N24" s="43" t="str">
        <f aca="false">IF(M24&gt;=90,"A+",IF(M24&gt;=80,"A",IF(M24&gt;=70,"B+",IF(M24&gt;=60,"B",IF(M24&gt;=50,"C","F")))))</f>
        <v>F</v>
      </c>
      <c r="O24" s="69" t="n">
        <f aca="false">IF(M24&gt;=90,4,IF(M24&gt;=80,3.7,IF(M24&gt;=70,3.3,IF(M24&gt;=60,3,IF(M24&gt;=50,2,0)))))</f>
        <v>0</v>
      </c>
      <c r="P24" s="47" t="n">
        <v>0.578</v>
      </c>
      <c r="Q24" s="70" t="n">
        <v>93.3</v>
      </c>
      <c r="R24" s="70" t="n">
        <v>68.6</v>
      </c>
      <c r="S24" s="43" t="str">
        <f aca="false">IF(M24&gt;=40,"Pass","Fail")</f>
        <v>Pass</v>
      </c>
      <c r="T24" s="43" t="str">
        <f aca="false">IF(M24&gt;=80,"Yes","No")</f>
        <v>No</v>
      </c>
    </row>
    <row r="25" customFormat="false" ht="15" hidden="false" customHeight="false" outlineLevel="0" collapsed="false">
      <c r="A25" s="34" t="s">
        <v>2823</v>
      </c>
      <c r="B25" s="35" t="s">
        <v>2824</v>
      </c>
      <c r="C25" s="34" t="s">
        <v>2762</v>
      </c>
      <c r="D25" s="42" t="n">
        <v>2</v>
      </c>
      <c r="E25" s="34" t="s">
        <v>2763</v>
      </c>
      <c r="F25" s="35" t="s">
        <v>2766</v>
      </c>
      <c r="G25" s="63" t="n">
        <v>53</v>
      </c>
      <c r="H25" s="35" t="s">
        <v>2791</v>
      </c>
      <c r="I25" s="63" t="n">
        <v>94</v>
      </c>
      <c r="J25" s="35" t="s">
        <v>2764</v>
      </c>
      <c r="K25" s="63" t="n">
        <v>83</v>
      </c>
      <c r="L25" s="63" t="n">
        <f aca="false">G25+I25+K25</f>
        <v>230</v>
      </c>
      <c r="M25" s="64" t="n">
        <f aca="false">L25/300*100</f>
        <v>76.6666666666667</v>
      </c>
      <c r="N25" s="34" t="str">
        <f aca="false">IF(M25&gt;=90,"A+",IF(M25&gt;=80,"A",IF(M25&gt;=70,"B+",IF(M25&gt;=60,"B",IF(M25&gt;=50,"C","F")))))</f>
        <v>B+</v>
      </c>
      <c r="O25" s="65" t="n">
        <f aca="false">IF(M25&gt;=90,4,IF(M25&gt;=80,3.7,IF(M25&gt;=70,3.3,IF(M25&gt;=60,3,IF(M25&gt;=50,2,0)))))</f>
        <v>3.3</v>
      </c>
      <c r="P25" s="38" t="n">
        <v>0.836</v>
      </c>
      <c r="Q25" s="66" t="n">
        <v>99.8</v>
      </c>
      <c r="R25" s="66" t="n">
        <v>81.3</v>
      </c>
      <c r="S25" s="34" t="str">
        <f aca="false">IF(M25&gt;=40,"Pass","Fail")</f>
        <v>Pass</v>
      </c>
      <c r="T25" s="34" t="str">
        <f aca="false">IF(M25&gt;=80,"Yes","No")</f>
        <v>No</v>
      </c>
    </row>
    <row r="26" customFormat="false" ht="15" hidden="false" customHeight="false" outlineLevel="0" collapsed="false">
      <c r="A26" s="43" t="s">
        <v>2825</v>
      </c>
      <c r="B26" s="44" t="s">
        <v>2826</v>
      </c>
      <c r="C26" s="43" t="s">
        <v>2762</v>
      </c>
      <c r="D26" s="51" t="n">
        <v>7</v>
      </c>
      <c r="E26" s="43" t="s">
        <v>2774</v>
      </c>
      <c r="F26" s="44" t="s">
        <v>2783</v>
      </c>
      <c r="G26" s="67" t="n">
        <v>82</v>
      </c>
      <c r="H26" s="44" t="s">
        <v>2766</v>
      </c>
      <c r="I26" s="67" t="n">
        <v>78</v>
      </c>
      <c r="J26" s="44" t="s">
        <v>2764</v>
      </c>
      <c r="K26" s="67" t="n">
        <v>36</v>
      </c>
      <c r="L26" s="67" t="n">
        <f aca="false">G26+I26+K26</f>
        <v>196</v>
      </c>
      <c r="M26" s="68" t="n">
        <f aca="false">L26/300*100</f>
        <v>65.3333333333333</v>
      </c>
      <c r="N26" s="43" t="str">
        <f aca="false">IF(M26&gt;=90,"A+",IF(M26&gt;=80,"A",IF(M26&gt;=70,"B+",IF(M26&gt;=60,"B",IF(M26&gt;=50,"C","F")))))</f>
        <v>B</v>
      </c>
      <c r="O26" s="69" t="n">
        <f aca="false">IF(M26&gt;=90,4,IF(M26&gt;=80,3.7,IF(M26&gt;=70,3.3,IF(M26&gt;=60,3,IF(M26&gt;=50,2,0)))))</f>
        <v>3</v>
      </c>
      <c r="P26" s="47" t="n">
        <v>0.986</v>
      </c>
      <c r="Q26" s="70" t="n">
        <v>70.8</v>
      </c>
      <c r="R26" s="70" t="n">
        <v>71.7</v>
      </c>
      <c r="S26" s="43" t="str">
        <f aca="false">IF(M26&gt;=40,"Pass","Fail")</f>
        <v>Pass</v>
      </c>
      <c r="T26" s="43" t="str">
        <f aca="false">IF(M26&gt;=80,"Yes","No")</f>
        <v>No</v>
      </c>
    </row>
    <row r="27" customFormat="false" ht="15" hidden="false" customHeight="false" outlineLevel="0" collapsed="false">
      <c r="A27" s="34" t="s">
        <v>2827</v>
      </c>
      <c r="B27" s="35" t="s">
        <v>2828</v>
      </c>
      <c r="C27" s="34" t="s">
        <v>2769</v>
      </c>
      <c r="D27" s="42" t="n">
        <v>4</v>
      </c>
      <c r="E27" s="34" t="s">
        <v>2763</v>
      </c>
      <c r="F27" s="35" t="s">
        <v>2770</v>
      </c>
      <c r="G27" s="63" t="n">
        <v>91</v>
      </c>
      <c r="H27" s="35" t="s">
        <v>2775</v>
      </c>
      <c r="I27" s="63" t="n">
        <v>67</v>
      </c>
      <c r="J27" s="35" t="s">
        <v>2783</v>
      </c>
      <c r="K27" s="63" t="n">
        <v>35</v>
      </c>
      <c r="L27" s="63" t="n">
        <f aca="false">G27+I27+K27</f>
        <v>193</v>
      </c>
      <c r="M27" s="64" t="n">
        <f aca="false">L27/300*100</f>
        <v>64.3333333333333</v>
      </c>
      <c r="N27" s="34" t="str">
        <f aca="false">IF(M27&gt;=90,"A+",IF(M27&gt;=80,"A",IF(M27&gt;=70,"B+",IF(M27&gt;=60,"B",IF(M27&gt;=50,"C","F")))))</f>
        <v>B</v>
      </c>
      <c r="O27" s="65" t="n">
        <f aca="false">IF(M27&gt;=90,4,IF(M27&gt;=80,3.7,IF(M27&gt;=70,3.3,IF(M27&gt;=60,3,IF(M27&gt;=50,2,0)))))</f>
        <v>3</v>
      </c>
      <c r="P27" s="38" t="n">
        <v>0.821</v>
      </c>
      <c r="Q27" s="66" t="n">
        <v>64.5</v>
      </c>
      <c r="R27" s="66" t="n">
        <v>47.3</v>
      </c>
      <c r="S27" s="34" t="str">
        <f aca="false">IF(M27&gt;=40,"Pass","Fail")</f>
        <v>Pass</v>
      </c>
      <c r="T27" s="34" t="str">
        <f aca="false">IF(M27&gt;=80,"Yes","No")</f>
        <v>No</v>
      </c>
    </row>
    <row r="28" customFormat="false" ht="15" hidden="false" customHeight="false" outlineLevel="0" collapsed="false">
      <c r="A28" s="43" t="s">
        <v>2829</v>
      </c>
      <c r="B28" s="44" t="s">
        <v>2830</v>
      </c>
      <c r="C28" s="43" t="s">
        <v>2806</v>
      </c>
      <c r="D28" s="51" t="n">
        <v>5</v>
      </c>
      <c r="E28" s="43" t="s">
        <v>2774</v>
      </c>
      <c r="F28" s="44" t="s">
        <v>2766</v>
      </c>
      <c r="G28" s="67" t="n">
        <v>67</v>
      </c>
      <c r="H28" s="44" t="s">
        <v>2783</v>
      </c>
      <c r="I28" s="67" t="n">
        <v>59</v>
      </c>
      <c r="J28" s="44" t="s">
        <v>2792</v>
      </c>
      <c r="K28" s="67" t="n">
        <v>67</v>
      </c>
      <c r="L28" s="67" t="n">
        <f aca="false">G28+I28+K28</f>
        <v>193</v>
      </c>
      <c r="M28" s="68" t="n">
        <f aca="false">L28/300*100</f>
        <v>64.3333333333333</v>
      </c>
      <c r="N28" s="43" t="str">
        <f aca="false">IF(M28&gt;=90,"A+",IF(M28&gt;=80,"A",IF(M28&gt;=70,"B+",IF(M28&gt;=60,"B",IF(M28&gt;=50,"C","F")))))</f>
        <v>B</v>
      </c>
      <c r="O28" s="69" t="n">
        <f aca="false">IF(M28&gt;=90,4,IF(M28&gt;=80,3.7,IF(M28&gt;=70,3.3,IF(M28&gt;=60,3,IF(M28&gt;=50,2,0)))))</f>
        <v>3</v>
      </c>
      <c r="P28" s="47" t="n">
        <v>0.686</v>
      </c>
      <c r="Q28" s="70" t="n">
        <v>69.2</v>
      </c>
      <c r="R28" s="70" t="n">
        <v>87.5</v>
      </c>
      <c r="S28" s="43" t="str">
        <f aca="false">IF(M28&gt;=40,"Pass","Fail")</f>
        <v>Pass</v>
      </c>
      <c r="T28" s="43" t="str">
        <f aca="false">IF(M28&gt;=80,"Yes","No")</f>
        <v>No</v>
      </c>
    </row>
    <row r="29" customFormat="false" ht="15" hidden="false" customHeight="false" outlineLevel="0" collapsed="false">
      <c r="A29" s="34" t="s">
        <v>2831</v>
      </c>
      <c r="B29" s="35" t="s">
        <v>2832</v>
      </c>
      <c r="C29" s="34" t="s">
        <v>2781</v>
      </c>
      <c r="D29" s="42" t="n">
        <v>7</v>
      </c>
      <c r="E29" s="34" t="s">
        <v>2774</v>
      </c>
      <c r="F29" s="35" t="s">
        <v>2771</v>
      </c>
      <c r="G29" s="63" t="n">
        <v>43</v>
      </c>
      <c r="H29" s="35" t="s">
        <v>2764</v>
      </c>
      <c r="I29" s="63" t="n">
        <v>82</v>
      </c>
      <c r="J29" s="35" t="s">
        <v>2765</v>
      </c>
      <c r="K29" s="63" t="n">
        <v>20</v>
      </c>
      <c r="L29" s="63" t="n">
        <f aca="false">G29+I29+K29</f>
        <v>145</v>
      </c>
      <c r="M29" s="64" t="n">
        <f aca="false">L29/300*100</f>
        <v>48.3333333333333</v>
      </c>
      <c r="N29" s="34" t="str">
        <f aca="false">IF(M29&gt;=90,"A+",IF(M29&gt;=80,"A",IF(M29&gt;=70,"B+",IF(M29&gt;=60,"B",IF(M29&gt;=50,"C","F")))))</f>
        <v>F</v>
      </c>
      <c r="O29" s="65" t="n">
        <f aca="false">IF(M29&gt;=90,4,IF(M29&gt;=80,3.7,IF(M29&gt;=70,3.3,IF(M29&gt;=60,3,IF(M29&gt;=50,2,0)))))</f>
        <v>0</v>
      </c>
      <c r="P29" s="38" t="n">
        <v>0.605</v>
      </c>
      <c r="Q29" s="66" t="n">
        <v>60.9</v>
      </c>
      <c r="R29" s="66" t="n">
        <v>92.2</v>
      </c>
      <c r="S29" s="34" t="str">
        <f aca="false">IF(M29&gt;=40,"Pass","Fail")</f>
        <v>Pass</v>
      </c>
      <c r="T29" s="34" t="str">
        <f aca="false">IF(M29&gt;=80,"Yes","No")</f>
        <v>No</v>
      </c>
    </row>
    <row r="30" customFormat="false" ht="15" hidden="false" customHeight="false" outlineLevel="0" collapsed="false">
      <c r="A30" s="43" t="s">
        <v>2833</v>
      </c>
      <c r="B30" s="44" t="s">
        <v>2834</v>
      </c>
      <c r="C30" s="43" t="s">
        <v>2762</v>
      </c>
      <c r="D30" s="51" t="n">
        <v>8</v>
      </c>
      <c r="E30" s="43" t="s">
        <v>2782</v>
      </c>
      <c r="F30" s="44" t="s">
        <v>2771</v>
      </c>
      <c r="G30" s="67" t="n">
        <v>68</v>
      </c>
      <c r="H30" s="44" t="s">
        <v>2770</v>
      </c>
      <c r="I30" s="67" t="n">
        <v>80</v>
      </c>
      <c r="J30" s="44" t="s">
        <v>2778</v>
      </c>
      <c r="K30" s="67" t="n">
        <v>97</v>
      </c>
      <c r="L30" s="67" t="n">
        <f aca="false">G30+I30+K30</f>
        <v>245</v>
      </c>
      <c r="M30" s="68" t="n">
        <f aca="false">L30/300*100</f>
        <v>81.6666666666667</v>
      </c>
      <c r="N30" s="43" t="str">
        <f aca="false">IF(M30&gt;=90,"A+",IF(M30&gt;=80,"A",IF(M30&gt;=70,"B+",IF(M30&gt;=60,"B",IF(M30&gt;=50,"C","F")))))</f>
        <v>A</v>
      </c>
      <c r="O30" s="69" t="n">
        <f aca="false">IF(M30&gt;=90,4,IF(M30&gt;=80,3.7,IF(M30&gt;=70,3.3,IF(M30&gt;=60,3,IF(M30&gt;=50,2,0)))))</f>
        <v>3.7</v>
      </c>
      <c r="P30" s="47" t="n">
        <v>0.61</v>
      </c>
      <c r="Q30" s="70" t="n">
        <v>48.3</v>
      </c>
      <c r="R30" s="70" t="n">
        <v>78.2</v>
      </c>
      <c r="S30" s="43" t="str">
        <f aca="false">IF(M30&gt;=40,"Pass","Fail")</f>
        <v>Pass</v>
      </c>
      <c r="T30" s="43" t="str">
        <f aca="false">IF(M30&gt;=80,"Yes","No")</f>
        <v>Yes</v>
      </c>
    </row>
    <row r="31" customFormat="false" ht="15" hidden="false" customHeight="false" outlineLevel="0" collapsed="false">
      <c r="A31" s="34" t="s">
        <v>2835</v>
      </c>
      <c r="B31" s="35" t="s">
        <v>2836</v>
      </c>
      <c r="C31" s="34" t="s">
        <v>2786</v>
      </c>
      <c r="D31" s="42" t="n">
        <v>8</v>
      </c>
      <c r="E31" s="34" t="s">
        <v>2782</v>
      </c>
      <c r="F31" s="35" t="s">
        <v>2770</v>
      </c>
      <c r="G31" s="63" t="n">
        <v>31</v>
      </c>
      <c r="H31" s="35" t="s">
        <v>2783</v>
      </c>
      <c r="I31" s="63" t="n">
        <v>99</v>
      </c>
      <c r="J31" s="35" t="s">
        <v>2778</v>
      </c>
      <c r="K31" s="63" t="n">
        <v>99</v>
      </c>
      <c r="L31" s="63" t="n">
        <f aca="false">G31+I31+K31</f>
        <v>229</v>
      </c>
      <c r="M31" s="64" t="n">
        <f aca="false">L31/300*100</f>
        <v>76.3333333333333</v>
      </c>
      <c r="N31" s="34" t="str">
        <f aca="false">IF(M31&gt;=90,"A+",IF(M31&gt;=80,"A",IF(M31&gt;=70,"B+",IF(M31&gt;=60,"B",IF(M31&gt;=50,"C","F")))))</f>
        <v>B+</v>
      </c>
      <c r="O31" s="65" t="n">
        <f aca="false">IF(M31&gt;=90,4,IF(M31&gt;=80,3.7,IF(M31&gt;=70,3.3,IF(M31&gt;=60,3,IF(M31&gt;=50,2,0)))))</f>
        <v>3.3</v>
      </c>
      <c r="P31" s="38" t="n">
        <v>0.734</v>
      </c>
      <c r="Q31" s="66" t="n">
        <v>54</v>
      </c>
      <c r="R31" s="66" t="n">
        <v>63.7</v>
      </c>
      <c r="S31" s="34" t="str">
        <f aca="false">IF(M31&gt;=40,"Pass","Fail")</f>
        <v>Pass</v>
      </c>
      <c r="T31" s="34" t="str">
        <f aca="false">IF(M31&gt;=80,"Yes","No")</f>
        <v>No</v>
      </c>
    </row>
    <row r="32" customFormat="false" ht="15" hidden="false" customHeight="false" outlineLevel="0" collapsed="false">
      <c r="A32" s="43" t="s">
        <v>2837</v>
      </c>
      <c r="B32" s="44" t="s">
        <v>2838</v>
      </c>
      <c r="C32" s="43" t="s">
        <v>2806</v>
      </c>
      <c r="D32" s="51" t="n">
        <v>1</v>
      </c>
      <c r="E32" s="43" t="s">
        <v>2782</v>
      </c>
      <c r="F32" s="44" t="s">
        <v>2770</v>
      </c>
      <c r="G32" s="67" t="n">
        <v>41</v>
      </c>
      <c r="H32" s="44" t="s">
        <v>2771</v>
      </c>
      <c r="I32" s="67" t="n">
        <v>23</v>
      </c>
      <c r="J32" s="44" t="s">
        <v>2792</v>
      </c>
      <c r="K32" s="67" t="n">
        <v>93</v>
      </c>
      <c r="L32" s="67" t="n">
        <f aca="false">G32+I32+K32</f>
        <v>157</v>
      </c>
      <c r="M32" s="68" t="n">
        <f aca="false">L32/300*100</f>
        <v>52.3333333333333</v>
      </c>
      <c r="N32" s="43" t="str">
        <f aca="false">IF(M32&gt;=90,"A+",IF(M32&gt;=80,"A",IF(M32&gt;=70,"B+",IF(M32&gt;=60,"B",IF(M32&gt;=50,"C","F")))))</f>
        <v>C</v>
      </c>
      <c r="O32" s="69" t="n">
        <f aca="false">IF(M32&gt;=90,4,IF(M32&gt;=80,3.7,IF(M32&gt;=70,3.3,IF(M32&gt;=60,3,IF(M32&gt;=50,2,0)))))</f>
        <v>2</v>
      </c>
      <c r="P32" s="47" t="n">
        <v>0.834</v>
      </c>
      <c r="Q32" s="70" t="n">
        <v>86.3</v>
      </c>
      <c r="R32" s="70" t="n">
        <v>58.5</v>
      </c>
      <c r="S32" s="43" t="str">
        <f aca="false">IF(M32&gt;=40,"Pass","Fail")</f>
        <v>Pass</v>
      </c>
      <c r="T32" s="43" t="str">
        <f aca="false">IF(M32&gt;=80,"Yes","No")</f>
        <v>No</v>
      </c>
    </row>
    <row r="33" customFormat="false" ht="15" hidden="false" customHeight="false" outlineLevel="0" collapsed="false">
      <c r="A33" s="34" t="s">
        <v>2839</v>
      </c>
      <c r="B33" s="35" t="s">
        <v>2840</v>
      </c>
      <c r="C33" s="34" t="s">
        <v>2769</v>
      </c>
      <c r="D33" s="42" t="n">
        <v>2</v>
      </c>
      <c r="E33" s="34" t="s">
        <v>2782</v>
      </c>
      <c r="F33" s="35" t="s">
        <v>2766</v>
      </c>
      <c r="G33" s="63" t="n">
        <v>99</v>
      </c>
      <c r="H33" s="35" t="s">
        <v>2792</v>
      </c>
      <c r="I33" s="63" t="n">
        <v>89</v>
      </c>
      <c r="J33" s="35" t="s">
        <v>2765</v>
      </c>
      <c r="K33" s="63" t="n">
        <v>93</v>
      </c>
      <c r="L33" s="63" t="n">
        <f aca="false">G33+I33+K33</f>
        <v>281</v>
      </c>
      <c r="M33" s="64" t="n">
        <f aca="false">L33/300*100</f>
        <v>93.6666666666667</v>
      </c>
      <c r="N33" s="34" t="str">
        <f aca="false">IF(M33&gt;=90,"A+",IF(M33&gt;=80,"A",IF(M33&gt;=70,"B+",IF(M33&gt;=60,"B",IF(M33&gt;=50,"C","F")))))</f>
        <v>A+</v>
      </c>
      <c r="O33" s="65" t="n">
        <f aca="false">IF(M33&gt;=90,4,IF(M33&gt;=80,3.7,IF(M33&gt;=70,3.3,IF(M33&gt;=60,3,IF(M33&gt;=50,2,0)))))</f>
        <v>4</v>
      </c>
      <c r="P33" s="38" t="n">
        <v>0.891</v>
      </c>
      <c r="Q33" s="66" t="n">
        <v>97.4</v>
      </c>
      <c r="R33" s="66" t="n">
        <v>71.3</v>
      </c>
      <c r="S33" s="34" t="str">
        <f aca="false">IF(M33&gt;=40,"Pass","Fail")</f>
        <v>Pass</v>
      </c>
      <c r="T33" s="34" t="str">
        <f aca="false">IF(M33&gt;=80,"Yes","No")</f>
        <v>Yes</v>
      </c>
    </row>
    <row r="34" customFormat="false" ht="15" hidden="false" customHeight="false" outlineLevel="0" collapsed="false">
      <c r="A34" s="43" t="s">
        <v>2841</v>
      </c>
      <c r="B34" s="44" t="s">
        <v>2842</v>
      </c>
      <c r="C34" s="43" t="s">
        <v>2786</v>
      </c>
      <c r="D34" s="51" t="n">
        <v>8</v>
      </c>
      <c r="E34" s="43" t="s">
        <v>2782</v>
      </c>
      <c r="F34" s="44" t="s">
        <v>2775</v>
      </c>
      <c r="G34" s="67" t="n">
        <v>22</v>
      </c>
      <c r="H34" s="44" t="s">
        <v>2792</v>
      </c>
      <c r="I34" s="67" t="n">
        <v>55</v>
      </c>
      <c r="J34" s="44" t="s">
        <v>2783</v>
      </c>
      <c r="K34" s="67" t="n">
        <v>46</v>
      </c>
      <c r="L34" s="67" t="n">
        <f aca="false">G34+I34+K34</f>
        <v>123</v>
      </c>
      <c r="M34" s="68" t="n">
        <f aca="false">L34/300*100</f>
        <v>41</v>
      </c>
      <c r="N34" s="43" t="str">
        <f aca="false">IF(M34&gt;=90,"A+",IF(M34&gt;=80,"A",IF(M34&gt;=70,"B+",IF(M34&gt;=60,"B",IF(M34&gt;=50,"C","F")))))</f>
        <v>F</v>
      </c>
      <c r="O34" s="69" t="n">
        <f aca="false">IF(M34&gt;=90,4,IF(M34&gt;=80,3.7,IF(M34&gt;=70,3.3,IF(M34&gt;=60,3,IF(M34&gt;=50,2,0)))))</f>
        <v>0</v>
      </c>
      <c r="P34" s="47" t="n">
        <v>0.66</v>
      </c>
      <c r="Q34" s="70" t="n">
        <v>82.3</v>
      </c>
      <c r="R34" s="70" t="n">
        <v>93.3</v>
      </c>
      <c r="S34" s="43" t="str">
        <f aca="false">IF(M34&gt;=40,"Pass","Fail")</f>
        <v>Pass</v>
      </c>
      <c r="T34" s="43" t="str">
        <f aca="false">IF(M34&gt;=80,"Yes","No")</f>
        <v>No</v>
      </c>
    </row>
    <row r="35" customFormat="false" ht="15" hidden="false" customHeight="false" outlineLevel="0" collapsed="false">
      <c r="A35" s="34" t="s">
        <v>2843</v>
      </c>
      <c r="B35" s="35" t="s">
        <v>2844</v>
      </c>
      <c r="C35" s="34" t="s">
        <v>2762</v>
      </c>
      <c r="D35" s="42" t="n">
        <v>2</v>
      </c>
      <c r="E35" s="34" t="s">
        <v>2782</v>
      </c>
      <c r="F35" s="35" t="s">
        <v>2764</v>
      </c>
      <c r="G35" s="63" t="n">
        <v>95</v>
      </c>
      <c r="H35" s="35" t="s">
        <v>2778</v>
      </c>
      <c r="I35" s="63" t="n">
        <v>25</v>
      </c>
      <c r="J35" s="35" t="s">
        <v>2791</v>
      </c>
      <c r="K35" s="63" t="n">
        <v>82</v>
      </c>
      <c r="L35" s="63" t="n">
        <f aca="false">G35+I35+K35</f>
        <v>202</v>
      </c>
      <c r="M35" s="64" t="n">
        <f aca="false">L35/300*100</f>
        <v>67.3333333333333</v>
      </c>
      <c r="N35" s="34" t="str">
        <f aca="false">IF(M35&gt;=90,"A+",IF(M35&gt;=80,"A",IF(M35&gt;=70,"B+",IF(M35&gt;=60,"B",IF(M35&gt;=50,"C","F")))))</f>
        <v>B</v>
      </c>
      <c r="O35" s="65" t="n">
        <f aca="false">IF(M35&gt;=90,4,IF(M35&gt;=80,3.7,IF(M35&gt;=70,3.3,IF(M35&gt;=60,3,IF(M35&gt;=50,2,0)))))</f>
        <v>3</v>
      </c>
      <c r="P35" s="38" t="n">
        <v>0.938</v>
      </c>
      <c r="Q35" s="66" t="n">
        <v>41.4</v>
      </c>
      <c r="R35" s="66" t="n">
        <v>66.2</v>
      </c>
      <c r="S35" s="34" t="str">
        <f aca="false">IF(M35&gt;=40,"Pass","Fail")</f>
        <v>Pass</v>
      </c>
      <c r="T35" s="34" t="str">
        <f aca="false">IF(M35&gt;=80,"Yes","No")</f>
        <v>No</v>
      </c>
    </row>
    <row r="36" customFormat="false" ht="15" hidden="false" customHeight="false" outlineLevel="0" collapsed="false">
      <c r="A36" s="43" t="s">
        <v>2845</v>
      </c>
      <c r="B36" s="44" t="s">
        <v>2846</v>
      </c>
      <c r="C36" s="43" t="s">
        <v>2762</v>
      </c>
      <c r="D36" s="51" t="n">
        <v>1</v>
      </c>
      <c r="E36" s="43" t="s">
        <v>2782</v>
      </c>
      <c r="F36" s="44" t="s">
        <v>2778</v>
      </c>
      <c r="G36" s="67" t="n">
        <v>31</v>
      </c>
      <c r="H36" s="44" t="s">
        <v>2791</v>
      </c>
      <c r="I36" s="67" t="n">
        <v>34</v>
      </c>
      <c r="J36" s="44" t="s">
        <v>2771</v>
      </c>
      <c r="K36" s="67" t="n">
        <v>32</v>
      </c>
      <c r="L36" s="67" t="n">
        <f aca="false">G36+I36+K36</f>
        <v>97</v>
      </c>
      <c r="M36" s="68" t="n">
        <f aca="false">L36/300*100</f>
        <v>32.3333333333333</v>
      </c>
      <c r="N36" s="43" t="str">
        <f aca="false">IF(M36&gt;=90,"A+",IF(M36&gt;=80,"A",IF(M36&gt;=70,"B+",IF(M36&gt;=60,"B",IF(M36&gt;=50,"C","F")))))</f>
        <v>F</v>
      </c>
      <c r="O36" s="69" t="n">
        <f aca="false">IF(M36&gt;=90,4,IF(M36&gt;=80,3.7,IF(M36&gt;=70,3.3,IF(M36&gt;=60,3,IF(M36&gt;=50,2,0)))))</f>
        <v>0</v>
      </c>
      <c r="P36" s="47" t="n">
        <v>0.794</v>
      </c>
      <c r="Q36" s="70" t="n">
        <v>57.1</v>
      </c>
      <c r="R36" s="70" t="n">
        <v>51</v>
      </c>
      <c r="S36" s="43" t="str">
        <f aca="false">IF(M36&gt;=40,"Pass","Fail")</f>
        <v>Fail</v>
      </c>
      <c r="T36" s="43" t="str">
        <f aca="false">IF(M36&gt;=80,"Yes","No")</f>
        <v>No</v>
      </c>
    </row>
    <row r="37" customFormat="false" ht="15" hidden="false" customHeight="false" outlineLevel="0" collapsed="false">
      <c r="A37" s="34" t="s">
        <v>2847</v>
      </c>
      <c r="B37" s="35" t="s">
        <v>2848</v>
      </c>
      <c r="C37" s="34" t="s">
        <v>2786</v>
      </c>
      <c r="D37" s="42" t="n">
        <v>2</v>
      </c>
      <c r="E37" s="34" t="s">
        <v>2774</v>
      </c>
      <c r="F37" s="35" t="s">
        <v>2771</v>
      </c>
      <c r="G37" s="63" t="n">
        <v>27</v>
      </c>
      <c r="H37" s="35" t="s">
        <v>2791</v>
      </c>
      <c r="I37" s="63" t="n">
        <v>98</v>
      </c>
      <c r="J37" s="35" t="s">
        <v>2783</v>
      </c>
      <c r="K37" s="63" t="n">
        <v>61</v>
      </c>
      <c r="L37" s="63" t="n">
        <f aca="false">G37+I37+K37</f>
        <v>186</v>
      </c>
      <c r="M37" s="64" t="n">
        <f aca="false">L37/300*100</f>
        <v>62</v>
      </c>
      <c r="N37" s="34" t="str">
        <f aca="false">IF(M37&gt;=90,"A+",IF(M37&gt;=80,"A",IF(M37&gt;=70,"B+",IF(M37&gt;=60,"B",IF(M37&gt;=50,"C","F")))))</f>
        <v>B</v>
      </c>
      <c r="O37" s="65" t="n">
        <f aca="false">IF(M37&gt;=90,4,IF(M37&gt;=80,3.7,IF(M37&gt;=70,3.3,IF(M37&gt;=60,3,IF(M37&gt;=50,2,0)))))</f>
        <v>3</v>
      </c>
      <c r="P37" s="38" t="n">
        <v>0.632</v>
      </c>
      <c r="Q37" s="66" t="n">
        <v>82.8</v>
      </c>
      <c r="R37" s="66" t="n">
        <v>57.9</v>
      </c>
      <c r="S37" s="34" t="str">
        <f aca="false">IF(M37&gt;=40,"Pass","Fail")</f>
        <v>Pass</v>
      </c>
      <c r="T37" s="34" t="str">
        <f aca="false">IF(M37&gt;=80,"Yes","No")</f>
        <v>No</v>
      </c>
    </row>
    <row r="38" customFormat="false" ht="15" hidden="false" customHeight="false" outlineLevel="0" collapsed="false">
      <c r="A38" s="43" t="s">
        <v>2849</v>
      </c>
      <c r="B38" s="44" t="s">
        <v>2850</v>
      </c>
      <c r="C38" s="43" t="s">
        <v>2851</v>
      </c>
      <c r="D38" s="51" t="n">
        <v>6</v>
      </c>
      <c r="E38" s="43" t="s">
        <v>2774</v>
      </c>
      <c r="F38" s="44" t="s">
        <v>2791</v>
      </c>
      <c r="G38" s="67" t="n">
        <v>68</v>
      </c>
      <c r="H38" s="44" t="s">
        <v>2778</v>
      </c>
      <c r="I38" s="67" t="n">
        <v>35</v>
      </c>
      <c r="J38" s="44" t="s">
        <v>2771</v>
      </c>
      <c r="K38" s="67" t="n">
        <v>26</v>
      </c>
      <c r="L38" s="67" t="n">
        <f aca="false">G38+I38+K38</f>
        <v>129</v>
      </c>
      <c r="M38" s="68" t="n">
        <f aca="false">L38/300*100</f>
        <v>43</v>
      </c>
      <c r="N38" s="43" t="str">
        <f aca="false">IF(M38&gt;=90,"A+",IF(M38&gt;=80,"A",IF(M38&gt;=70,"B+",IF(M38&gt;=60,"B",IF(M38&gt;=50,"C","F")))))</f>
        <v>F</v>
      </c>
      <c r="O38" s="69" t="n">
        <f aca="false">IF(M38&gt;=90,4,IF(M38&gt;=80,3.7,IF(M38&gt;=70,3.3,IF(M38&gt;=60,3,IF(M38&gt;=50,2,0)))))</f>
        <v>0</v>
      </c>
      <c r="P38" s="47" t="n">
        <v>0.641</v>
      </c>
      <c r="Q38" s="70" t="n">
        <v>85.1</v>
      </c>
      <c r="R38" s="70" t="n">
        <v>75.2</v>
      </c>
      <c r="S38" s="43" t="str">
        <f aca="false">IF(M38&gt;=40,"Pass","Fail")</f>
        <v>Pass</v>
      </c>
      <c r="T38" s="43" t="str">
        <f aca="false">IF(M38&gt;=80,"Yes","No")</f>
        <v>No</v>
      </c>
    </row>
    <row r="39" customFormat="false" ht="15" hidden="false" customHeight="false" outlineLevel="0" collapsed="false">
      <c r="A39" s="34" t="s">
        <v>2852</v>
      </c>
      <c r="B39" s="35" t="s">
        <v>2853</v>
      </c>
      <c r="C39" s="34" t="s">
        <v>2762</v>
      </c>
      <c r="D39" s="42" t="n">
        <v>7</v>
      </c>
      <c r="E39" s="34" t="s">
        <v>2774</v>
      </c>
      <c r="F39" s="35" t="s">
        <v>2771</v>
      </c>
      <c r="G39" s="63" t="n">
        <v>79</v>
      </c>
      <c r="H39" s="35" t="s">
        <v>2775</v>
      </c>
      <c r="I39" s="63" t="n">
        <v>90</v>
      </c>
      <c r="J39" s="35" t="s">
        <v>2778</v>
      </c>
      <c r="K39" s="63" t="n">
        <v>72</v>
      </c>
      <c r="L39" s="63" t="n">
        <f aca="false">G39+I39+K39</f>
        <v>241</v>
      </c>
      <c r="M39" s="64" t="n">
        <f aca="false">L39/300*100</f>
        <v>80.3333333333333</v>
      </c>
      <c r="N39" s="34" t="str">
        <f aca="false">IF(M39&gt;=90,"A+",IF(M39&gt;=80,"A",IF(M39&gt;=70,"B+",IF(M39&gt;=60,"B",IF(M39&gt;=50,"C","F")))))</f>
        <v>A</v>
      </c>
      <c r="O39" s="65" t="n">
        <f aca="false">IF(M39&gt;=90,4,IF(M39&gt;=80,3.7,IF(M39&gt;=70,3.3,IF(M39&gt;=60,3,IF(M39&gt;=50,2,0)))))</f>
        <v>3.7</v>
      </c>
      <c r="P39" s="38" t="n">
        <v>0.579</v>
      </c>
      <c r="Q39" s="66" t="n">
        <v>41.7</v>
      </c>
      <c r="R39" s="66" t="n">
        <v>78</v>
      </c>
      <c r="S39" s="34" t="str">
        <f aca="false">IF(M39&gt;=40,"Pass","Fail")</f>
        <v>Pass</v>
      </c>
      <c r="T39" s="34" t="str">
        <f aca="false">IF(M39&gt;=80,"Yes","No")</f>
        <v>Yes</v>
      </c>
    </row>
    <row r="40" customFormat="false" ht="15" hidden="false" customHeight="false" outlineLevel="0" collapsed="false">
      <c r="A40" s="43" t="s">
        <v>2854</v>
      </c>
      <c r="B40" s="44" t="s">
        <v>2855</v>
      </c>
      <c r="C40" s="43" t="s">
        <v>2851</v>
      </c>
      <c r="D40" s="51" t="n">
        <v>5</v>
      </c>
      <c r="E40" s="43" t="s">
        <v>2782</v>
      </c>
      <c r="F40" s="44" t="s">
        <v>2764</v>
      </c>
      <c r="G40" s="67" t="n">
        <v>91</v>
      </c>
      <c r="H40" s="44" t="s">
        <v>2792</v>
      </c>
      <c r="I40" s="67" t="n">
        <v>36</v>
      </c>
      <c r="J40" s="44" t="s">
        <v>2765</v>
      </c>
      <c r="K40" s="67" t="n">
        <v>58</v>
      </c>
      <c r="L40" s="67" t="n">
        <f aca="false">G40+I40+K40</f>
        <v>185</v>
      </c>
      <c r="M40" s="68" t="n">
        <f aca="false">L40/300*100</f>
        <v>61.6666666666667</v>
      </c>
      <c r="N40" s="43" t="str">
        <f aca="false">IF(M40&gt;=90,"A+",IF(M40&gt;=80,"A",IF(M40&gt;=70,"B+",IF(M40&gt;=60,"B",IF(M40&gt;=50,"C","F")))))</f>
        <v>B</v>
      </c>
      <c r="O40" s="69" t="n">
        <f aca="false">IF(M40&gt;=90,4,IF(M40&gt;=80,3.7,IF(M40&gt;=70,3.3,IF(M40&gt;=60,3,IF(M40&gt;=50,2,0)))))</f>
        <v>3</v>
      </c>
      <c r="P40" s="47" t="n">
        <v>0.806</v>
      </c>
      <c r="Q40" s="70" t="n">
        <v>66.8</v>
      </c>
      <c r="R40" s="70" t="n">
        <v>90.8</v>
      </c>
      <c r="S40" s="43" t="str">
        <f aca="false">IF(M40&gt;=40,"Pass","Fail")</f>
        <v>Pass</v>
      </c>
      <c r="T40" s="43" t="str">
        <f aca="false">IF(M40&gt;=80,"Yes","No")</f>
        <v>No</v>
      </c>
    </row>
    <row r="41" customFormat="false" ht="15" hidden="false" customHeight="false" outlineLevel="0" collapsed="false">
      <c r="A41" s="34" t="s">
        <v>2856</v>
      </c>
      <c r="B41" s="35" t="s">
        <v>2857</v>
      </c>
      <c r="C41" s="34" t="s">
        <v>2806</v>
      </c>
      <c r="D41" s="42" t="n">
        <v>4</v>
      </c>
      <c r="E41" s="34" t="s">
        <v>2774</v>
      </c>
      <c r="F41" s="35" t="s">
        <v>2778</v>
      </c>
      <c r="G41" s="63" t="n">
        <v>51</v>
      </c>
      <c r="H41" s="35" t="s">
        <v>2766</v>
      </c>
      <c r="I41" s="63" t="n">
        <v>88</v>
      </c>
      <c r="J41" s="35" t="s">
        <v>2783</v>
      </c>
      <c r="K41" s="63" t="n">
        <v>74</v>
      </c>
      <c r="L41" s="63" t="n">
        <f aca="false">G41+I41+K41</f>
        <v>213</v>
      </c>
      <c r="M41" s="64" t="n">
        <f aca="false">L41/300*100</f>
        <v>71</v>
      </c>
      <c r="N41" s="34" t="str">
        <f aca="false">IF(M41&gt;=90,"A+",IF(M41&gt;=80,"A",IF(M41&gt;=70,"B+",IF(M41&gt;=60,"B",IF(M41&gt;=50,"C","F")))))</f>
        <v>B+</v>
      </c>
      <c r="O41" s="65" t="n">
        <f aca="false">IF(M41&gt;=90,4,IF(M41&gt;=80,3.7,IF(M41&gt;=70,3.3,IF(M41&gt;=60,3,IF(M41&gt;=50,2,0)))))</f>
        <v>3.3</v>
      </c>
      <c r="P41" s="38" t="n">
        <v>0.983</v>
      </c>
      <c r="Q41" s="66" t="n">
        <v>73.3</v>
      </c>
      <c r="R41" s="66" t="n">
        <v>42.5</v>
      </c>
      <c r="S41" s="34" t="str">
        <f aca="false">IF(M41&gt;=40,"Pass","Fail")</f>
        <v>Pass</v>
      </c>
      <c r="T41" s="34" t="str">
        <f aca="false">IF(M41&gt;=80,"Yes","No")</f>
        <v>No</v>
      </c>
    </row>
    <row r="42" customFormat="false" ht="15" hidden="false" customHeight="false" outlineLevel="0" collapsed="false">
      <c r="A42" s="43" t="s">
        <v>2858</v>
      </c>
      <c r="B42" s="44" t="s">
        <v>1862</v>
      </c>
      <c r="C42" s="43" t="s">
        <v>2786</v>
      </c>
      <c r="D42" s="51" t="n">
        <v>8</v>
      </c>
      <c r="E42" s="43" t="s">
        <v>2782</v>
      </c>
      <c r="F42" s="44" t="s">
        <v>2771</v>
      </c>
      <c r="G42" s="67" t="n">
        <v>27</v>
      </c>
      <c r="H42" s="44" t="s">
        <v>2783</v>
      </c>
      <c r="I42" s="67" t="n">
        <v>81</v>
      </c>
      <c r="J42" s="44" t="s">
        <v>2775</v>
      </c>
      <c r="K42" s="67" t="n">
        <v>54</v>
      </c>
      <c r="L42" s="67" t="n">
        <f aca="false">G42+I42+K42</f>
        <v>162</v>
      </c>
      <c r="M42" s="68" t="n">
        <f aca="false">L42/300*100</f>
        <v>54</v>
      </c>
      <c r="N42" s="43" t="str">
        <f aca="false">IF(M42&gt;=90,"A+",IF(M42&gt;=80,"A",IF(M42&gt;=70,"B+",IF(M42&gt;=60,"B",IF(M42&gt;=50,"C","F")))))</f>
        <v>C</v>
      </c>
      <c r="O42" s="69" t="n">
        <f aca="false">IF(M42&gt;=90,4,IF(M42&gt;=80,3.7,IF(M42&gt;=70,3.3,IF(M42&gt;=60,3,IF(M42&gt;=50,2,0)))))</f>
        <v>2</v>
      </c>
      <c r="P42" s="47" t="n">
        <v>0.819</v>
      </c>
      <c r="Q42" s="70" t="n">
        <v>90.4</v>
      </c>
      <c r="R42" s="70" t="n">
        <v>62.8</v>
      </c>
      <c r="S42" s="43" t="str">
        <f aca="false">IF(M42&gt;=40,"Pass","Fail")</f>
        <v>Pass</v>
      </c>
      <c r="T42" s="43" t="str">
        <f aca="false">IF(M42&gt;=80,"Yes","No")</f>
        <v>No</v>
      </c>
    </row>
    <row r="43" customFormat="false" ht="15" hidden="false" customHeight="false" outlineLevel="0" collapsed="false">
      <c r="A43" s="34" t="s">
        <v>2859</v>
      </c>
      <c r="B43" s="35" t="s">
        <v>2860</v>
      </c>
      <c r="C43" s="34" t="s">
        <v>2803</v>
      </c>
      <c r="D43" s="42" t="n">
        <v>4</v>
      </c>
      <c r="E43" s="34" t="s">
        <v>2782</v>
      </c>
      <c r="F43" s="35" t="s">
        <v>2766</v>
      </c>
      <c r="G43" s="63" t="n">
        <v>40</v>
      </c>
      <c r="H43" s="35" t="s">
        <v>2771</v>
      </c>
      <c r="I43" s="63" t="n">
        <v>88</v>
      </c>
      <c r="J43" s="35" t="s">
        <v>2775</v>
      </c>
      <c r="K43" s="63" t="n">
        <v>92</v>
      </c>
      <c r="L43" s="63" t="n">
        <f aca="false">G43+I43+K43</f>
        <v>220</v>
      </c>
      <c r="M43" s="64" t="n">
        <f aca="false">L43/300*100</f>
        <v>73.3333333333333</v>
      </c>
      <c r="N43" s="34" t="str">
        <f aca="false">IF(M43&gt;=90,"A+",IF(M43&gt;=80,"A",IF(M43&gt;=70,"B+",IF(M43&gt;=60,"B",IF(M43&gt;=50,"C","F")))))</f>
        <v>B+</v>
      </c>
      <c r="O43" s="65" t="n">
        <f aca="false">IF(M43&gt;=90,4,IF(M43&gt;=80,3.7,IF(M43&gt;=70,3.3,IF(M43&gt;=60,3,IF(M43&gt;=50,2,0)))))</f>
        <v>3.3</v>
      </c>
      <c r="P43" s="38" t="n">
        <v>0.581</v>
      </c>
      <c r="Q43" s="66" t="n">
        <v>45.4</v>
      </c>
      <c r="R43" s="66" t="n">
        <v>81.9</v>
      </c>
      <c r="S43" s="34" t="str">
        <f aca="false">IF(M43&gt;=40,"Pass","Fail")</f>
        <v>Pass</v>
      </c>
      <c r="T43" s="34" t="str">
        <f aca="false">IF(M43&gt;=80,"Yes","No")</f>
        <v>No</v>
      </c>
    </row>
    <row r="44" customFormat="false" ht="15" hidden="false" customHeight="false" outlineLevel="0" collapsed="false">
      <c r="A44" s="43" t="s">
        <v>2861</v>
      </c>
      <c r="B44" s="44" t="s">
        <v>2862</v>
      </c>
      <c r="C44" s="43" t="s">
        <v>2786</v>
      </c>
      <c r="D44" s="51" t="n">
        <v>3</v>
      </c>
      <c r="E44" s="43" t="s">
        <v>2782</v>
      </c>
      <c r="F44" s="44" t="s">
        <v>2766</v>
      </c>
      <c r="G44" s="67" t="n">
        <v>46</v>
      </c>
      <c r="H44" s="44" t="s">
        <v>2771</v>
      </c>
      <c r="I44" s="67" t="n">
        <v>98</v>
      </c>
      <c r="J44" s="44" t="s">
        <v>2791</v>
      </c>
      <c r="K44" s="67" t="n">
        <v>84</v>
      </c>
      <c r="L44" s="67" t="n">
        <f aca="false">G44+I44+K44</f>
        <v>228</v>
      </c>
      <c r="M44" s="68" t="n">
        <f aca="false">L44/300*100</f>
        <v>76</v>
      </c>
      <c r="N44" s="43" t="str">
        <f aca="false">IF(M44&gt;=90,"A+",IF(M44&gt;=80,"A",IF(M44&gt;=70,"B+",IF(M44&gt;=60,"B",IF(M44&gt;=50,"C","F")))))</f>
        <v>B+</v>
      </c>
      <c r="O44" s="69" t="n">
        <f aca="false">IF(M44&gt;=90,4,IF(M44&gt;=80,3.7,IF(M44&gt;=70,3.3,IF(M44&gt;=60,3,IF(M44&gt;=50,2,0)))))</f>
        <v>3.3</v>
      </c>
      <c r="P44" s="47" t="n">
        <v>0.981</v>
      </c>
      <c r="Q44" s="70" t="n">
        <v>59.1</v>
      </c>
      <c r="R44" s="70" t="n">
        <v>80.9</v>
      </c>
      <c r="S44" s="43" t="str">
        <f aca="false">IF(M44&gt;=40,"Pass","Fail")</f>
        <v>Pass</v>
      </c>
      <c r="T44" s="43" t="str">
        <f aca="false">IF(M44&gt;=80,"Yes","No")</f>
        <v>No</v>
      </c>
    </row>
    <row r="45" customFormat="false" ht="15" hidden="false" customHeight="false" outlineLevel="0" collapsed="false">
      <c r="A45" s="34" t="s">
        <v>2863</v>
      </c>
      <c r="B45" s="35" t="s">
        <v>2864</v>
      </c>
      <c r="C45" s="34" t="s">
        <v>2803</v>
      </c>
      <c r="D45" s="42" t="n">
        <v>5</v>
      </c>
      <c r="E45" s="34" t="s">
        <v>2782</v>
      </c>
      <c r="F45" s="35" t="s">
        <v>2770</v>
      </c>
      <c r="G45" s="63" t="n">
        <v>61</v>
      </c>
      <c r="H45" s="35" t="s">
        <v>2771</v>
      </c>
      <c r="I45" s="63" t="n">
        <v>63</v>
      </c>
      <c r="J45" s="35" t="s">
        <v>2765</v>
      </c>
      <c r="K45" s="63" t="n">
        <v>46</v>
      </c>
      <c r="L45" s="63" t="n">
        <f aca="false">G45+I45+K45</f>
        <v>170</v>
      </c>
      <c r="M45" s="64" t="n">
        <f aca="false">L45/300*100</f>
        <v>56.6666666666667</v>
      </c>
      <c r="N45" s="34" t="str">
        <f aca="false">IF(M45&gt;=90,"A+",IF(M45&gt;=80,"A",IF(M45&gt;=70,"B+",IF(M45&gt;=60,"B",IF(M45&gt;=50,"C","F")))))</f>
        <v>C</v>
      </c>
      <c r="O45" s="65" t="n">
        <f aca="false">IF(M45&gt;=90,4,IF(M45&gt;=80,3.7,IF(M45&gt;=70,3.3,IF(M45&gt;=60,3,IF(M45&gt;=50,2,0)))))</f>
        <v>2</v>
      </c>
      <c r="P45" s="38" t="n">
        <v>0.757</v>
      </c>
      <c r="Q45" s="66" t="n">
        <v>76</v>
      </c>
      <c r="R45" s="66" t="n">
        <v>41</v>
      </c>
      <c r="S45" s="34" t="str">
        <f aca="false">IF(M45&gt;=40,"Pass","Fail")</f>
        <v>Pass</v>
      </c>
      <c r="T45" s="34" t="str">
        <f aca="false">IF(M45&gt;=80,"Yes","No")</f>
        <v>No</v>
      </c>
    </row>
    <row r="46" customFormat="false" ht="15" hidden="false" customHeight="false" outlineLevel="0" collapsed="false">
      <c r="A46" s="43" t="s">
        <v>2865</v>
      </c>
      <c r="B46" s="44" t="s">
        <v>2866</v>
      </c>
      <c r="C46" s="43" t="s">
        <v>2769</v>
      </c>
      <c r="D46" s="51" t="n">
        <v>3</v>
      </c>
      <c r="E46" s="43" t="s">
        <v>2782</v>
      </c>
      <c r="F46" s="44" t="s">
        <v>2775</v>
      </c>
      <c r="G46" s="67" t="n">
        <v>21</v>
      </c>
      <c r="H46" s="44" t="s">
        <v>2770</v>
      </c>
      <c r="I46" s="67" t="n">
        <v>42</v>
      </c>
      <c r="J46" s="44" t="s">
        <v>2764</v>
      </c>
      <c r="K46" s="67" t="n">
        <v>72</v>
      </c>
      <c r="L46" s="67" t="n">
        <f aca="false">G46+I46+K46</f>
        <v>135</v>
      </c>
      <c r="M46" s="68" t="n">
        <f aca="false">L46/300*100</f>
        <v>45</v>
      </c>
      <c r="N46" s="43" t="str">
        <f aca="false">IF(M46&gt;=90,"A+",IF(M46&gt;=80,"A",IF(M46&gt;=70,"B+",IF(M46&gt;=60,"B",IF(M46&gt;=50,"C","F")))))</f>
        <v>F</v>
      </c>
      <c r="O46" s="69" t="n">
        <f aca="false">IF(M46&gt;=90,4,IF(M46&gt;=80,3.7,IF(M46&gt;=70,3.3,IF(M46&gt;=60,3,IF(M46&gt;=50,2,0)))))</f>
        <v>0</v>
      </c>
      <c r="P46" s="47" t="n">
        <v>0.8</v>
      </c>
      <c r="Q46" s="70" t="n">
        <v>81.8</v>
      </c>
      <c r="R46" s="70" t="n">
        <v>69.3</v>
      </c>
      <c r="S46" s="43" t="str">
        <f aca="false">IF(M46&gt;=40,"Pass","Fail")</f>
        <v>Pass</v>
      </c>
      <c r="T46" s="43" t="str">
        <f aca="false">IF(M46&gt;=80,"Yes","No")</f>
        <v>No</v>
      </c>
    </row>
    <row r="47" customFormat="false" ht="15" hidden="false" customHeight="false" outlineLevel="0" collapsed="false">
      <c r="A47" s="34" t="s">
        <v>2867</v>
      </c>
      <c r="B47" s="35" t="s">
        <v>2868</v>
      </c>
      <c r="C47" s="34" t="s">
        <v>2762</v>
      </c>
      <c r="D47" s="42" t="n">
        <v>2</v>
      </c>
      <c r="E47" s="34" t="s">
        <v>2782</v>
      </c>
      <c r="F47" s="35" t="s">
        <v>2792</v>
      </c>
      <c r="G47" s="63" t="n">
        <v>76</v>
      </c>
      <c r="H47" s="35" t="s">
        <v>2766</v>
      </c>
      <c r="I47" s="63" t="n">
        <v>35</v>
      </c>
      <c r="J47" s="35" t="s">
        <v>2775</v>
      </c>
      <c r="K47" s="63" t="n">
        <v>65</v>
      </c>
      <c r="L47" s="63" t="n">
        <f aca="false">G47+I47+K47</f>
        <v>176</v>
      </c>
      <c r="M47" s="64" t="n">
        <f aca="false">L47/300*100</f>
        <v>58.6666666666667</v>
      </c>
      <c r="N47" s="34" t="str">
        <f aca="false">IF(M47&gt;=90,"A+",IF(M47&gt;=80,"A",IF(M47&gt;=70,"B+",IF(M47&gt;=60,"B",IF(M47&gt;=50,"C","F")))))</f>
        <v>C</v>
      </c>
      <c r="O47" s="65" t="n">
        <f aca="false">IF(M47&gt;=90,4,IF(M47&gt;=80,3.7,IF(M47&gt;=70,3.3,IF(M47&gt;=60,3,IF(M47&gt;=50,2,0)))))</f>
        <v>2</v>
      </c>
      <c r="P47" s="38" t="n">
        <v>0.987</v>
      </c>
      <c r="Q47" s="66" t="n">
        <v>62.6</v>
      </c>
      <c r="R47" s="66" t="n">
        <v>76.1</v>
      </c>
      <c r="S47" s="34" t="str">
        <f aca="false">IF(M47&gt;=40,"Pass","Fail")</f>
        <v>Pass</v>
      </c>
      <c r="T47" s="34" t="str">
        <f aca="false">IF(M47&gt;=80,"Yes","No")</f>
        <v>No</v>
      </c>
    </row>
    <row r="48" customFormat="false" ht="15" hidden="false" customHeight="false" outlineLevel="0" collapsed="false">
      <c r="A48" s="43" t="s">
        <v>2869</v>
      </c>
      <c r="B48" s="44" t="s">
        <v>2870</v>
      </c>
      <c r="C48" s="43" t="s">
        <v>2762</v>
      </c>
      <c r="D48" s="51" t="n">
        <v>3</v>
      </c>
      <c r="E48" s="43" t="s">
        <v>2782</v>
      </c>
      <c r="F48" s="44" t="s">
        <v>2775</v>
      </c>
      <c r="G48" s="67" t="n">
        <v>67</v>
      </c>
      <c r="H48" s="44" t="s">
        <v>2792</v>
      </c>
      <c r="I48" s="67" t="n">
        <v>44</v>
      </c>
      <c r="J48" s="44" t="s">
        <v>2770</v>
      </c>
      <c r="K48" s="67" t="n">
        <v>76</v>
      </c>
      <c r="L48" s="67" t="n">
        <f aca="false">G48+I48+K48</f>
        <v>187</v>
      </c>
      <c r="M48" s="68" t="n">
        <f aca="false">L48/300*100</f>
        <v>62.3333333333333</v>
      </c>
      <c r="N48" s="43" t="str">
        <f aca="false">IF(M48&gt;=90,"A+",IF(M48&gt;=80,"A",IF(M48&gt;=70,"B+",IF(M48&gt;=60,"B",IF(M48&gt;=50,"C","F")))))</f>
        <v>B</v>
      </c>
      <c r="O48" s="69" t="n">
        <f aca="false">IF(M48&gt;=90,4,IF(M48&gt;=80,3.7,IF(M48&gt;=70,3.3,IF(M48&gt;=60,3,IF(M48&gt;=50,2,0)))))</f>
        <v>3</v>
      </c>
      <c r="P48" s="47" t="n">
        <v>0.554</v>
      </c>
      <c r="Q48" s="70" t="n">
        <v>84.6</v>
      </c>
      <c r="R48" s="70" t="n">
        <v>85.5</v>
      </c>
      <c r="S48" s="43" t="str">
        <f aca="false">IF(M48&gt;=40,"Pass","Fail")</f>
        <v>Pass</v>
      </c>
      <c r="T48" s="43" t="str">
        <f aca="false">IF(M48&gt;=80,"Yes","No")</f>
        <v>No</v>
      </c>
    </row>
    <row r="49" customFormat="false" ht="15" hidden="false" customHeight="false" outlineLevel="0" collapsed="false">
      <c r="A49" s="34" t="s">
        <v>2871</v>
      </c>
      <c r="B49" s="35" t="s">
        <v>2872</v>
      </c>
      <c r="C49" s="34" t="s">
        <v>2769</v>
      </c>
      <c r="D49" s="42" t="n">
        <v>6</v>
      </c>
      <c r="E49" s="34" t="s">
        <v>2774</v>
      </c>
      <c r="F49" s="35" t="s">
        <v>2792</v>
      </c>
      <c r="G49" s="63" t="n">
        <v>49</v>
      </c>
      <c r="H49" s="35" t="s">
        <v>2771</v>
      </c>
      <c r="I49" s="63" t="n">
        <v>83</v>
      </c>
      <c r="J49" s="35" t="s">
        <v>2765</v>
      </c>
      <c r="K49" s="63" t="n">
        <v>66</v>
      </c>
      <c r="L49" s="63" t="n">
        <f aca="false">G49+I49+K49</f>
        <v>198</v>
      </c>
      <c r="M49" s="64" t="n">
        <f aca="false">L49/300*100</f>
        <v>66</v>
      </c>
      <c r="N49" s="34" t="str">
        <f aca="false">IF(M49&gt;=90,"A+",IF(M49&gt;=80,"A",IF(M49&gt;=70,"B+",IF(M49&gt;=60,"B",IF(M49&gt;=50,"C","F")))))</f>
        <v>B</v>
      </c>
      <c r="O49" s="65" t="n">
        <f aca="false">IF(M49&gt;=90,4,IF(M49&gt;=80,3.7,IF(M49&gt;=70,3.3,IF(M49&gt;=60,3,IF(M49&gt;=50,2,0)))))</f>
        <v>3</v>
      </c>
      <c r="P49" s="38" t="n">
        <v>0.567</v>
      </c>
      <c r="Q49" s="66" t="n">
        <v>69.6</v>
      </c>
      <c r="R49" s="66" t="n">
        <v>82.2</v>
      </c>
      <c r="S49" s="34" t="str">
        <f aca="false">IF(M49&gt;=40,"Pass","Fail")</f>
        <v>Pass</v>
      </c>
      <c r="T49" s="34" t="str">
        <f aca="false">IF(M49&gt;=80,"Yes","No")</f>
        <v>No</v>
      </c>
    </row>
    <row r="50" customFormat="false" ht="15" hidden="false" customHeight="false" outlineLevel="0" collapsed="false">
      <c r="A50" s="43" t="s">
        <v>2873</v>
      </c>
      <c r="B50" s="44" t="s">
        <v>2874</v>
      </c>
      <c r="C50" s="43" t="s">
        <v>2806</v>
      </c>
      <c r="D50" s="51" t="n">
        <v>4</v>
      </c>
      <c r="E50" s="43" t="s">
        <v>2774</v>
      </c>
      <c r="F50" s="44" t="s">
        <v>2765</v>
      </c>
      <c r="G50" s="67" t="n">
        <v>55</v>
      </c>
      <c r="H50" s="44" t="s">
        <v>2791</v>
      </c>
      <c r="I50" s="67" t="n">
        <v>92</v>
      </c>
      <c r="J50" s="44" t="s">
        <v>2792</v>
      </c>
      <c r="K50" s="67" t="n">
        <v>84</v>
      </c>
      <c r="L50" s="67" t="n">
        <f aca="false">G50+I50+K50</f>
        <v>231</v>
      </c>
      <c r="M50" s="68" t="n">
        <f aca="false">L50/300*100</f>
        <v>77</v>
      </c>
      <c r="N50" s="43" t="str">
        <f aca="false">IF(M50&gt;=90,"A+",IF(M50&gt;=80,"A",IF(M50&gt;=70,"B+",IF(M50&gt;=60,"B",IF(M50&gt;=50,"C","F")))))</f>
        <v>B+</v>
      </c>
      <c r="O50" s="69" t="n">
        <f aca="false">IF(M50&gt;=90,4,IF(M50&gt;=80,3.7,IF(M50&gt;=70,3.3,IF(M50&gt;=60,3,IF(M50&gt;=50,2,0)))))</f>
        <v>3.3</v>
      </c>
      <c r="P50" s="47" t="n">
        <v>0.772</v>
      </c>
      <c r="Q50" s="70" t="n">
        <v>73.1</v>
      </c>
      <c r="R50" s="70" t="n">
        <v>79.6</v>
      </c>
      <c r="S50" s="43" t="str">
        <f aca="false">IF(M50&gt;=40,"Pass","Fail")</f>
        <v>Pass</v>
      </c>
      <c r="T50" s="43" t="str">
        <f aca="false">IF(M50&gt;=80,"Yes","No")</f>
        <v>No</v>
      </c>
    </row>
    <row r="51" customFormat="false" ht="15" hidden="false" customHeight="false" outlineLevel="0" collapsed="false">
      <c r="A51" s="34" t="s">
        <v>2875</v>
      </c>
      <c r="B51" s="35" t="s">
        <v>2876</v>
      </c>
      <c r="C51" s="34" t="s">
        <v>2806</v>
      </c>
      <c r="D51" s="42" t="n">
        <v>3</v>
      </c>
      <c r="E51" s="34" t="s">
        <v>2774</v>
      </c>
      <c r="F51" s="35" t="s">
        <v>2764</v>
      </c>
      <c r="G51" s="63" t="n">
        <v>36</v>
      </c>
      <c r="H51" s="35" t="s">
        <v>2783</v>
      </c>
      <c r="I51" s="63" t="n">
        <v>53</v>
      </c>
      <c r="J51" s="35" t="s">
        <v>2792</v>
      </c>
      <c r="K51" s="63" t="n">
        <v>92</v>
      </c>
      <c r="L51" s="63" t="n">
        <f aca="false">G51+I51+K51</f>
        <v>181</v>
      </c>
      <c r="M51" s="64" t="n">
        <f aca="false">L51/300*100</f>
        <v>60.3333333333333</v>
      </c>
      <c r="N51" s="34" t="str">
        <f aca="false">IF(M51&gt;=90,"A+",IF(M51&gt;=80,"A",IF(M51&gt;=70,"B+",IF(M51&gt;=60,"B",IF(M51&gt;=50,"C","F")))))</f>
        <v>B</v>
      </c>
      <c r="O51" s="65" t="n">
        <f aca="false">IF(M51&gt;=90,4,IF(M51&gt;=80,3.7,IF(M51&gt;=70,3.3,IF(M51&gt;=60,3,IF(M51&gt;=50,2,0)))))</f>
        <v>3</v>
      </c>
      <c r="P51" s="38" t="n">
        <v>0.935</v>
      </c>
      <c r="Q51" s="66" t="n">
        <v>92.9</v>
      </c>
      <c r="R51" s="66" t="n">
        <v>83.7</v>
      </c>
      <c r="S51" s="34" t="str">
        <f aca="false">IF(M51&gt;=40,"Pass","Fail")</f>
        <v>Pass</v>
      </c>
      <c r="T51" s="34" t="str">
        <f aca="false">IF(M51&gt;=80,"Yes","No")</f>
        <v>No</v>
      </c>
    </row>
    <row r="52" customFormat="false" ht="15" hidden="false" customHeight="false" outlineLevel="0" collapsed="false">
      <c r="A52" s="43" t="s">
        <v>2877</v>
      </c>
      <c r="B52" s="44" t="s">
        <v>2878</v>
      </c>
      <c r="C52" s="43" t="s">
        <v>2803</v>
      </c>
      <c r="D52" s="51" t="n">
        <v>4</v>
      </c>
      <c r="E52" s="43" t="s">
        <v>2782</v>
      </c>
      <c r="F52" s="44" t="s">
        <v>2775</v>
      </c>
      <c r="G52" s="67" t="n">
        <v>91</v>
      </c>
      <c r="H52" s="44" t="s">
        <v>2766</v>
      </c>
      <c r="I52" s="67" t="n">
        <v>78</v>
      </c>
      <c r="J52" s="44" t="s">
        <v>2771</v>
      </c>
      <c r="K52" s="67" t="n">
        <v>20</v>
      </c>
      <c r="L52" s="67" t="n">
        <f aca="false">G52+I52+K52</f>
        <v>189</v>
      </c>
      <c r="M52" s="68" t="n">
        <f aca="false">L52/300*100</f>
        <v>63</v>
      </c>
      <c r="N52" s="43" t="str">
        <f aca="false">IF(M52&gt;=90,"A+",IF(M52&gt;=80,"A",IF(M52&gt;=70,"B+",IF(M52&gt;=60,"B",IF(M52&gt;=50,"C","F")))))</f>
        <v>B</v>
      </c>
      <c r="O52" s="69" t="n">
        <f aca="false">IF(M52&gt;=90,4,IF(M52&gt;=80,3.7,IF(M52&gt;=70,3.3,IF(M52&gt;=60,3,IF(M52&gt;=50,2,0)))))</f>
        <v>3</v>
      </c>
      <c r="P52" s="47" t="n">
        <v>0.972</v>
      </c>
      <c r="Q52" s="70" t="n">
        <v>78.5</v>
      </c>
      <c r="R52" s="70" t="n">
        <v>96.6</v>
      </c>
      <c r="S52" s="43" t="str">
        <f aca="false">IF(M52&gt;=40,"Pass","Fail")</f>
        <v>Pass</v>
      </c>
      <c r="T52" s="43" t="str">
        <f aca="false">IF(M52&gt;=80,"Yes","No")</f>
        <v>No</v>
      </c>
    </row>
    <row r="53" customFormat="false" ht="15" hidden="false" customHeight="false" outlineLevel="0" collapsed="false">
      <c r="A53" s="34" t="s">
        <v>2879</v>
      </c>
      <c r="B53" s="35" t="s">
        <v>2880</v>
      </c>
      <c r="C53" s="34" t="s">
        <v>2851</v>
      </c>
      <c r="D53" s="42" t="n">
        <v>6</v>
      </c>
      <c r="E53" s="34" t="s">
        <v>2763</v>
      </c>
      <c r="F53" s="35" t="s">
        <v>2791</v>
      </c>
      <c r="G53" s="63" t="n">
        <v>86</v>
      </c>
      <c r="H53" s="35" t="s">
        <v>2771</v>
      </c>
      <c r="I53" s="63" t="n">
        <v>79</v>
      </c>
      <c r="J53" s="35" t="s">
        <v>2792</v>
      </c>
      <c r="K53" s="63" t="n">
        <v>83</v>
      </c>
      <c r="L53" s="63" t="n">
        <f aca="false">G53+I53+K53</f>
        <v>248</v>
      </c>
      <c r="M53" s="64" t="n">
        <f aca="false">L53/300*100</f>
        <v>82.6666666666667</v>
      </c>
      <c r="N53" s="34" t="str">
        <f aca="false">IF(M53&gt;=90,"A+",IF(M53&gt;=80,"A",IF(M53&gt;=70,"B+",IF(M53&gt;=60,"B",IF(M53&gt;=50,"C","F")))))</f>
        <v>A</v>
      </c>
      <c r="O53" s="65" t="n">
        <f aca="false">IF(M53&gt;=90,4,IF(M53&gt;=80,3.7,IF(M53&gt;=70,3.3,IF(M53&gt;=60,3,IF(M53&gt;=50,2,0)))))</f>
        <v>3.7</v>
      </c>
      <c r="P53" s="38" t="n">
        <v>0.713</v>
      </c>
      <c r="Q53" s="66" t="n">
        <v>85.5</v>
      </c>
      <c r="R53" s="66" t="n">
        <v>93</v>
      </c>
      <c r="S53" s="34" t="str">
        <f aca="false">IF(M53&gt;=40,"Pass","Fail")</f>
        <v>Pass</v>
      </c>
      <c r="T53" s="34" t="str">
        <f aca="false">IF(M53&gt;=80,"Yes","No")</f>
        <v>Yes</v>
      </c>
    </row>
    <row r="54" customFormat="false" ht="15" hidden="false" customHeight="false" outlineLevel="0" collapsed="false">
      <c r="A54" s="43" t="s">
        <v>2881</v>
      </c>
      <c r="B54" s="44" t="s">
        <v>2882</v>
      </c>
      <c r="C54" s="43" t="s">
        <v>2781</v>
      </c>
      <c r="D54" s="51" t="n">
        <v>1</v>
      </c>
      <c r="E54" s="43" t="s">
        <v>2763</v>
      </c>
      <c r="F54" s="44" t="s">
        <v>2791</v>
      </c>
      <c r="G54" s="67" t="n">
        <v>60</v>
      </c>
      <c r="H54" s="44" t="s">
        <v>2766</v>
      </c>
      <c r="I54" s="67" t="n">
        <v>20</v>
      </c>
      <c r="J54" s="44" t="s">
        <v>2770</v>
      </c>
      <c r="K54" s="67" t="n">
        <v>70</v>
      </c>
      <c r="L54" s="67" t="n">
        <f aca="false">G54+I54+K54</f>
        <v>150</v>
      </c>
      <c r="M54" s="68" t="n">
        <f aca="false">L54/300*100</f>
        <v>50</v>
      </c>
      <c r="N54" s="43" t="str">
        <f aca="false">IF(M54&gt;=90,"A+",IF(M54&gt;=80,"A",IF(M54&gt;=70,"B+",IF(M54&gt;=60,"B",IF(M54&gt;=50,"C","F")))))</f>
        <v>C</v>
      </c>
      <c r="O54" s="69" t="n">
        <f aca="false">IF(M54&gt;=90,4,IF(M54&gt;=80,3.7,IF(M54&gt;=70,3.3,IF(M54&gt;=60,3,IF(M54&gt;=50,2,0)))))</f>
        <v>2</v>
      </c>
      <c r="P54" s="47" t="n">
        <v>0.638</v>
      </c>
      <c r="Q54" s="70" t="n">
        <v>44.9</v>
      </c>
      <c r="R54" s="70" t="n">
        <v>74.3</v>
      </c>
      <c r="S54" s="43" t="str">
        <f aca="false">IF(M54&gt;=40,"Pass","Fail")</f>
        <v>Pass</v>
      </c>
      <c r="T54" s="43" t="str">
        <f aca="false">IF(M54&gt;=80,"Yes","No")</f>
        <v>No</v>
      </c>
    </row>
    <row r="55" customFormat="false" ht="15" hidden="false" customHeight="false" outlineLevel="0" collapsed="false">
      <c r="A55" s="34" t="s">
        <v>2883</v>
      </c>
      <c r="B55" s="35" t="s">
        <v>2884</v>
      </c>
      <c r="C55" s="34" t="s">
        <v>2851</v>
      </c>
      <c r="D55" s="42" t="n">
        <v>4</v>
      </c>
      <c r="E55" s="34" t="s">
        <v>2782</v>
      </c>
      <c r="F55" s="35" t="s">
        <v>2791</v>
      </c>
      <c r="G55" s="63" t="n">
        <v>45</v>
      </c>
      <c r="H55" s="35" t="s">
        <v>2792</v>
      </c>
      <c r="I55" s="63" t="n">
        <v>41</v>
      </c>
      <c r="J55" s="35" t="s">
        <v>2765</v>
      </c>
      <c r="K55" s="63" t="n">
        <v>62</v>
      </c>
      <c r="L55" s="63" t="n">
        <f aca="false">G55+I55+K55</f>
        <v>148</v>
      </c>
      <c r="M55" s="64" t="n">
        <f aca="false">L55/300*100</f>
        <v>49.3333333333333</v>
      </c>
      <c r="N55" s="34" t="str">
        <f aca="false">IF(M55&gt;=90,"A+",IF(M55&gt;=80,"A",IF(M55&gt;=70,"B+",IF(M55&gt;=60,"B",IF(M55&gt;=50,"C","F")))))</f>
        <v>F</v>
      </c>
      <c r="O55" s="65" t="n">
        <f aca="false">IF(M55&gt;=90,4,IF(M55&gt;=80,3.7,IF(M55&gt;=70,3.3,IF(M55&gt;=60,3,IF(M55&gt;=50,2,0)))))</f>
        <v>0</v>
      </c>
      <c r="P55" s="38" t="n">
        <v>0.69</v>
      </c>
      <c r="Q55" s="66" t="n">
        <v>77.6</v>
      </c>
      <c r="R55" s="66" t="n">
        <v>45.8</v>
      </c>
      <c r="S55" s="34" t="str">
        <f aca="false">IF(M55&gt;=40,"Pass","Fail")</f>
        <v>Pass</v>
      </c>
      <c r="T55" s="34" t="str">
        <f aca="false">IF(M55&gt;=80,"Yes","No")</f>
        <v>No</v>
      </c>
    </row>
    <row r="56" customFormat="false" ht="15" hidden="false" customHeight="false" outlineLevel="0" collapsed="false">
      <c r="A56" s="43" t="s">
        <v>2885</v>
      </c>
      <c r="B56" s="44" t="s">
        <v>2886</v>
      </c>
      <c r="C56" s="43" t="s">
        <v>2762</v>
      </c>
      <c r="D56" s="51" t="n">
        <v>7</v>
      </c>
      <c r="E56" s="43" t="s">
        <v>2774</v>
      </c>
      <c r="F56" s="44" t="s">
        <v>2764</v>
      </c>
      <c r="G56" s="67" t="n">
        <v>51</v>
      </c>
      <c r="H56" s="44" t="s">
        <v>2778</v>
      </c>
      <c r="I56" s="67" t="n">
        <v>33</v>
      </c>
      <c r="J56" s="44" t="s">
        <v>2771</v>
      </c>
      <c r="K56" s="67" t="n">
        <v>80</v>
      </c>
      <c r="L56" s="67" t="n">
        <f aca="false">G56+I56+K56</f>
        <v>164</v>
      </c>
      <c r="M56" s="68" t="n">
        <f aca="false">L56/300*100</f>
        <v>54.6666666666667</v>
      </c>
      <c r="N56" s="43" t="str">
        <f aca="false">IF(M56&gt;=90,"A+",IF(M56&gt;=80,"A",IF(M56&gt;=70,"B+",IF(M56&gt;=60,"B",IF(M56&gt;=50,"C","F")))))</f>
        <v>C</v>
      </c>
      <c r="O56" s="69" t="n">
        <f aca="false">IF(M56&gt;=90,4,IF(M56&gt;=80,3.7,IF(M56&gt;=70,3.3,IF(M56&gt;=60,3,IF(M56&gt;=50,2,0)))))</f>
        <v>2</v>
      </c>
      <c r="P56" s="47" t="n">
        <v>0.657</v>
      </c>
      <c r="Q56" s="70" t="n">
        <v>60.4</v>
      </c>
      <c r="R56" s="70" t="n">
        <v>43.3</v>
      </c>
      <c r="S56" s="43" t="str">
        <f aca="false">IF(M56&gt;=40,"Pass","Fail")</f>
        <v>Pass</v>
      </c>
      <c r="T56" s="43" t="str">
        <f aca="false">IF(M56&gt;=80,"Yes","No")</f>
        <v>No</v>
      </c>
    </row>
    <row r="57" customFormat="false" ht="15" hidden="false" customHeight="false" outlineLevel="0" collapsed="false">
      <c r="A57" s="34" t="s">
        <v>2887</v>
      </c>
      <c r="B57" s="35" t="s">
        <v>2888</v>
      </c>
      <c r="C57" s="34" t="s">
        <v>2803</v>
      </c>
      <c r="D57" s="42" t="n">
        <v>4</v>
      </c>
      <c r="E57" s="34" t="s">
        <v>2774</v>
      </c>
      <c r="F57" s="35" t="s">
        <v>2764</v>
      </c>
      <c r="G57" s="63" t="n">
        <v>100</v>
      </c>
      <c r="H57" s="35" t="s">
        <v>2770</v>
      </c>
      <c r="I57" s="63" t="n">
        <v>77</v>
      </c>
      <c r="J57" s="35" t="s">
        <v>2792</v>
      </c>
      <c r="K57" s="63" t="n">
        <v>94</v>
      </c>
      <c r="L57" s="63" t="n">
        <f aca="false">G57+I57+K57</f>
        <v>271</v>
      </c>
      <c r="M57" s="64" t="n">
        <f aca="false">L57/300*100</f>
        <v>90.3333333333333</v>
      </c>
      <c r="N57" s="34" t="str">
        <f aca="false">IF(M57&gt;=90,"A+",IF(M57&gt;=80,"A",IF(M57&gt;=70,"B+",IF(M57&gt;=60,"B",IF(M57&gt;=50,"C","F")))))</f>
        <v>A+</v>
      </c>
      <c r="O57" s="65" t="n">
        <f aca="false">IF(M57&gt;=90,4,IF(M57&gt;=80,3.7,IF(M57&gt;=70,3.3,IF(M57&gt;=60,3,IF(M57&gt;=50,2,0)))))</f>
        <v>4</v>
      </c>
      <c r="P57" s="38" t="n">
        <v>0.606</v>
      </c>
      <c r="Q57" s="66" t="n">
        <v>98.5</v>
      </c>
      <c r="R57" s="66" t="n">
        <v>95</v>
      </c>
      <c r="S57" s="34" t="str">
        <f aca="false">IF(M57&gt;=40,"Pass","Fail")</f>
        <v>Pass</v>
      </c>
      <c r="T57" s="34" t="str">
        <f aca="false">IF(M57&gt;=80,"Yes","No")</f>
        <v>Yes</v>
      </c>
    </row>
    <row r="58" customFormat="false" ht="15" hidden="false" customHeight="false" outlineLevel="0" collapsed="false">
      <c r="A58" s="43" t="s">
        <v>2889</v>
      </c>
      <c r="B58" s="44" t="s">
        <v>2890</v>
      </c>
      <c r="C58" s="43" t="s">
        <v>2762</v>
      </c>
      <c r="D58" s="51" t="n">
        <v>6</v>
      </c>
      <c r="E58" s="43" t="s">
        <v>2782</v>
      </c>
      <c r="F58" s="44" t="s">
        <v>2792</v>
      </c>
      <c r="G58" s="67" t="n">
        <v>76</v>
      </c>
      <c r="H58" s="44" t="s">
        <v>2783</v>
      </c>
      <c r="I58" s="67" t="n">
        <v>27</v>
      </c>
      <c r="J58" s="44" t="s">
        <v>2775</v>
      </c>
      <c r="K58" s="67" t="n">
        <v>58</v>
      </c>
      <c r="L58" s="67" t="n">
        <f aca="false">G58+I58+K58</f>
        <v>161</v>
      </c>
      <c r="M58" s="68" t="n">
        <f aca="false">L58/300*100</f>
        <v>53.6666666666667</v>
      </c>
      <c r="N58" s="43" t="str">
        <f aca="false">IF(M58&gt;=90,"A+",IF(M58&gt;=80,"A",IF(M58&gt;=70,"B+",IF(M58&gt;=60,"B",IF(M58&gt;=50,"C","F")))))</f>
        <v>C</v>
      </c>
      <c r="O58" s="69" t="n">
        <f aca="false">IF(M58&gt;=90,4,IF(M58&gt;=80,3.7,IF(M58&gt;=70,3.3,IF(M58&gt;=60,3,IF(M58&gt;=50,2,0)))))</f>
        <v>2</v>
      </c>
      <c r="P58" s="47" t="n">
        <v>0.825</v>
      </c>
      <c r="Q58" s="70" t="n">
        <v>65.9</v>
      </c>
      <c r="R58" s="70" t="n">
        <v>46.1</v>
      </c>
      <c r="S58" s="43" t="str">
        <f aca="false">IF(M58&gt;=40,"Pass","Fail")</f>
        <v>Pass</v>
      </c>
      <c r="T58" s="43" t="str">
        <f aca="false">IF(M58&gt;=80,"Yes","No")</f>
        <v>No</v>
      </c>
    </row>
    <row r="59" customFormat="false" ht="15" hidden="false" customHeight="false" outlineLevel="0" collapsed="false">
      <c r="A59" s="34" t="s">
        <v>2891</v>
      </c>
      <c r="B59" s="35" t="s">
        <v>2892</v>
      </c>
      <c r="C59" s="34" t="s">
        <v>2851</v>
      </c>
      <c r="D59" s="42" t="n">
        <v>1</v>
      </c>
      <c r="E59" s="34" t="s">
        <v>2763</v>
      </c>
      <c r="F59" s="35" t="s">
        <v>2791</v>
      </c>
      <c r="G59" s="63" t="n">
        <v>99</v>
      </c>
      <c r="H59" s="35" t="s">
        <v>2764</v>
      </c>
      <c r="I59" s="63" t="n">
        <v>72</v>
      </c>
      <c r="J59" s="35" t="s">
        <v>2792</v>
      </c>
      <c r="K59" s="63" t="n">
        <v>49</v>
      </c>
      <c r="L59" s="63" t="n">
        <f aca="false">G59+I59+K59</f>
        <v>220</v>
      </c>
      <c r="M59" s="64" t="n">
        <f aca="false">L59/300*100</f>
        <v>73.3333333333333</v>
      </c>
      <c r="N59" s="34" t="str">
        <f aca="false">IF(M59&gt;=90,"A+",IF(M59&gt;=80,"A",IF(M59&gt;=70,"B+",IF(M59&gt;=60,"B",IF(M59&gt;=50,"C","F")))))</f>
        <v>B+</v>
      </c>
      <c r="O59" s="65" t="n">
        <f aca="false">IF(M59&gt;=90,4,IF(M59&gt;=80,3.7,IF(M59&gt;=70,3.3,IF(M59&gt;=60,3,IF(M59&gt;=50,2,0)))))</f>
        <v>3.3</v>
      </c>
      <c r="P59" s="38" t="n">
        <v>0.939</v>
      </c>
      <c r="Q59" s="66" t="n">
        <v>87.2</v>
      </c>
      <c r="R59" s="66" t="n">
        <v>77.4</v>
      </c>
      <c r="S59" s="34" t="str">
        <f aca="false">IF(M59&gt;=40,"Pass","Fail")</f>
        <v>Pass</v>
      </c>
      <c r="T59" s="34" t="str">
        <f aca="false">IF(M59&gt;=80,"Yes","No")</f>
        <v>No</v>
      </c>
    </row>
    <row r="60" customFormat="false" ht="15" hidden="false" customHeight="false" outlineLevel="0" collapsed="false">
      <c r="A60" s="43" t="s">
        <v>2893</v>
      </c>
      <c r="B60" s="44" t="s">
        <v>2894</v>
      </c>
      <c r="C60" s="43" t="s">
        <v>2762</v>
      </c>
      <c r="D60" s="51" t="n">
        <v>7</v>
      </c>
      <c r="E60" s="43" t="s">
        <v>2763</v>
      </c>
      <c r="F60" s="44" t="s">
        <v>2791</v>
      </c>
      <c r="G60" s="67" t="n">
        <v>23</v>
      </c>
      <c r="H60" s="44" t="s">
        <v>2792</v>
      </c>
      <c r="I60" s="67" t="n">
        <v>78</v>
      </c>
      <c r="J60" s="44" t="s">
        <v>2778</v>
      </c>
      <c r="K60" s="67" t="n">
        <v>86</v>
      </c>
      <c r="L60" s="67" t="n">
        <f aca="false">G60+I60+K60</f>
        <v>187</v>
      </c>
      <c r="M60" s="68" t="n">
        <f aca="false">L60/300*100</f>
        <v>62.3333333333333</v>
      </c>
      <c r="N60" s="43" t="str">
        <f aca="false">IF(M60&gt;=90,"A+",IF(M60&gt;=80,"A",IF(M60&gt;=70,"B+",IF(M60&gt;=60,"B",IF(M60&gt;=50,"C","F")))))</f>
        <v>B</v>
      </c>
      <c r="O60" s="69" t="n">
        <f aca="false">IF(M60&gt;=90,4,IF(M60&gt;=80,3.7,IF(M60&gt;=70,3.3,IF(M60&gt;=60,3,IF(M60&gt;=50,2,0)))))</f>
        <v>3</v>
      </c>
      <c r="P60" s="47" t="n">
        <v>0.698</v>
      </c>
      <c r="Q60" s="70" t="n">
        <v>51.5</v>
      </c>
      <c r="R60" s="70" t="n">
        <v>46.2</v>
      </c>
      <c r="S60" s="43" t="str">
        <f aca="false">IF(M60&gt;=40,"Pass","Fail")</f>
        <v>Pass</v>
      </c>
      <c r="T60" s="43" t="str">
        <f aca="false">IF(M60&gt;=80,"Yes","No")</f>
        <v>No</v>
      </c>
    </row>
    <row r="61" customFormat="false" ht="15" hidden="false" customHeight="false" outlineLevel="0" collapsed="false">
      <c r="A61" s="34" t="s">
        <v>2895</v>
      </c>
      <c r="B61" s="35" t="s">
        <v>2896</v>
      </c>
      <c r="C61" s="34" t="s">
        <v>2806</v>
      </c>
      <c r="D61" s="42" t="n">
        <v>2</v>
      </c>
      <c r="E61" s="34" t="s">
        <v>2782</v>
      </c>
      <c r="F61" s="35" t="s">
        <v>2765</v>
      </c>
      <c r="G61" s="63" t="n">
        <v>65</v>
      </c>
      <c r="H61" s="35" t="s">
        <v>2783</v>
      </c>
      <c r="I61" s="63" t="n">
        <v>73</v>
      </c>
      <c r="J61" s="35" t="s">
        <v>2771</v>
      </c>
      <c r="K61" s="63" t="n">
        <v>81</v>
      </c>
      <c r="L61" s="63" t="n">
        <f aca="false">G61+I61+K61</f>
        <v>219</v>
      </c>
      <c r="M61" s="64" t="n">
        <f aca="false">L61/300*100</f>
        <v>73</v>
      </c>
      <c r="N61" s="34" t="str">
        <f aca="false">IF(M61&gt;=90,"A+",IF(M61&gt;=80,"A",IF(M61&gt;=70,"B+",IF(M61&gt;=60,"B",IF(M61&gt;=50,"C","F")))))</f>
        <v>B+</v>
      </c>
      <c r="O61" s="65" t="n">
        <f aca="false">IF(M61&gt;=90,4,IF(M61&gt;=80,3.7,IF(M61&gt;=70,3.3,IF(M61&gt;=60,3,IF(M61&gt;=50,2,0)))))</f>
        <v>3.3</v>
      </c>
      <c r="P61" s="38" t="n">
        <v>0.876</v>
      </c>
      <c r="Q61" s="66" t="n">
        <v>66.7</v>
      </c>
      <c r="R61" s="66" t="n">
        <v>54.6</v>
      </c>
      <c r="S61" s="34" t="str">
        <f aca="false">IF(M61&gt;=40,"Pass","Fail")</f>
        <v>Pass</v>
      </c>
      <c r="T61" s="34" t="str">
        <f aca="false">IF(M61&gt;=80,"Yes","No")</f>
        <v>No</v>
      </c>
    </row>
    <row r="62" customFormat="false" ht="15" hidden="false" customHeight="false" outlineLevel="0" collapsed="false">
      <c r="A62" s="43" t="s">
        <v>2897</v>
      </c>
      <c r="B62" s="44" t="s">
        <v>2898</v>
      </c>
      <c r="C62" s="43" t="s">
        <v>2786</v>
      </c>
      <c r="D62" s="51" t="n">
        <v>1</v>
      </c>
      <c r="E62" s="43" t="s">
        <v>2774</v>
      </c>
      <c r="F62" s="44" t="s">
        <v>2783</v>
      </c>
      <c r="G62" s="67" t="n">
        <v>85</v>
      </c>
      <c r="H62" s="44" t="s">
        <v>2771</v>
      </c>
      <c r="I62" s="67" t="n">
        <v>65</v>
      </c>
      <c r="J62" s="44" t="s">
        <v>2791</v>
      </c>
      <c r="K62" s="67" t="n">
        <v>59</v>
      </c>
      <c r="L62" s="67" t="n">
        <f aca="false">G62+I62+K62</f>
        <v>209</v>
      </c>
      <c r="M62" s="68" t="n">
        <f aca="false">L62/300*100</f>
        <v>69.6666666666667</v>
      </c>
      <c r="N62" s="43" t="str">
        <f aca="false">IF(M62&gt;=90,"A+",IF(M62&gt;=80,"A",IF(M62&gt;=70,"B+",IF(M62&gt;=60,"B",IF(M62&gt;=50,"C","F")))))</f>
        <v>B</v>
      </c>
      <c r="O62" s="69" t="n">
        <f aca="false">IF(M62&gt;=90,4,IF(M62&gt;=80,3.7,IF(M62&gt;=70,3.3,IF(M62&gt;=60,3,IF(M62&gt;=50,2,0)))))</f>
        <v>3</v>
      </c>
      <c r="P62" s="47" t="n">
        <v>0.813</v>
      </c>
      <c r="Q62" s="70" t="n">
        <v>72.5</v>
      </c>
      <c r="R62" s="70" t="n">
        <v>48.7</v>
      </c>
      <c r="S62" s="43" t="str">
        <f aca="false">IF(M62&gt;=40,"Pass","Fail")</f>
        <v>Pass</v>
      </c>
      <c r="T62" s="43" t="str">
        <f aca="false">IF(M62&gt;=80,"Yes","No")</f>
        <v>No</v>
      </c>
    </row>
    <row r="63" customFormat="false" ht="15" hidden="false" customHeight="false" outlineLevel="0" collapsed="false">
      <c r="A63" s="34" t="s">
        <v>2899</v>
      </c>
      <c r="B63" s="35" t="s">
        <v>2900</v>
      </c>
      <c r="C63" s="34" t="s">
        <v>2762</v>
      </c>
      <c r="D63" s="42" t="n">
        <v>5</v>
      </c>
      <c r="E63" s="34" t="s">
        <v>2782</v>
      </c>
      <c r="F63" s="35" t="s">
        <v>2778</v>
      </c>
      <c r="G63" s="63" t="n">
        <v>21</v>
      </c>
      <c r="H63" s="35" t="s">
        <v>2771</v>
      </c>
      <c r="I63" s="63" t="n">
        <v>86</v>
      </c>
      <c r="J63" s="35" t="s">
        <v>2764</v>
      </c>
      <c r="K63" s="63" t="n">
        <v>95</v>
      </c>
      <c r="L63" s="63" t="n">
        <f aca="false">G63+I63+K63</f>
        <v>202</v>
      </c>
      <c r="M63" s="64" t="n">
        <f aca="false">L63/300*100</f>
        <v>67.3333333333333</v>
      </c>
      <c r="N63" s="34" t="str">
        <f aca="false">IF(M63&gt;=90,"A+",IF(M63&gt;=80,"A",IF(M63&gt;=70,"B+",IF(M63&gt;=60,"B",IF(M63&gt;=50,"C","F")))))</f>
        <v>B</v>
      </c>
      <c r="O63" s="65" t="n">
        <f aca="false">IF(M63&gt;=90,4,IF(M63&gt;=80,3.7,IF(M63&gt;=70,3.3,IF(M63&gt;=60,3,IF(M63&gt;=50,2,0)))))</f>
        <v>3</v>
      </c>
      <c r="P63" s="38" t="n">
        <v>0.846</v>
      </c>
      <c r="Q63" s="66" t="n">
        <v>48.7</v>
      </c>
      <c r="R63" s="66" t="n">
        <v>54.2</v>
      </c>
      <c r="S63" s="34" t="str">
        <f aca="false">IF(M63&gt;=40,"Pass","Fail")</f>
        <v>Pass</v>
      </c>
      <c r="T63" s="34" t="str">
        <f aca="false">IF(M63&gt;=80,"Yes","No")</f>
        <v>No</v>
      </c>
    </row>
    <row r="64" customFormat="false" ht="15" hidden="false" customHeight="false" outlineLevel="0" collapsed="false">
      <c r="A64" s="43" t="s">
        <v>2901</v>
      </c>
      <c r="B64" s="44" t="s">
        <v>2902</v>
      </c>
      <c r="C64" s="43" t="s">
        <v>2786</v>
      </c>
      <c r="D64" s="51" t="n">
        <v>1</v>
      </c>
      <c r="E64" s="43" t="s">
        <v>2763</v>
      </c>
      <c r="F64" s="44" t="s">
        <v>2778</v>
      </c>
      <c r="G64" s="67" t="n">
        <v>45</v>
      </c>
      <c r="H64" s="44" t="s">
        <v>2765</v>
      </c>
      <c r="I64" s="67" t="n">
        <v>28</v>
      </c>
      <c r="J64" s="44" t="s">
        <v>2766</v>
      </c>
      <c r="K64" s="67" t="n">
        <v>63</v>
      </c>
      <c r="L64" s="67" t="n">
        <f aca="false">G64+I64+K64</f>
        <v>136</v>
      </c>
      <c r="M64" s="68" t="n">
        <f aca="false">L64/300*100</f>
        <v>45.3333333333333</v>
      </c>
      <c r="N64" s="43" t="str">
        <f aca="false">IF(M64&gt;=90,"A+",IF(M64&gt;=80,"A",IF(M64&gt;=70,"B+",IF(M64&gt;=60,"B",IF(M64&gt;=50,"C","F")))))</f>
        <v>F</v>
      </c>
      <c r="O64" s="69" t="n">
        <f aca="false">IF(M64&gt;=90,4,IF(M64&gt;=80,3.7,IF(M64&gt;=70,3.3,IF(M64&gt;=60,3,IF(M64&gt;=50,2,0)))))</f>
        <v>0</v>
      </c>
      <c r="P64" s="47" t="n">
        <v>0.635</v>
      </c>
      <c r="Q64" s="70" t="n">
        <v>68.5</v>
      </c>
      <c r="R64" s="70" t="n">
        <v>81.5</v>
      </c>
      <c r="S64" s="43" t="str">
        <f aca="false">IF(M64&gt;=40,"Pass","Fail")</f>
        <v>Pass</v>
      </c>
      <c r="T64" s="43" t="str">
        <f aca="false">IF(M64&gt;=80,"Yes","No")</f>
        <v>No</v>
      </c>
    </row>
    <row r="65" customFormat="false" ht="15" hidden="false" customHeight="false" outlineLevel="0" collapsed="false">
      <c r="A65" s="34" t="s">
        <v>2903</v>
      </c>
      <c r="B65" s="35" t="s">
        <v>2904</v>
      </c>
      <c r="C65" s="34" t="s">
        <v>2762</v>
      </c>
      <c r="D65" s="42" t="n">
        <v>6</v>
      </c>
      <c r="E65" s="34" t="s">
        <v>2782</v>
      </c>
      <c r="F65" s="35" t="s">
        <v>2764</v>
      </c>
      <c r="G65" s="63" t="n">
        <v>73</v>
      </c>
      <c r="H65" s="35" t="s">
        <v>2778</v>
      </c>
      <c r="I65" s="63" t="n">
        <v>62</v>
      </c>
      <c r="J65" s="35" t="s">
        <v>2771</v>
      </c>
      <c r="K65" s="63" t="n">
        <v>40</v>
      </c>
      <c r="L65" s="63" t="n">
        <f aca="false">G65+I65+K65</f>
        <v>175</v>
      </c>
      <c r="M65" s="64" t="n">
        <f aca="false">L65/300*100</f>
        <v>58.3333333333333</v>
      </c>
      <c r="N65" s="34" t="str">
        <f aca="false">IF(M65&gt;=90,"A+",IF(M65&gt;=80,"A",IF(M65&gt;=70,"B+",IF(M65&gt;=60,"B",IF(M65&gt;=50,"C","F")))))</f>
        <v>C</v>
      </c>
      <c r="O65" s="65" t="n">
        <f aca="false">IF(M65&gt;=90,4,IF(M65&gt;=80,3.7,IF(M65&gt;=70,3.3,IF(M65&gt;=60,3,IF(M65&gt;=50,2,0)))))</f>
        <v>2</v>
      </c>
      <c r="P65" s="38" t="n">
        <v>0.597</v>
      </c>
      <c r="Q65" s="66" t="n">
        <v>92.6</v>
      </c>
      <c r="R65" s="66" t="n">
        <v>94.6</v>
      </c>
      <c r="S65" s="34" t="str">
        <f aca="false">IF(M65&gt;=40,"Pass","Fail")</f>
        <v>Pass</v>
      </c>
      <c r="T65" s="34" t="str">
        <f aca="false">IF(M65&gt;=80,"Yes","No")</f>
        <v>No</v>
      </c>
    </row>
    <row r="66" customFormat="false" ht="15" hidden="false" customHeight="false" outlineLevel="0" collapsed="false">
      <c r="A66" s="43" t="s">
        <v>2905</v>
      </c>
      <c r="B66" s="44" t="s">
        <v>2906</v>
      </c>
      <c r="C66" s="43" t="s">
        <v>2762</v>
      </c>
      <c r="D66" s="51" t="n">
        <v>4</v>
      </c>
      <c r="E66" s="43" t="s">
        <v>2774</v>
      </c>
      <c r="F66" s="44" t="s">
        <v>2765</v>
      </c>
      <c r="G66" s="67" t="n">
        <v>99</v>
      </c>
      <c r="H66" s="44" t="s">
        <v>2764</v>
      </c>
      <c r="I66" s="67" t="n">
        <v>47</v>
      </c>
      <c r="J66" s="44" t="s">
        <v>2770</v>
      </c>
      <c r="K66" s="67" t="n">
        <v>50</v>
      </c>
      <c r="L66" s="67" t="n">
        <f aca="false">G66+I66+K66</f>
        <v>196</v>
      </c>
      <c r="M66" s="68" t="n">
        <f aca="false">L66/300*100</f>
        <v>65.3333333333333</v>
      </c>
      <c r="N66" s="43" t="str">
        <f aca="false">IF(M66&gt;=90,"A+",IF(M66&gt;=80,"A",IF(M66&gt;=70,"B+",IF(M66&gt;=60,"B",IF(M66&gt;=50,"C","F")))))</f>
        <v>B</v>
      </c>
      <c r="O66" s="69" t="n">
        <f aca="false">IF(M66&gt;=90,4,IF(M66&gt;=80,3.7,IF(M66&gt;=70,3.3,IF(M66&gt;=60,3,IF(M66&gt;=50,2,0)))))</f>
        <v>3</v>
      </c>
      <c r="P66" s="47" t="n">
        <v>0.766</v>
      </c>
      <c r="Q66" s="70" t="n">
        <v>86.1</v>
      </c>
      <c r="R66" s="70" t="n">
        <v>88.9</v>
      </c>
      <c r="S66" s="43" t="str">
        <f aca="false">IF(M66&gt;=40,"Pass","Fail")</f>
        <v>Pass</v>
      </c>
      <c r="T66" s="43" t="str">
        <f aca="false">IF(M66&gt;=80,"Yes","No")</f>
        <v>No</v>
      </c>
    </row>
    <row r="67" customFormat="false" ht="15" hidden="false" customHeight="false" outlineLevel="0" collapsed="false">
      <c r="A67" s="34" t="s">
        <v>2907</v>
      </c>
      <c r="B67" s="35" t="s">
        <v>2908</v>
      </c>
      <c r="C67" s="34" t="s">
        <v>2786</v>
      </c>
      <c r="D67" s="42" t="n">
        <v>7</v>
      </c>
      <c r="E67" s="34" t="s">
        <v>2774</v>
      </c>
      <c r="F67" s="35" t="s">
        <v>2791</v>
      </c>
      <c r="G67" s="63" t="n">
        <v>66</v>
      </c>
      <c r="H67" s="35" t="s">
        <v>2783</v>
      </c>
      <c r="I67" s="63" t="n">
        <v>21</v>
      </c>
      <c r="J67" s="35" t="s">
        <v>2775</v>
      </c>
      <c r="K67" s="63" t="n">
        <v>29</v>
      </c>
      <c r="L67" s="63" t="n">
        <f aca="false">G67+I67+K67</f>
        <v>116</v>
      </c>
      <c r="M67" s="64" t="n">
        <f aca="false">L67/300*100</f>
        <v>38.6666666666667</v>
      </c>
      <c r="N67" s="34" t="str">
        <f aca="false">IF(M67&gt;=90,"A+",IF(M67&gt;=80,"A",IF(M67&gt;=70,"B+",IF(M67&gt;=60,"B",IF(M67&gt;=50,"C","F")))))</f>
        <v>F</v>
      </c>
      <c r="O67" s="65" t="n">
        <f aca="false">IF(M67&gt;=90,4,IF(M67&gt;=80,3.7,IF(M67&gt;=70,3.3,IF(M67&gt;=60,3,IF(M67&gt;=50,2,0)))))</f>
        <v>0</v>
      </c>
      <c r="P67" s="38" t="n">
        <v>0.711</v>
      </c>
      <c r="Q67" s="66" t="n">
        <v>73.3</v>
      </c>
      <c r="R67" s="66" t="n">
        <v>48.5</v>
      </c>
      <c r="S67" s="34" t="str">
        <f aca="false">IF(M67&gt;=40,"Pass","Fail")</f>
        <v>Fail</v>
      </c>
      <c r="T67" s="34" t="str">
        <f aca="false">IF(M67&gt;=80,"Yes","No")</f>
        <v>No</v>
      </c>
    </row>
    <row r="68" customFormat="false" ht="15" hidden="false" customHeight="false" outlineLevel="0" collapsed="false">
      <c r="A68" s="43" t="s">
        <v>2909</v>
      </c>
      <c r="B68" s="44" t="s">
        <v>2910</v>
      </c>
      <c r="C68" s="43" t="s">
        <v>2762</v>
      </c>
      <c r="D68" s="51" t="n">
        <v>4</v>
      </c>
      <c r="E68" s="43" t="s">
        <v>2782</v>
      </c>
      <c r="F68" s="44" t="s">
        <v>2764</v>
      </c>
      <c r="G68" s="67" t="n">
        <v>23</v>
      </c>
      <c r="H68" s="44" t="s">
        <v>2778</v>
      </c>
      <c r="I68" s="67" t="n">
        <v>45</v>
      </c>
      <c r="J68" s="44" t="s">
        <v>2775</v>
      </c>
      <c r="K68" s="67" t="n">
        <v>45</v>
      </c>
      <c r="L68" s="67" t="n">
        <f aca="false">G68+I68+K68</f>
        <v>113</v>
      </c>
      <c r="M68" s="68" t="n">
        <f aca="false">L68/300*100</f>
        <v>37.6666666666667</v>
      </c>
      <c r="N68" s="43" t="str">
        <f aca="false">IF(M68&gt;=90,"A+",IF(M68&gt;=80,"A",IF(M68&gt;=70,"B+",IF(M68&gt;=60,"B",IF(M68&gt;=50,"C","F")))))</f>
        <v>F</v>
      </c>
      <c r="O68" s="69" t="n">
        <f aca="false">IF(M68&gt;=90,4,IF(M68&gt;=80,3.7,IF(M68&gt;=70,3.3,IF(M68&gt;=60,3,IF(M68&gt;=50,2,0)))))</f>
        <v>0</v>
      </c>
      <c r="P68" s="47" t="n">
        <v>0.678</v>
      </c>
      <c r="Q68" s="70" t="n">
        <v>53.1</v>
      </c>
      <c r="R68" s="70" t="n">
        <v>55.7</v>
      </c>
      <c r="S68" s="43" t="str">
        <f aca="false">IF(M68&gt;=40,"Pass","Fail")</f>
        <v>Fail</v>
      </c>
      <c r="T68" s="43" t="str">
        <f aca="false">IF(M68&gt;=80,"Yes","No")</f>
        <v>No</v>
      </c>
    </row>
    <row r="69" customFormat="false" ht="15" hidden="false" customHeight="false" outlineLevel="0" collapsed="false">
      <c r="A69" s="34" t="s">
        <v>2911</v>
      </c>
      <c r="B69" s="35" t="s">
        <v>2912</v>
      </c>
      <c r="C69" s="34" t="s">
        <v>2781</v>
      </c>
      <c r="D69" s="42" t="n">
        <v>6</v>
      </c>
      <c r="E69" s="34" t="s">
        <v>2782</v>
      </c>
      <c r="F69" s="35" t="s">
        <v>2765</v>
      </c>
      <c r="G69" s="63" t="n">
        <v>22</v>
      </c>
      <c r="H69" s="35" t="s">
        <v>2783</v>
      </c>
      <c r="I69" s="63" t="n">
        <v>42</v>
      </c>
      <c r="J69" s="35" t="s">
        <v>2764</v>
      </c>
      <c r="K69" s="63" t="n">
        <v>53</v>
      </c>
      <c r="L69" s="63" t="n">
        <f aca="false">G69+I69+K69</f>
        <v>117</v>
      </c>
      <c r="M69" s="64" t="n">
        <f aca="false">L69/300*100</f>
        <v>39</v>
      </c>
      <c r="N69" s="34" t="str">
        <f aca="false">IF(M69&gt;=90,"A+",IF(M69&gt;=80,"A",IF(M69&gt;=70,"B+",IF(M69&gt;=60,"B",IF(M69&gt;=50,"C","F")))))</f>
        <v>F</v>
      </c>
      <c r="O69" s="65" t="n">
        <f aca="false">IF(M69&gt;=90,4,IF(M69&gt;=80,3.7,IF(M69&gt;=70,3.3,IF(M69&gt;=60,3,IF(M69&gt;=50,2,0)))))</f>
        <v>0</v>
      </c>
      <c r="P69" s="38" t="n">
        <v>0.96</v>
      </c>
      <c r="Q69" s="66" t="n">
        <v>41.3</v>
      </c>
      <c r="R69" s="66" t="n">
        <v>80.6</v>
      </c>
      <c r="S69" s="34" t="str">
        <f aca="false">IF(M69&gt;=40,"Pass","Fail")</f>
        <v>Fail</v>
      </c>
      <c r="T69" s="34" t="str">
        <f aca="false">IF(M69&gt;=80,"Yes","No")</f>
        <v>No</v>
      </c>
    </row>
    <row r="70" customFormat="false" ht="15" hidden="false" customHeight="false" outlineLevel="0" collapsed="false">
      <c r="A70" s="43" t="s">
        <v>2913</v>
      </c>
      <c r="B70" s="44" t="s">
        <v>2914</v>
      </c>
      <c r="C70" s="43" t="s">
        <v>2762</v>
      </c>
      <c r="D70" s="51" t="n">
        <v>2</v>
      </c>
      <c r="E70" s="43" t="s">
        <v>2763</v>
      </c>
      <c r="F70" s="44" t="s">
        <v>2765</v>
      </c>
      <c r="G70" s="67" t="n">
        <v>50</v>
      </c>
      <c r="H70" s="44" t="s">
        <v>2771</v>
      </c>
      <c r="I70" s="67" t="n">
        <v>67</v>
      </c>
      <c r="J70" s="44" t="s">
        <v>2770</v>
      </c>
      <c r="K70" s="67" t="n">
        <v>67</v>
      </c>
      <c r="L70" s="67" t="n">
        <f aca="false">G70+I70+K70</f>
        <v>184</v>
      </c>
      <c r="M70" s="68" t="n">
        <f aca="false">L70/300*100</f>
        <v>61.3333333333333</v>
      </c>
      <c r="N70" s="43" t="str">
        <f aca="false">IF(M70&gt;=90,"A+",IF(M70&gt;=80,"A",IF(M70&gt;=70,"B+",IF(M70&gt;=60,"B",IF(M70&gt;=50,"C","F")))))</f>
        <v>B</v>
      </c>
      <c r="O70" s="69" t="n">
        <f aca="false">IF(M70&gt;=90,4,IF(M70&gt;=80,3.7,IF(M70&gt;=70,3.3,IF(M70&gt;=60,3,IF(M70&gt;=50,2,0)))))</f>
        <v>3</v>
      </c>
      <c r="P70" s="47" t="n">
        <v>0.847</v>
      </c>
      <c r="Q70" s="70" t="n">
        <v>96.5</v>
      </c>
      <c r="R70" s="70" t="n">
        <v>98.6</v>
      </c>
      <c r="S70" s="43" t="str">
        <f aca="false">IF(M70&gt;=40,"Pass","Fail")</f>
        <v>Pass</v>
      </c>
      <c r="T70" s="43" t="str">
        <f aca="false">IF(M70&gt;=80,"Yes","No")</f>
        <v>No</v>
      </c>
    </row>
    <row r="71" customFormat="false" ht="15" hidden="false" customHeight="false" outlineLevel="0" collapsed="false">
      <c r="A71" s="34" t="s">
        <v>2915</v>
      </c>
      <c r="B71" s="35" t="s">
        <v>2916</v>
      </c>
      <c r="C71" s="34" t="s">
        <v>2806</v>
      </c>
      <c r="D71" s="42" t="n">
        <v>7</v>
      </c>
      <c r="E71" s="34" t="s">
        <v>2782</v>
      </c>
      <c r="F71" s="35" t="s">
        <v>2792</v>
      </c>
      <c r="G71" s="63" t="n">
        <v>36</v>
      </c>
      <c r="H71" s="35" t="s">
        <v>2764</v>
      </c>
      <c r="I71" s="63" t="n">
        <v>44</v>
      </c>
      <c r="J71" s="35" t="s">
        <v>2783</v>
      </c>
      <c r="K71" s="63" t="n">
        <v>44</v>
      </c>
      <c r="L71" s="63" t="n">
        <f aca="false">G71+I71+K71</f>
        <v>124</v>
      </c>
      <c r="M71" s="64" t="n">
        <f aca="false">L71/300*100</f>
        <v>41.3333333333333</v>
      </c>
      <c r="N71" s="34" t="str">
        <f aca="false">IF(M71&gt;=90,"A+",IF(M71&gt;=80,"A",IF(M71&gt;=70,"B+",IF(M71&gt;=60,"B",IF(M71&gt;=50,"C","F")))))</f>
        <v>F</v>
      </c>
      <c r="O71" s="65" t="n">
        <f aca="false">IF(M71&gt;=90,4,IF(M71&gt;=80,3.7,IF(M71&gt;=70,3.3,IF(M71&gt;=60,3,IF(M71&gt;=50,2,0)))))</f>
        <v>0</v>
      </c>
      <c r="P71" s="38" t="n">
        <v>0.79</v>
      </c>
      <c r="Q71" s="66" t="n">
        <v>81.7</v>
      </c>
      <c r="R71" s="66" t="n">
        <v>59.1</v>
      </c>
      <c r="S71" s="34" t="str">
        <f aca="false">IF(M71&gt;=40,"Pass","Fail")</f>
        <v>Pass</v>
      </c>
      <c r="T71" s="34" t="str">
        <f aca="false">IF(M71&gt;=80,"Yes","No")</f>
        <v>No</v>
      </c>
    </row>
    <row r="72" customFormat="false" ht="15" hidden="false" customHeight="false" outlineLevel="0" collapsed="false">
      <c r="A72" s="43" t="s">
        <v>2917</v>
      </c>
      <c r="B72" s="44" t="s">
        <v>2918</v>
      </c>
      <c r="C72" s="43" t="s">
        <v>2762</v>
      </c>
      <c r="D72" s="51" t="n">
        <v>4</v>
      </c>
      <c r="E72" s="43" t="s">
        <v>2774</v>
      </c>
      <c r="F72" s="44" t="s">
        <v>2764</v>
      </c>
      <c r="G72" s="67" t="n">
        <v>39</v>
      </c>
      <c r="H72" s="44" t="s">
        <v>2765</v>
      </c>
      <c r="I72" s="67" t="n">
        <v>61</v>
      </c>
      <c r="J72" s="44" t="s">
        <v>2771</v>
      </c>
      <c r="K72" s="67" t="n">
        <v>51</v>
      </c>
      <c r="L72" s="67" t="n">
        <f aca="false">G72+I72+K72</f>
        <v>151</v>
      </c>
      <c r="M72" s="68" t="n">
        <f aca="false">L72/300*100</f>
        <v>50.3333333333333</v>
      </c>
      <c r="N72" s="43" t="str">
        <f aca="false">IF(M72&gt;=90,"A+",IF(M72&gt;=80,"A",IF(M72&gt;=70,"B+",IF(M72&gt;=60,"B",IF(M72&gt;=50,"C","F")))))</f>
        <v>C</v>
      </c>
      <c r="O72" s="69" t="n">
        <f aca="false">IF(M72&gt;=90,4,IF(M72&gt;=80,3.7,IF(M72&gt;=70,3.3,IF(M72&gt;=60,3,IF(M72&gt;=50,2,0)))))</f>
        <v>2</v>
      </c>
      <c r="P72" s="47" t="n">
        <v>0.574</v>
      </c>
      <c r="Q72" s="70" t="n">
        <v>87.7</v>
      </c>
      <c r="R72" s="70" t="n">
        <v>92.4</v>
      </c>
      <c r="S72" s="43" t="str">
        <f aca="false">IF(M72&gt;=40,"Pass","Fail")</f>
        <v>Pass</v>
      </c>
      <c r="T72" s="43" t="str">
        <f aca="false">IF(M72&gt;=80,"Yes","No")</f>
        <v>No</v>
      </c>
    </row>
    <row r="73" customFormat="false" ht="15" hidden="false" customHeight="false" outlineLevel="0" collapsed="false">
      <c r="A73" s="34" t="s">
        <v>2919</v>
      </c>
      <c r="B73" s="35" t="s">
        <v>2920</v>
      </c>
      <c r="C73" s="34" t="s">
        <v>2786</v>
      </c>
      <c r="D73" s="42" t="n">
        <v>8</v>
      </c>
      <c r="E73" s="34" t="s">
        <v>2774</v>
      </c>
      <c r="F73" s="35" t="s">
        <v>2792</v>
      </c>
      <c r="G73" s="63" t="n">
        <v>41</v>
      </c>
      <c r="H73" s="35" t="s">
        <v>2770</v>
      </c>
      <c r="I73" s="63" t="n">
        <v>85</v>
      </c>
      <c r="J73" s="35" t="s">
        <v>2764</v>
      </c>
      <c r="K73" s="63" t="n">
        <v>69</v>
      </c>
      <c r="L73" s="63" t="n">
        <f aca="false">G73+I73+K73</f>
        <v>195</v>
      </c>
      <c r="M73" s="64" t="n">
        <f aca="false">L73/300*100</f>
        <v>65</v>
      </c>
      <c r="N73" s="34" t="str">
        <f aca="false">IF(M73&gt;=90,"A+",IF(M73&gt;=80,"A",IF(M73&gt;=70,"B+",IF(M73&gt;=60,"B",IF(M73&gt;=50,"C","F")))))</f>
        <v>B</v>
      </c>
      <c r="O73" s="65" t="n">
        <f aca="false">IF(M73&gt;=90,4,IF(M73&gt;=80,3.7,IF(M73&gt;=70,3.3,IF(M73&gt;=60,3,IF(M73&gt;=50,2,0)))))</f>
        <v>3</v>
      </c>
      <c r="P73" s="38" t="n">
        <v>0.888</v>
      </c>
      <c r="Q73" s="66" t="n">
        <v>78.7</v>
      </c>
      <c r="R73" s="66" t="n">
        <v>70.5</v>
      </c>
      <c r="S73" s="34" t="str">
        <f aca="false">IF(M73&gt;=40,"Pass","Fail")</f>
        <v>Pass</v>
      </c>
      <c r="T73" s="34" t="str">
        <f aca="false">IF(M73&gt;=80,"Yes","No")</f>
        <v>No</v>
      </c>
    </row>
    <row r="74" customFormat="false" ht="15" hidden="false" customHeight="false" outlineLevel="0" collapsed="false">
      <c r="A74" s="43" t="s">
        <v>2921</v>
      </c>
      <c r="B74" s="44" t="s">
        <v>2922</v>
      </c>
      <c r="C74" s="43" t="s">
        <v>2762</v>
      </c>
      <c r="D74" s="51" t="n">
        <v>8</v>
      </c>
      <c r="E74" s="43" t="s">
        <v>2774</v>
      </c>
      <c r="F74" s="44" t="s">
        <v>2778</v>
      </c>
      <c r="G74" s="67" t="n">
        <v>83</v>
      </c>
      <c r="H74" s="44" t="s">
        <v>2764</v>
      </c>
      <c r="I74" s="67" t="n">
        <v>80</v>
      </c>
      <c r="J74" s="44" t="s">
        <v>2770</v>
      </c>
      <c r="K74" s="67" t="n">
        <v>54</v>
      </c>
      <c r="L74" s="67" t="n">
        <f aca="false">G74+I74+K74</f>
        <v>217</v>
      </c>
      <c r="M74" s="68" t="n">
        <f aca="false">L74/300*100</f>
        <v>72.3333333333333</v>
      </c>
      <c r="N74" s="43" t="str">
        <f aca="false">IF(M74&gt;=90,"A+",IF(M74&gt;=80,"A",IF(M74&gt;=70,"B+",IF(M74&gt;=60,"B",IF(M74&gt;=50,"C","F")))))</f>
        <v>B+</v>
      </c>
      <c r="O74" s="69" t="n">
        <f aca="false">IF(M74&gt;=90,4,IF(M74&gt;=80,3.7,IF(M74&gt;=70,3.3,IF(M74&gt;=60,3,IF(M74&gt;=50,2,0)))))</f>
        <v>3.3</v>
      </c>
      <c r="P74" s="47" t="n">
        <v>0.812</v>
      </c>
      <c r="Q74" s="70" t="n">
        <v>78.3</v>
      </c>
      <c r="R74" s="70" t="n">
        <v>87.4</v>
      </c>
      <c r="S74" s="43" t="str">
        <f aca="false">IF(M74&gt;=40,"Pass","Fail")</f>
        <v>Pass</v>
      </c>
      <c r="T74" s="43" t="str">
        <f aca="false">IF(M74&gt;=80,"Yes","No")</f>
        <v>No</v>
      </c>
    </row>
    <row r="75" customFormat="false" ht="15" hidden="false" customHeight="false" outlineLevel="0" collapsed="false">
      <c r="A75" s="34" t="s">
        <v>2923</v>
      </c>
      <c r="B75" s="35" t="s">
        <v>2924</v>
      </c>
      <c r="C75" s="34" t="s">
        <v>2769</v>
      </c>
      <c r="D75" s="42" t="n">
        <v>1</v>
      </c>
      <c r="E75" s="34" t="s">
        <v>2774</v>
      </c>
      <c r="F75" s="35" t="s">
        <v>2765</v>
      </c>
      <c r="G75" s="63" t="n">
        <v>50</v>
      </c>
      <c r="H75" s="35" t="s">
        <v>2764</v>
      </c>
      <c r="I75" s="63" t="n">
        <v>70</v>
      </c>
      <c r="J75" s="35" t="s">
        <v>2770</v>
      </c>
      <c r="K75" s="63" t="n">
        <v>47</v>
      </c>
      <c r="L75" s="63" t="n">
        <f aca="false">G75+I75+K75</f>
        <v>167</v>
      </c>
      <c r="M75" s="64" t="n">
        <f aca="false">L75/300*100</f>
        <v>55.6666666666667</v>
      </c>
      <c r="N75" s="34" t="str">
        <f aca="false">IF(M75&gt;=90,"A+",IF(M75&gt;=80,"A",IF(M75&gt;=70,"B+",IF(M75&gt;=60,"B",IF(M75&gt;=50,"C","F")))))</f>
        <v>C</v>
      </c>
      <c r="O75" s="65" t="n">
        <f aca="false">IF(M75&gt;=90,4,IF(M75&gt;=80,3.7,IF(M75&gt;=70,3.3,IF(M75&gt;=60,3,IF(M75&gt;=50,2,0)))))</f>
        <v>2</v>
      </c>
      <c r="P75" s="38" t="n">
        <v>0.688</v>
      </c>
      <c r="Q75" s="66" t="n">
        <v>93.3</v>
      </c>
      <c r="R75" s="66" t="n">
        <v>74.3</v>
      </c>
      <c r="S75" s="34" t="str">
        <f aca="false">IF(M75&gt;=40,"Pass","Fail")</f>
        <v>Pass</v>
      </c>
      <c r="T75" s="34" t="str">
        <f aca="false">IF(M75&gt;=80,"Yes","No")</f>
        <v>No</v>
      </c>
    </row>
    <row r="76" customFormat="false" ht="15" hidden="false" customHeight="false" outlineLevel="0" collapsed="false">
      <c r="A76" s="43" t="s">
        <v>2925</v>
      </c>
      <c r="B76" s="44" t="s">
        <v>2926</v>
      </c>
      <c r="C76" s="43" t="s">
        <v>2786</v>
      </c>
      <c r="D76" s="51" t="n">
        <v>6</v>
      </c>
      <c r="E76" s="43" t="s">
        <v>2763</v>
      </c>
      <c r="F76" s="44" t="s">
        <v>2766</v>
      </c>
      <c r="G76" s="67" t="n">
        <v>30</v>
      </c>
      <c r="H76" s="44" t="s">
        <v>2792</v>
      </c>
      <c r="I76" s="67" t="n">
        <v>57</v>
      </c>
      <c r="J76" s="44" t="s">
        <v>2783</v>
      </c>
      <c r="K76" s="67" t="n">
        <v>76</v>
      </c>
      <c r="L76" s="67" t="n">
        <f aca="false">G76+I76+K76</f>
        <v>163</v>
      </c>
      <c r="M76" s="68" t="n">
        <f aca="false">L76/300*100</f>
        <v>54.3333333333333</v>
      </c>
      <c r="N76" s="43" t="str">
        <f aca="false">IF(M76&gt;=90,"A+",IF(M76&gt;=80,"A",IF(M76&gt;=70,"B+",IF(M76&gt;=60,"B",IF(M76&gt;=50,"C","F")))))</f>
        <v>C</v>
      </c>
      <c r="O76" s="69" t="n">
        <f aca="false">IF(M76&gt;=90,4,IF(M76&gt;=80,3.7,IF(M76&gt;=70,3.3,IF(M76&gt;=60,3,IF(M76&gt;=50,2,0)))))</f>
        <v>2</v>
      </c>
      <c r="P76" s="47" t="n">
        <v>0.783</v>
      </c>
      <c r="Q76" s="70" t="n">
        <v>53.8</v>
      </c>
      <c r="R76" s="70" t="n">
        <v>42.5</v>
      </c>
      <c r="S76" s="43" t="str">
        <f aca="false">IF(M76&gt;=40,"Pass","Fail")</f>
        <v>Pass</v>
      </c>
      <c r="T76" s="43" t="str">
        <f aca="false">IF(M76&gt;=80,"Yes","No")</f>
        <v>No</v>
      </c>
    </row>
    <row r="77" customFormat="false" ht="15" hidden="false" customHeight="false" outlineLevel="0" collapsed="false">
      <c r="A77" s="34" t="s">
        <v>2927</v>
      </c>
      <c r="B77" s="35" t="s">
        <v>2928</v>
      </c>
      <c r="C77" s="34" t="s">
        <v>2806</v>
      </c>
      <c r="D77" s="42" t="n">
        <v>6</v>
      </c>
      <c r="E77" s="34" t="s">
        <v>2763</v>
      </c>
      <c r="F77" s="35" t="s">
        <v>2770</v>
      </c>
      <c r="G77" s="63" t="n">
        <v>72</v>
      </c>
      <c r="H77" s="35" t="s">
        <v>2764</v>
      </c>
      <c r="I77" s="63" t="n">
        <v>67</v>
      </c>
      <c r="J77" s="35" t="s">
        <v>2791</v>
      </c>
      <c r="K77" s="63" t="n">
        <v>83</v>
      </c>
      <c r="L77" s="63" t="n">
        <f aca="false">G77+I77+K77</f>
        <v>222</v>
      </c>
      <c r="M77" s="64" t="n">
        <f aca="false">L77/300*100</f>
        <v>74</v>
      </c>
      <c r="N77" s="34" t="str">
        <f aca="false">IF(M77&gt;=90,"A+",IF(M77&gt;=80,"A",IF(M77&gt;=70,"B+",IF(M77&gt;=60,"B",IF(M77&gt;=50,"C","F")))))</f>
        <v>B+</v>
      </c>
      <c r="O77" s="65" t="n">
        <f aca="false">IF(M77&gt;=90,4,IF(M77&gt;=80,3.7,IF(M77&gt;=70,3.3,IF(M77&gt;=60,3,IF(M77&gt;=50,2,0)))))</f>
        <v>3.3</v>
      </c>
      <c r="P77" s="38" t="n">
        <v>0.693</v>
      </c>
      <c r="Q77" s="66" t="n">
        <v>62.9</v>
      </c>
      <c r="R77" s="66" t="n">
        <v>50.8</v>
      </c>
      <c r="S77" s="34" t="str">
        <f aca="false">IF(M77&gt;=40,"Pass","Fail")</f>
        <v>Pass</v>
      </c>
      <c r="T77" s="34" t="str">
        <f aca="false">IF(M77&gt;=80,"Yes","No")</f>
        <v>No</v>
      </c>
    </row>
    <row r="78" customFormat="false" ht="15" hidden="false" customHeight="false" outlineLevel="0" collapsed="false">
      <c r="A78" s="43" t="s">
        <v>2929</v>
      </c>
      <c r="B78" s="44" t="s">
        <v>2930</v>
      </c>
      <c r="C78" s="43" t="s">
        <v>2781</v>
      </c>
      <c r="D78" s="51" t="n">
        <v>5</v>
      </c>
      <c r="E78" s="43" t="s">
        <v>2782</v>
      </c>
      <c r="F78" s="44" t="s">
        <v>2792</v>
      </c>
      <c r="G78" s="67" t="n">
        <v>57</v>
      </c>
      <c r="H78" s="44" t="s">
        <v>2778</v>
      </c>
      <c r="I78" s="67" t="n">
        <v>84</v>
      </c>
      <c r="J78" s="44" t="s">
        <v>2764</v>
      </c>
      <c r="K78" s="67" t="n">
        <v>85</v>
      </c>
      <c r="L78" s="67" t="n">
        <f aca="false">G78+I78+K78</f>
        <v>226</v>
      </c>
      <c r="M78" s="68" t="n">
        <f aca="false">L78/300*100</f>
        <v>75.3333333333333</v>
      </c>
      <c r="N78" s="43" t="str">
        <f aca="false">IF(M78&gt;=90,"A+",IF(M78&gt;=80,"A",IF(M78&gt;=70,"B+",IF(M78&gt;=60,"B",IF(M78&gt;=50,"C","F")))))</f>
        <v>B+</v>
      </c>
      <c r="O78" s="69" t="n">
        <f aca="false">IF(M78&gt;=90,4,IF(M78&gt;=80,3.7,IF(M78&gt;=70,3.3,IF(M78&gt;=60,3,IF(M78&gt;=50,2,0)))))</f>
        <v>3.3</v>
      </c>
      <c r="P78" s="47" t="n">
        <v>0.796</v>
      </c>
      <c r="Q78" s="70" t="n">
        <v>44.7</v>
      </c>
      <c r="R78" s="70" t="n">
        <v>56.6</v>
      </c>
      <c r="S78" s="43" t="str">
        <f aca="false">IF(M78&gt;=40,"Pass","Fail")</f>
        <v>Pass</v>
      </c>
      <c r="T78" s="43" t="str">
        <f aca="false">IF(M78&gt;=80,"Yes","No")</f>
        <v>No</v>
      </c>
    </row>
    <row r="79" customFormat="false" ht="15" hidden="false" customHeight="false" outlineLevel="0" collapsed="false">
      <c r="A79" s="34" t="s">
        <v>2931</v>
      </c>
      <c r="B79" s="35" t="s">
        <v>2932</v>
      </c>
      <c r="C79" s="34" t="s">
        <v>2781</v>
      </c>
      <c r="D79" s="42" t="n">
        <v>2</v>
      </c>
      <c r="E79" s="34" t="s">
        <v>2774</v>
      </c>
      <c r="F79" s="35" t="s">
        <v>2792</v>
      </c>
      <c r="G79" s="63" t="n">
        <v>89</v>
      </c>
      <c r="H79" s="35" t="s">
        <v>2778</v>
      </c>
      <c r="I79" s="63" t="n">
        <v>45</v>
      </c>
      <c r="J79" s="35" t="s">
        <v>2775</v>
      </c>
      <c r="K79" s="63" t="n">
        <v>62</v>
      </c>
      <c r="L79" s="63" t="n">
        <f aca="false">G79+I79+K79</f>
        <v>196</v>
      </c>
      <c r="M79" s="64" t="n">
        <f aca="false">L79/300*100</f>
        <v>65.3333333333333</v>
      </c>
      <c r="N79" s="34" t="str">
        <f aca="false">IF(M79&gt;=90,"A+",IF(M79&gt;=80,"A",IF(M79&gt;=70,"B+",IF(M79&gt;=60,"B",IF(M79&gt;=50,"C","F")))))</f>
        <v>B</v>
      </c>
      <c r="O79" s="65" t="n">
        <f aca="false">IF(M79&gt;=90,4,IF(M79&gt;=80,3.7,IF(M79&gt;=70,3.3,IF(M79&gt;=60,3,IF(M79&gt;=50,2,0)))))</f>
        <v>3</v>
      </c>
      <c r="P79" s="38" t="n">
        <v>0.638</v>
      </c>
      <c r="Q79" s="66" t="n">
        <v>59.8</v>
      </c>
      <c r="R79" s="66" t="n">
        <v>58.2</v>
      </c>
      <c r="S79" s="34" t="str">
        <f aca="false">IF(M79&gt;=40,"Pass","Fail")</f>
        <v>Pass</v>
      </c>
      <c r="T79" s="34" t="str">
        <f aca="false">IF(M79&gt;=80,"Yes","No")</f>
        <v>No</v>
      </c>
    </row>
    <row r="80" customFormat="false" ht="15" hidden="false" customHeight="false" outlineLevel="0" collapsed="false">
      <c r="A80" s="43" t="s">
        <v>2933</v>
      </c>
      <c r="B80" s="44" t="s">
        <v>2934</v>
      </c>
      <c r="C80" s="43" t="s">
        <v>2786</v>
      </c>
      <c r="D80" s="51" t="n">
        <v>5</v>
      </c>
      <c r="E80" s="43" t="s">
        <v>2774</v>
      </c>
      <c r="F80" s="44" t="s">
        <v>2764</v>
      </c>
      <c r="G80" s="67" t="n">
        <v>21</v>
      </c>
      <c r="H80" s="44" t="s">
        <v>2783</v>
      </c>
      <c r="I80" s="67" t="n">
        <v>58</v>
      </c>
      <c r="J80" s="44" t="s">
        <v>2771</v>
      </c>
      <c r="K80" s="67" t="n">
        <v>56</v>
      </c>
      <c r="L80" s="67" t="n">
        <f aca="false">G80+I80+K80</f>
        <v>135</v>
      </c>
      <c r="M80" s="68" t="n">
        <f aca="false">L80/300*100</f>
        <v>45</v>
      </c>
      <c r="N80" s="43" t="str">
        <f aca="false">IF(M80&gt;=90,"A+",IF(M80&gt;=80,"A",IF(M80&gt;=70,"B+",IF(M80&gt;=60,"B",IF(M80&gt;=50,"C","F")))))</f>
        <v>F</v>
      </c>
      <c r="O80" s="69" t="n">
        <f aca="false">IF(M80&gt;=90,4,IF(M80&gt;=80,3.7,IF(M80&gt;=70,3.3,IF(M80&gt;=60,3,IF(M80&gt;=50,2,0)))))</f>
        <v>0</v>
      </c>
      <c r="P80" s="47" t="n">
        <v>0.92</v>
      </c>
      <c r="Q80" s="70" t="n">
        <v>87</v>
      </c>
      <c r="R80" s="70" t="n">
        <v>64.2</v>
      </c>
      <c r="S80" s="43" t="str">
        <f aca="false">IF(M80&gt;=40,"Pass","Fail")</f>
        <v>Pass</v>
      </c>
      <c r="T80" s="43" t="str">
        <f aca="false">IF(M80&gt;=80,"Yes","No")</f>
        <v>No</v>
      </c>
    </row>
    <row r="81" customFormat="false" ht="15" hidden="false" customHeight="false" outlineLevel="0" collapsed="false">
      <c r="A81" s="34" t="s">
        <v>2935</v>
      </c>
      <c r="B81" s="35" t="s">
        <v>2936</v>
      </c>
      <c r="C81" s="34" t="s">
        <v>2762</v>
      </c>
      <c r="D81" s="42" t="n">
        <v>1</v>
      </c>
      <c r="E81" s="34" t="s">
        <v>2763</v>
      </c>
      <c r="F81" s="35" t="s">
        <v>2766</v>
      </c>
      <c r="G81" s="63" t="n">
        <v>49</v>
      </c>
      <c r="H81" s="35" t="s">
        <v>2783</v>
      </c>
      <c r="I81" s="63" t="n">
        <v>49</v>
      </c>
      <c r="J81" s="35" t="s">
        <v>2791</v>
      </c>
      <c r="K81" s="63" t="n">
        <v>46</v>
      </c>
      <c r="L81" s="63" t="n">
        <f aca="false">G81+I81+K81</f>
        <v>144</v>
      </c>
      <c r="M81" s="64" t="n">
        <f aca="false">L81/300*100</f>
        <v>48</v>
      </c>
      <c r="N81" s="34" t="str">
        <f aca="false">IF(M81&gt;=90,"A+",IF(M81&gt;=80,"A",IF(M81&gt;=70,"B+",IF(M81&gt;=60,"B",IF(M81&gt;=50,"C","F")))))</f>
        <v>F</v>
      </c>
      <c r="O81" s="65" t="n">
        <f aca="false">IF(M81&gt;=90,4,IF(M81&gt;=80,3.7,IF(M81&gt;=70,3.3,IF(M81&gt;=60,3,IF(M81&gt;=50,2,0)))))</f>
        <v>0</v>
      </c>
      <c r="P81" s="38" t="n">
        <v>0.763</v>
      </c>
      <c r="Q81" s="66" t="n">
        <v>70.9</v>
      </c>
      <c r="R81" s="66" t="n">
        <v>87.2</v>
      </c>
      <c r="S81" s="34" t="str">
        <f aca="false">IF(M81&gt;=40,"Pass","Fail")</f>
        <v>Pass</v>
      </c>
      <c r="T81" s="34" t="str">
        <f aca="false">IF(M81&gt;=80,"Yes","No")</f>
        <v>No</v>
      </c>
    </row>
    <row r="82" customFormat="false" ht="15" hidden="false" customHeight="false" outlineLevel="0" collapsed="false">
      <c r="A82" s="43" t="s">
        <v>2937</v>
      </c>
      <c r="B82" s="44" t="s">
        <v>2938</v>
      </c>
      <c r="C82" s="43" t="s">
        <v>2786</v>
      </c>
      <c r="D82" s="51" t="n">
        <v>8</v>
      </c>
      <c r="E82" s="43" t="s">
        <v>2782</v>
      </c>
      <c r="F82" s="44" t="s">
        <v>2770</v>
      </c>
      <c r="G82" s="67" t="n">
        <v>60</v>
      </c>
      <c r="H82" s="44" t="s">
        <v>2778</v>
      </c>
      <c r="I82" s="67" t="n">
        <v>44</v>
      </c>
      <c r="J82" s="44" t="s">
        <v>2792</v>
      </c>
      <c r="K82" s="67" t="n">
        <v>74</v>
      </c>
      <c r="L82" s="67" t="n">
        <f aca="false">G82+I82+K82</f>
        <v>178</v>
      </c>
      <c r="M82" s="68" t="n">
        <f aca="false">L82/300*100</f>
        <v>59.3333333333333</v>
      </c>
      <c r="N82" s="43" t="str">
        <f aca="false">IF(M82&gt;=90,"A+",IF(M82&gt;=80,"A",IF(M82&gt;=70,"B+",IF(M82&gt;=60,"B",IF(M82&gt;=50,"C","F")))))</f>
        <v>C</v>
      </c>
      <c r="O82" s="69" t="n">
        <f aca="false">IF(M82&gt;=90,4,IF(M82&gt;=80,3.7,IF(M82&gt;=70,3.3,IF(M82&gt;=60,3,IF(M82&gt;=50,2,0)))))</f>
        <v>2</v>
      </c>
      <c r="P82" s="47" t="n">
        <v>0.897</v>
      </c>
      <c r="Q82" s="70" t="n">
        <v>81.9</v>
      </c>
      <c r="R82" s="70" t="n">
        <v>52.6</v>
      </c>
      <c r="S82" s="43" t="str">
        <f aca="false">IF(M82&gt;=40,"Pass","Fail")</f>
        <v>Pass</v>
      </c>
      <c r="T82" s="43" t="str">
        <f aca="false">IF(M82&gt;=80,"Yes","No")</f>
        <v>No</v>
      </c>
    </row>
    <row r="83" customFormat="false" ht="15" hidden="false" customHeight="false" outlineLevel="0" collapsed="false">
      <c r="A83" s="34" t="s">
        <v>2939</v>
      </c>
      <c r="B83" s="35" t="s">
        <v>2940</v>
      </c>
      <c r="C83" s="34" t="s">
        <v>2762</v>
      </c>
      <c r="D83" s="42" t="n">
        <v>1</v>
      </c>
      <c r="E83" s="34" t="s">
        <v>2763</v>
      </c>
      <c r="F83" s="35" t="s">
        <v>2783</v>
      </c>
      <c r="G83" s="63" t="n">
        <v>21</v>
      </c>
      <c r="H83" s="35" t="s">
        <v>2764</v>
      </c>
      <c r="I83" s="63" t="n">
        <v>83</v>
      </c>
      <c r="J83" s="35" t="s">
        <v>2771</v>
      </c>
      <c r="K83" s="63" t="n">
        <v>65</v>
      </c>
      <c r="L83" s="63" t="n">
        <f aca="false">G83+I83+K83</f>
        <v>169</v>
      </c>
      <c r="M83" s="64" t="n">
        <f aca="false">L83/300*100</f>
        <v>56.3333333333333</v>
      </c>
      <c r="N83" s="34" t="str">
        <f aca="false">IF(M83&gt;=90,"A+",IF(M83&gt;=80,"A",IF(M83&gt;=70,"B+",IF(M83&gt;=60,"B",IF(M83&gt;=50,"C","F")))))</f>
        <v>C</v>
      </c>
      <c r="O83" s="65" t="n">
        <f aca="false">IF(M83&gt;=90,4,IF(M83&gt;=80,3.7,IF(M83&gt;=70,3.3,IF(M83&gt;=60,3,IF(M83&gt;=50,2,0)))))</f>
        <v>2</v>
      </c>
      <c r="P83" s="38" t="n">
        <v>0.703</v>
      </c>
      <c r="Q83" s="66" t="n">
        <v>65.1</v>
      </c>
      <c r="R83" s="66" t="n">
        <v>81.1</v>
      </c>
      <c r="S83" s="34" t="str">
        <f aca="false">IF(M83&gt;=40,"Pass","Fail")</f>
        <v>Pass</v>
      </c>
      <c r="T83" s="34" t="str">
        <f aca="false">IF(M83&gt;=80,"Yes","No")</f>
        <v>No</v>
      </c>
    </row>
    <row r="84" customFormat="false" ht="15" hidden="false" customHeight="false" outlineLevel="0" collapsed="false">
      <c r="A84" s="43" t="s">
        <v>2941</v>
      </c>
      <c r="B84" s="44" t="s">
        <v>2942</v>
      </c>
      <c r="C84" s="43" t="s">
        <v>2762</v>
      </c>
      <c r="D84" s="51" t="n">
        <v>5</v>
      </c>
      <c r="E84" s="43" t="s">
        <v>2763</v>
      </c>
      <c r="F84" s="44" t="s">
        <v>2764</v>
      </c>
      <c r="G84" s="67" t="n">
        <v>37</v>
      </c>
      <c r="H84" s="44" t="s">
        <v>2775</v>
      </c>
      <c r="I84" s="67" t="n">
        <v>39</v>
      </c>
      <c r="J84" s="44" t="s">
        <v>2766</v>
      </c>
      <c r="K84" s="67" t="n">
        <v>62</v>
      </c>
      <c r="L84" s="67" t="n">
        <f aca="false">G84+I84+K84</f>
        <v>138</v>
      </c>
      <c r="M84" s="68" t="n">
        <f aca="false">L84/300*100</f>
        <v>46</v>
      </c>
      <c r="N84" s="43" t="str">
        <f aca="false">IF(M84&gt;=90,"A+",IF(M84&gt;=80,"A",IF(M84&gt;=70,"B+",IF(M84&gt;=60,"B",IF(M84&gt;=50,"C","F")))))</f>
        <v>F</v>
      </c>
      <c r="O84" s="69" t="n">
        <f aca="false">IF(M84&gt;=90,4,IF(M84&gt;=80,3.7,IF(M84&gt;=70,3.3,IF(M84&gt;=60,3,IF(M84&gt;=50,2,0)))))</f>
        <v>0</v>
      </c>
      <c r="P84" s="47" t="n">
        <v>0.806</v>
      </c>
      <c r="Q84" s="70" t="n">
        <v>87.9</v>
      </c>
      <c r="R84" s="70" t="n">
        <v>94.8</v>
      </c>
      <c r="S84" s="43" t="str">
        <f aca="false">IF(M84&gt;=40,"Pass","Fail")</f>
        <v>Pass</v>
      </c>
      <c r="T84" s="43" t="str">
        <f aca="false">IF(M84&gt;=80,"Yes","No")</f>
        <v>No</v>
      </c>
    </row>
    <row r="85" customFormat="false" ht="15" hidden="false" customHeight="false" outlineLevel="0" collapsed="false">
      <c r="A85" s="34" t="s">
        <v>2943</v>
      </c>
      <c r="B85" s="35" t="s">
        <v>2944</v>
      </c>
      <c r="C85" s="34" t="s">
        <v>2806</v>
      </c>
      <c r="D85" s="42" t="n">
        <v>7</v>
      </c>
      <c r="E85" s="34" t="s">
        <v>2763</v>
      </c>
      <c r="F85" s="35" t="s">
        <v>2765</v>
      </c>
      <c r="G85" s="63" t="n">
        <v>88</v>
      </c>
      <c r="H85" s="35" t="s">
        <v>2791</v>
      </c>
      <c r="I85" s="63" t="n">
        <v>69</v>
      </c>
      <c r="J85" s="35" t="s">
        <v>2792</v>
      </c>
      <c r="K85" s="63" t="n">
        <v>44</v>
      </c>
      <c r="L85" s="63" t="n">
        <f aca="false">G85+I85+K85</f>
        <v>201</v>
      </c>
      <c r="M85" s="64" t="n">
        <f aca="false">L85/300*100</f>
        <v>67</v>
      </c>
      <c r="N85" s="34" t="str">
        <f aca="false">IF(M85&gt;=90,"A+",IF(M85&gt;=80,"A",IF(M85&gt;=70,"B+",IF(M85&gt;=60,"B",IF(M85&gt;=50,"C","F")))))</f>
        <v>B</v>
      </c>
      <c r="O85" s="65" t="n">
        <f aca="false">IF(M85&gt;=90,4,IF(M85&gt;=80,3.7,IF(M85&gt;=70,3.3,IF(M85&gt;=60,3,IF(M85&gt;=50,2,0)))))</f>
        <v>3</v>
      </c>
      <c r="P85" s="38" t="n">
        <v>0.764</v>
      </c>
      <c r="Q85" s="66" t="n">
        <v>59.7</v>
      </c>
      <c r="R85" s="66" t="n">
        <v>97.7</v>
      </c>
      <c r="S85" s="34" t="str">
        <f aca="false">IF(M85&gt;=40,"Pass","Fail")</f>
        <v>Pass</v>
      </c>
      <c r="T85" s="34" t="str">
        <f aca="false">IF(M85&gt;=80,"Yes","No")</f>
        <v>No</v>
      </c>
    </row>
    <row r="86" customFormat="false" ht="15" hidden="false" customHeight="false" outlineLevel="0" collapsed="false">
      <c r="A86" s="43" t="s">
        <v>2945</v>
      </c>
      <c r="B86" s="44" t="s">
        <v>2946</v>
      </c>
      <c r="C86" s="43" t="s">
        <v>2769</v>
      </c>
      <c r="D86" s="51" t="n">
        <v>5</v>
      </c>
      <c r="E86" s="43" t="s">
        <v>2774</v>
      </c>
      <c r="F86" s="44" t="s">
        <v>2783</v>
      </c>
      <c r="G86" s="67" t="n">
        <v>24</v>
      </c>
      <c r="H86" s="44" t="s">
        <v>2792</v>
      </c>
      <c r="I86" s="67" t="n">
        <v>97</v>
      </c>
      <c r="J86" s="44" t="s">
        <v>2764</v>
      </c>
      <c r="K86" s="67" t="n">
        <v>82</v>
      </c>
      <c r="L86" s="67" t="n">
        <f aca="false">G86+I86+K86</f>
        <v>203</v>
      </c>
      <c r="M86" s="68" t="n">
        <f aca="false">L86/300*100</f>
        <v>67.6666666666667</v>
      </c>
      <c r="N86" s="43" t="str">
        <f aca="false">IF(M86&gt;=90,"A+",IF(M86&gt;=80,"A",IF(M86&gt;=70,"B+",IF(M86&gt;=60,"B",IF(M86&gt;=50,"C","F")))))</f>
        <v>B</v>
      </c>
      <c r="O86" s="69" t="n">
        <f aca="false">IF(M86&gt;=90,4,IF(M86&gt;=80,3.7,IF(M86&gt;=70,3.3,IF(M86&gt;=60,3,IF(M86&gt;=50,2,0)))))</f>
        <v>3</v>
      </c>
      <c r="P86" s="47" t="n">
        <v>0.562</v>
      </c>
      <c r="Q86" s="70" t="n">
        <v>51.9</v>
      </c>
      <c r="R86" s="70" t="n">
        <v>94.7</v>
      </c>
      <c r="S86" s="43" t="str">
        <f aca="false">IF(M86&gt;=40,"Pass","Fail")</f>
        <v>Pass</v>
      </c>
      <c r="T86" s="43" t="str">
        <f aca="false">IF(M86&gt;=80,"Yes","No")</f>
        <v>No</v>
      </c>
    </row>
    <row r="87" customFormat="false" ht="15" hidden="false" customHeight="false" outlineLevel="0" collapsed="false">
      <c r="A87" s="34" t="s">
        <v>2947</v>
      </c>
      <c r="B87" s="35" t="s">
        <v>2948</v>
      </c>
      <c r="C87" s="34" t="s">
        <v>2762</v>
      </c>
      <c r="D87" s="42" t="n">
        <v>5</v>
      </c>
      <c r="E87" s="34" t="s">
        <v>2774</v>
      </c>
      <c r="F87" s="35" t="s">
        <v>2765</v>
      </c>
      <c r="G87" s="63" t="n">
        <v>78</v>
      </c>
      <c r="H87" s="35" t="s">
        <v>2771</v>
      </c>
      <c r="I87" s="63" t="n">
        <v>27</v>
      </c>
      <c r="J87" s="35" t="s">
        <v>2792</v>
      </c>
      <c r="K87" s="63" t="n">
        <v>67</v>
      </c>
      <c r="L87" s="63" t="n">
        <f aca="false">G87+I87+K87</f>
        <v>172</v>
      </c>
      <c r="M87" s="64" t="n">
        <f aca="false">L87/300*100</f>
        <v>57.3333333333333</v>
      </c>
      <c r="N87" s="34" t="str">
        <f aca="false">IF(M87&gt;=90,"A+",IF(M87&gt;=80,"A",IF(M87&gt;=70,"B+",IF(M87&gt;=60,"B",IF(M87&gt;=50,"C","F")))))</f>
        <v>C</v>
      </c>
      <c r="O87" s="65" t="n">
        <f aca="false">IF(M87&gt;=90,4,IF(M87&gt;=80,3.7,IF(M87&gt;=70,3.3,IF(M87&gt;=60,3,IF(M87&gt;=50,2,0)))))</f>
        <v>2</v>
      </c>
      <c r="P87" s="38" t="n">
        <v>0.783</v>
      </c>
      <c r="Q87" s="66" t="n">
        <v>50.3</v>
      </c>
      <c r="R87" s="66" t="n">
        <v>91.6</v>
      </c>
      <c r="S87" s="34" t="str">
        <f aca="false">IF(M87&gt;=40,"Pass","Fail")</f>
        <v>Pass</v>
      </c>
      <c r="T87" s="34" t="str">
        <f aca="false">IF(M87&gt;=80,"Yes","No")</f>
        <v>No</v>
      </c>
    </row>
    <row r="88" customFormat="false" ht="15" hidden="false" customHeight="false" outlineLevel="0" collapsed="false">
      <c r="A88" s="43" t="s">
        <v>2949</v>
      </c>
      <c r="B88" s="44" t="s">
        <v>2950</v>
      </c>
      <c r="C88" s="43" t="s">
        <v>2762</v>
      </c>
      <c r="D88" s="51" t="n">
        <v>7</v>
      </c>
      <c r="E88" s="43" t="s">
        <v>2774</v>
      </c>
      <c r="F88" s="44" t="s">
        <v>2792</v>
      </c>
      <c r="G88" s="67" t="n">
        <v>81</v>
      </c>
      <c r="H88" s="44" t="s">
        <v>2783</v>
      </c>
      <c r="I88" s="67" t="n">
        <v>28</v>
      </c>
      <c r="J88" s="44" t="s">
        <v>2791</v>
      </c>
      <c r="K88" s="67" t="n">
        <v>69</v>
      </c>
      <c r="L88" s="67" t="n">
        <f aca="false">G88+I88+K88</f>
        <v>178</v>
      </c>
      <c r="M88" s="68" t="n">
        <f aca="false">L88/300*100</f>
        <v>59.3333333333333</v>
      </c>
      <c r="N88" s="43" t="str">
        <f aca="false">IF(M88&gt;=90,"A+",IF(M88&gt;=80,"A",IF(M88&gt;=70,"B+",IF(M88&gt;=60,"B",IF(M88&gt;=50,"C","F")))))</f>
        <v>C</v>
      </c>
      <c r="O88" s="69" t="n">
        <f aca="false">IF(M88&gt;=90,4,IF(M88&gt;=80,3.7,IF(M88&gt;=70,3.3,IF(M88&gt;=60,3,IF(M88&gt;=50,2,0)))))</f>
        <v>2</v>
      </c>
      <c r="P88" s="47" t="n">
        <v>0.98</v>
      </c>
      <c r="Q88" s="70" t="n">
        <v>91.9</v>
      </c>
      <c r="R88" s="70" t="n">
        <v>47.8</v>
      </c>
      <c r="S88" s="43" t="str">
        <f aca="false">IF(M88&gt;=40,"Pass","Fail")</f>
        <v>Pass</v>
      </c>
      <c r="T88" s="43" t="str">
        <f aca="false">IF(M88&gt;=80,"Yes","No")</f>
        <v>No</v>
      </c>
    </row>
    <row r="89" customFormat="false" ht="15" hidden="false" customHeight="false" outlineLevel="0" collapsed="false">
      <c r="A89" s="34" t="s">
        <v>2951</v>
      </c>
      <c r="B89" s="35" t="s">
        <v>2952</v>
      </c>
      <c r="C89" s="34" t="s">
        <v>2781</v>
      </c>
      <c r="D89" s="42" t="n">
        <v>5</v>
      </c>
      <c r="E89" s="34" t="s">
        <v>2763</v>
      </c>
      <c r="F89" s="35" t="s">
        <v>2770</v>
      </c>
      <c r="G89" s="63" t="n">
        <v>95</v>
      </c>
      <c r="H89" s="35" t="s">
        <v>2783</v>
      </c>
      <c r="I89" s="63" t="n">
        <v>45</v>
      </c>
      <c r="J89" s="35" t="s">
        <v>2771</v>
      </c>
      <c r="K89" s="63" t="n">
        <v>84</v>
      </c>
      <c r="L89" s="63" t="n">
        <f aca="false">G89+I89+K89</f>
        <v>224</v>
      </c>
      <c r="M89" s="64" t="n">
        <f aca="false">L89/300*100</f>
        <v>74.6666666666667</v>
      </c>
      <c r="N89" s="34" t="str">
        <f aca="false">IF(M89&gt;=90,"A+",IF(M89&gt;=80,"A",IF(M89&gt;=70,"B+",IF(M89&gt;=60,"B",IF(M89&gt;=50,"C","F")))))</f>
        <v>B+</v>
      </c>
      <c r="O89" s="65" t="n">
        <f aca="false">IF(M89&gt;=90,4,IF(M89&gt;=80,3.7,IF(M89&gt;=70,3.3,IF(M89&gt;=60,3,IF(M89&gt;=50,2,0)))))</f>
        <v>3.3</v>
      </c>
      <c r="P89" s="38" t="n">
        <v>0.873</v>
      </c>
      <c r="Q89" s="66" t="n">
        <v>67.5</v>
      </c>
      <c r="R89" s="66" t="n">
        <v>52.1</v>
      </c>
      <c r="S89" s="34" t="str">
        <f aca="false">IF(M89&gt;=40,"Pass","Fail")</f>
        <v>Pass</v>
      </c>
      <c r="T89" s="34" t="str">
        <f aca="false">IF(M89&gt;=80,"Yes","No")</f>
        <v>No</v>
      </c>
    </row>
    <row r="90" customFormat="false" ht="15" hidden="false" customHeight="false" outlineLevel="0" collapsed="false">
      <c r="A90" s="43" t="s">
        <v>2953</v>
      </c>
      <c r="B90" s="44" t="s">
        <v>2954</v>
      </c>
      <c r="C90" s="43" t="s">
        <v>2781</v>
      </c>
      <c r="D90" s="51" t="n">
        <v>8</v>
      </c>
      <c r="E90" s="43" t="s">
        <v>2774</v>
      </c>
      <c r="F90" s="44" t="s">
        <v>2791</v>
      </c>
      <c r="G90" s="67" t="n">
        <v>92</v>
      </c>
      <c r="H90" s="44" t="s">
        <v>2765</v>
      </c>
      <c r="I90" s="67" t="n">
        <v>82</v>
      </c>
      <c r="J90" s="44" t="s">
        <v>2778</v>
      </c>
      <c r="K90" s="67" t="n">
        <v>78</v>
      </c>
      <c r="L90" s="67" t="n">
        <f aca="false">G90+I90+K90</f>
        <v>252</v>
      </c>
      <c r="M90" s="68" t="n">
        <f aca="false">L90/300*100</f>
        <v>84</v>
      </c>
      <c r="N90" s="43" t="str">
        <f aca="false">IF(M90&gt;=90,"A+",IF(M90&gt;=80,"A",IF(M90&gt;=70,"B+",IF(M90&gt;=60,"B",IF(M90&gt;=50,"C","F")))))</f>
        <v>A</v>
      </c>
      <c r="O90" s="69" t="n">
        <f aca="false">IF(M90&gt;=90,4,IF(M90&gt;=80,3.7,IF(M90&gt;=70,3.3,IF(M90&gt;=60,3,IF(M90&gt;=50,2,0)))))</f>
        <v>3.7</v>
      </c>
      <c r="P90" s="47" t="n">
        <v>0.758</v>
      </c>
      <c r="Q90" s="70" t="n">
        <v>42.3</v>
      </c>
      <c r="R90" s="70" t="n">
        <v>45.5</v>
      </c>
      <c r="S90" s="43" t="str">
        <f aca="false">IF(M90&gt;=40,"Pass","Fail")</f>
        <v>Pass</v>
      </c>
      <c r="T90" s="43" t="str">
        <f aca="false">IF(M90&gt;=80,"Yes","No")</f>
        <v>Yes</v>
      </c>
    </row>
    <row r="91" customFormat="false" ht="15" hidden="false" customHeight="false" outlineLevel="0" collapsed="false">
      <c r="A91" s="34" t="s">
        <v>2955</v>
      </c>
      <c r="B91" s="35" t="s">
        <v>2956</v>
      </c>
      <c r="C91" s="34" t="s">
        <v>2769</v>
      </c>
      <c r="D91" s="42" t="n">
        <v>8</v>
      </c>
      <c r="E91" s="34" t="s">
        <v>2763</v>
      </c>
      <c r="F91" s="35" t="s">
        <v>2771</v>
      </c>
      <c r="G91" s="63" t="n">
        <v>73</v>
      </c>
      <c r="H91" s="35" t="s">
        <v>2791</v>
      </c>
      <c r="I91" s="63" t="n">
        <v>51</v>
      </c>
      <c r="J91" s="35" t="s">
        <v>2783</v>
      </c>
      <c r="K91" s="63" t="n">
        <v>42</v>
      </c>
      <c r="L91" s="63" t="n">
        <f aca="false">G91+I91+K91</f>
        <v>166</v>
      </c>
      <c r="M91" s="64" t="n">
        <f aca="false">L91/300*100</f>
        <v>55.3333333333333</v>
      </c>
      <c r="N91" s="34" t="str">
        <f aca="false">IF(M91&gt;=90,"A+",IF(M91&gt;=80,"A",IF(M91&gt;=70,"B+",IF(M91&gt;=60,"B",IF(M91&gt;=50,"C","F")))))</f>
        <v>C</v>
      </c>
      <c r="O91" s="65" t="n">
        <f aca="false">IF(M91&gt;=90,4,IF(M91&gt;=80,3.7,IF(M91&gt;=70,3.3,IF(M91&gt;=60,3,IF(M91&gt;=50,2,0)))))</f>
        <v>2</v>
      </c>
      <c r="P91" s="38" t="n">
        <v>0.955</v>
      </c>
      <c r="Q91" s="66" t="n">
        <v>84</v>
      </c>
      <c r="R91" s="66" t="n">
        <v>67.5</v>
      </c>
      <c r="S91" s="34" t="str">
        <f aca="false">IF(M91&gt;=40,"Pass","Fail")</f>
        <v>Pass</v>
      </c>
      <c r="T91" s="34" t="str">
        <f aca="false">IF(M91&gt;=80,"Yes","No")</f>
        <v>No</v>
      </c>
    </row>
    <row r="92" customFormat="false" ht="15" hidden="false" customHeight="false" outlineLevel="0" collapsed="false">
      <c r="A92" s="43" t="s">
        <v>2957</v>
      </c>
      <c r="B92" s="44" t="s">
        <v>2958</v>
      </c>
      <c r="C92" s="43" t="s">
        <v>2769</v>
      </c>
      <c r="D92" s="51" t="n">
        <v>3</v>
      </c>
      <c r="E92" s="43" t="s">
        <v>2782</v>
      </c>
      <c r="F92" s="44" t="s">
        <v>2764</v>
      </c>
      <c r="G92" s="67" t="n">
        <v>25</v>
      </c>
      <c r="H92" s="44" t="s">
        <v>2792</v>
      </c>
      <c r="I92" s="67" t="n">
        <v>50</v>
      </c>
      <c r="J92" s="44" t="s">
        <v>2791</v>
      </c>
      <c r="K92" s="67" t="n">
        <v>40</v>
      </c>
      <c r="L92" s="67" t="n">
        <f aca="false">G92+I92+K92</f>
        <v>115</v>
      </c>
      <c r="M92" s="68" t="n">
        <f aca="false">L92/300*100</f>
        <v>38.3333333333333</v>
      </c>
      <c r="N92" s="43" t="str">
        <f aca="false">IF(M92&gt;=90,"A+",IF(M92&gt;=80,"A",IF(M92&gt;=70,"B+",IF(M92&gt;=60,"B",IF(M92&gt;=50,"C","F")))))</f>
        <v>F</v>
      </c>
      <c r="O92" s="69" t="n">
        <f aca="false">IF(M92&gt;=90,4,IF(M92&gt;=80,3.7,IF(M92&gt;=70,3.3,IF(M92&gt;=60,3,IF(M92&gt;=50,2,0)))))</f>
        <v>0</v>
      </c>
      <c r="P92" s="47" t="n">
        <v>0.673</v>
      </c>
      <c r="Q92" s="70" t="n">
        <v>77.7</v>
      </c>
      <c r="R92" s="70" t="n">
        <v>57.5</v>
      </c>
      <c r="S92" s="43" t="str">
        <f aca="false">IF(M92&gt;=40,"Pass","Fail")</f>
        <v>Fail</v>
      </c>
      <c r="T92" s="43" t="str">
        <f aca="false">IF(M92&gt;=80,"Yes","No")</f>
        <v>No</v>
      </c>
    </row>
    <row r="93" customFormat="false" ht="15" hidden="false" customHeight="false" outlineLevel="0" collapsed="false">
      <c r="A93" s="34" t="s">
        <v>2959</v>
      </c>
      <c r="B93" s="35" t="s">
        <v>2960</v>
      </c>
      <c r="C93" s="34" t="s">
        <v>2851</v>
      </c>
      <c r="D93" s="42" t="n">
        <v>4</v>
      </c>
      <c r="E93" s="34" t="s">
        <v>2763</v>
      </c>
      <c r="F93" s="35" t="s">
        <v>2791</v>
      </c>
      <c r="G93" s="63" t="n">
        <v>67</v>
      </c>
      <c r="H93" s="35" t="s">
        <v>2766</v>
      </c>
      <c r="I93" s="63" t="n">
        <v>29</v>
      </c>
      <c r="J93" s="35" t="s">
        <v>2792</v>
      </c>
      <c r="K93" s="63" t="n">
        <v>33</v>
      </c>
      <c r="L93" s="63" t="n">
        <f aca="false">G93+I93+K93</f>
        <v>129</v>
      </c>
      <c r="M93" s="64" t="n">
        <f aca="false">L93/300*100</f>
        <v>43</v>
      </c>
      <c r="N93" s="34" t="str">
        <f aca="false">IF(M93&gt;=90,"A+",IF(M93&gt;=80,"A",IF(M93&gt;=70,"B+",IF(M93&gt;=60,"B",IF(M93&gt;=50,"C","F")))))</f>
        <v>F</v>
      </c>
      <c r="O93" s="65" t="n">
        <f aca="false">IF(M93&gt;=90,4,IF(M93&gt;=80,3.7,IF(M93&gt;=70,3.3,IF(M93&gt;=60,3,IF(M93&gt;=50,2,0)))))</f>
        <v>0</v>
      </c>
      <c r="P93" s="38" t="n">
        <v>0.777</v>
      </c>
      <c r="Q93" s="66" t="n">
        <v>86.8</v>
      </c>
      <c r="R93" s="66" t="n">
        <v>64.6</v>
      </c>
      <c r="S93" s="34" t="str">
        <f aca="false">IF(M93&gt;=40,"Pass","Fail")</f>
        <v>Pass</v>
      </c>
      <c r="T93" s="34" t="str">
        <f aca="false">IF(M93&gt;=80,"Yes","No")</f>
        <v>No</v>
      </c>
    </row>
    <row r="94" customFormat="false" ht="15" hidden="false" customHeight="false" outlineLevel="0" collapsed="false">
      <c r="A94" s="43" t="s">
        <v>2961</v>
      </c>
      <c r="B94" s="44" t="s">
        <v>2962</v>
      </c>
      <c r="C94" s="43" t="s">
        <v>2781</v>
      </c>
      <c r="D94" s="51" t="n">
        <v>5</v>
      </c>
      <c r="E94" s="43" t="s">
        <v>2774</v>
      </c>
      <c r="F94" s="44" t="s">
        <v>2766</v>
      </c>
      <c r="G94" s="67" t="n">
        <v>23</v>
      </c>
      <c r="H94" s="44" t="s">
        <v>2775</v>
      </c>
      <c r="I94" s="67" t="n">
        <v>29</v>
      </c>
      <c r="J94" s="44" t="s">
        <v>2770</v>
      </c>
      <c r="K94" s="67" t="n">
        <v>79</v>
      </c>
      <c r="L94" s="67" t="n">
        <f aca="false">G94+I94+K94</f>
        <v>131</v>
      </c>
      <c r="M94" s="68" t="n">
        <f aca="false">L94/300*100</f>
        <v>43.6666666666667</v>
      </c>
      <c r="N94" s="43" t="str">
        <f aca="false">IF(M94&gt;=90,"A+",IF(M94&gt;=80,"A",IF(M94&gt;=70,"B+",IF(M94&gt;=60,"B",IF(M94&gt;=50,"C","F")))))</f>
        <v>F</v>
      </c>
      <c r="O94" s="69" t="n">
        <f aca="false">IF(M94&gt;=90,4,IF(M94&gt;=80,3.7,IF(M94&gt;=70,3.3,IF(M94&gt;=60,3,IF(M94&gt;=50,2,0)))))</f>
        <v>0</v>
      </c>
      <c r="P94" s="47" t="n">
        <v>0.722</v>
      </c>
      <c r="Q94" s="70" t="n">
        <v>84.8</v>
      </c>
      <c r="R94" s="70" t="n">
        <v>91.3</v>
      </c>
      <c r="S94" s="43" t="str">
        <f aca="false">IF(M94&gt;=40,"Pass","Fail")</f>
        <v>Pass</v>
      </c>
      <c r="T94" s="43" t="str">
        <f aca="false">IF(M94&gt;=80,"Yes","No")</f>
        <v>No</v>
      </c>
    </row>
    <row r="95" customFormat="false" ht="15" hidden="false" customHeight="false" outlineLevel="0" collapsed="false">
      <c r="A95" s="34" t="s">
        <v>2963</v>
      </c>
      <c r="B95" s="35" t="s">
        <v>2964</v>
      </c>
      <c r="C95" s="34" t="s">
        <v>2762</v>
      </c>
      <c r="D95" s="42" t="n">
        <v>1</v>
      </c>
      <c r="E95" s="34" t="s">
        <v>2774</v>
      </c>
      <c r="F95" s="35" t="s">
        <v>2771</v>
      </c>
      <c r="G95" s="63" t="n">
        <v>61</v>
      </c>
      <c r="H95" s="35" t="s">
        <v>2792</v>
      </c>
      <c r="I95" s="63" t="n">
        <v>79</v>
      </c>
      <c r="J95" s="35" t="s">
        <v>2783</v>
      </c>
      <c r="K95" s="63" t="n">
        <v>82</v>
      </c>
      <c r="L95" s="63" t="n">
        <f aca="false">G95+I95+K95</f>
        <v>222</v>
      </c>
      <c r="M95" s="64" t="n">
        <f aca="false">L95/300*100</f>
        <v>74</v>
      </c>
      <c r="N95" s="34" t="str">
        <f aca="false">IF(M95&gt;=90,"A+",IF(M95&gt;=80,"A",IF(M95&gt;=70,"B+",IF(M95&gt;=60,"B",IF(M95&gt;=50,"C","F")))))</f>
        <v>B+</v>
      </c>
      <c r="O95" s="65" t="n">
        <f aca="false">IF(M95&gt;=90,4,IF(M95&gt;=80,3.7,IF(M95&gt;=70,3.3,IF(M95&gt;=60,3,IF(M95&gt;=50,2,0)))))</f>
        <v>3.3</v>
      </c>
      <c r="P95" s="38" t="n">
        <v>0.758</v>
      </c>
      <c r="Q95" s="66" t="n">
        <v>45</v>
      </c>
      <c r="R95" s="66" t="n">
        <v>79.4</v>
      </c>
      <c r="S95" s="34" t="str">
        <f aca="false">IF(M95&gt;=40,"Pass","Fail")</f>
        <v>Pass</v>
      </c>
      <c r="T95" s="34" t="str">
        <f aca="false">IF(M95&gt;=80,"Yes","No")</f>
        <v>No</v>
      </c>
    </row>
    <row r="96" customFormat="false" ht="15" hidden="false" customHeight="false" outlineLevel="0" collapsed="false">
      <c r="A96" s="43" t="s">
        <v>2965</v>
      </c>
      <c r="B96" s="44" t="s">
        <v>2966</v>
      </c>
      <c r="C96" s="43" t="s">
        <v>2769</v>
      </c>
      <c r="D96" s="51" t="n">
        <v>8</v>
      </c>
      <c r="E96" s="43" t="s">
        <v>2774</v>
      </c>
      <c r="F96" s="44" t="s">
        <v>2770</v>
      </c>
      <c r="G96" s="67" t="n">
        <v>41</v>
      </c>
      <c r="H96" s="44" t="s">
        <v>2771</v>
      </c>
      <c r="I96" s="67" t="n">
        <v>22</v>
      </c>
      <c r="J96" s="44" t="s">
        <v>2783</v>
      </c>
      <c r="K96" s="67" t="n">
        <v>97</v>
      </c>
      <c r="L96" s="67" t="n">
        <f aca="false">G96+I96+K96</f>
        <v>160</v>
      </c>
      <c r="M96" s="68" t="n">
        <f aca="false">L96/300*100</f>
        <v>53.3333333333333</v>
      </c>
      <c r="N96" s="43" t="str">
        <f aca="false">IF(M96&gt;=90,"A+",IF(M96&gt;=80,"A",IF(M96&gt;=70,"B+",IF(M96&gt;=60,"B",IF(M96&gt;=50,"C","F")))))</f>
        <v>C</v>
      </c>
      <c r="O96" s="69" t="n">
        <f aca="false">IF(M96&gt;=90,4,IF(M96&gt;=80,3.7,IF(M96&gt;=70,3.3,IF(M96&gt;=60,3,IF(M96&gt;=50,2,0)))))</f>
        <v>2</v>
      </c>
      <c r="P96" s="47" t="n">
        <v>0.595</v>
      </c>
      <c r="Q96" s="70" t="n">
        <v>57.6</v>
      </c>
      <c r="R96" s="70" t="n">
        <v>72.1</v>
      </c>
      <c r="S96" s="43" t="str">
        <f aca="false">IF(M96&gt;=40,"Pass","Fail")</f>
        <v>Pass</v>
      </c>
      <c r="T96" s="43" t="str">
        <f aca="false">IF(M96&gt;=80,"Yes","No")</f>
        <v>No</v>
      </c>
    </row>
    <row r="97" customFormat="false" ht="15" hidden="false" customHeight="false" outlineLevel="0" collapsed="false">
      <c r="A97" s="34" t="s">
        <v>2967</v>
      </c>
      <c r="B97" s="35" t="s">
        <v>2968</v>
      </c>
      <c r="C97" s="34" t="s">
        <v>2762</v>
      </c>
      <c r="D97" s="42" t="n">
        <v>3</v>
      </c>
      <c r="E97" s="34" t="s">
        <v>2774</v>
      </c>
      <c r="F97" s="35" t="s">
        <v>2775</v>
      </c>
      <c r="G97" s="63" t="n">
        <v>76</v>
      </c>
      <c r="H97" s="35" t="s">
        <v>2771</v>
      </c>
      <c r="I97" s="63" t="n">
        <v>65</v>
      </c>
      <c r="J97" s="35" t="s">
        <v>2783</v>
      </c>
      <c r="K97" s="63" t="n">
        <v>42</v>
      </c>
      <c r="L97" s="63" t="n">
        <f aca="false">G97+I97+K97</f>
        <v>183</v>
      </c>
      <c r="M97" s="64" t="n">
        <f aca="false">L97/300*100</f>
        <v>61</v>
      </c>
      <c r="N97" s="34" t="str">
        <f aca="false">IF(M97&gt;=90,"A+",IF(M97&gt;=80,"A",IF(M97&gt;=70,"B+",IF(M97&gt;=60,"B",IF(M97&gt;=50,"C","F")))))</f>
        <v>B</v>
      </c>
      <c r="O97" s="65" t="n">
        <f aca="false">IF(M97&gt;=90,4,IF(M97&gt;=80,3.7,IF(M97&gt;=70,3.3,IF(M97&gt;=60,3,IF(M97&gt;=50,2,0)))))</f>
        <v>3</v>
      </c>
      <c r="P97" s="38" t="n">
        <v>0.648</v>
      </c>
      <c r="Q97" s="66" t="n">
        <v>42.1</v>
      </c>
      <c r="R97" s="66" t="n">
        <v>80.5</v>
      </c>
      <c r="S97" s="34" t="str">
        <f aca="false">IF(M97&gt;=40,"Pass","Fail")</f>
        <v>Pass</v>
      </c>
      <c r="T97" s="34" t="str">
        <f aca="false">IF(M97&gt;=80,"Yes","No")</f>
        <v>No</v>
      </c>
    </row>
    <row r="98" customFormat="false" ht="15" hidden="false" customHeight="false" outlineLevel="0" collapsed="false">
      <c r="A98" s="43" t="s">
        <v>2969</v>
      </c>
      <c r="B98" s="44" t="s">
        <v>2970</v>
      </c>
      <c r="C98" s="43" t="s">
        <v>2781</v>
      </c>
      <c r="D98" s="51" t="n">
        <v>8</v>
      </c>
      <c r="E98" s="43" t="s">
        <v>2782</v>
      </c>
      <c r="F98" s="44" t="s">
        <v>2775</v>
      </c>
      <c r="G98" s="67" t="n">
        <v>69</v>
      </c>
      <c r="H98" s="44" t="s">
        <v>2766</v>
      </c>
      <c r="I98" s="67" t="n">
        <v>59</v>
      </c>
      <c r="J98" s="44" t="s">
        <v>2792</v>
      </c>
      <c r="K98" s="67" t="n">
        <v>76</v>
      </c>
      <c r="L98" s="67" t="n">
        <f aca="false">G98+I98+K98</f>
        <v>204</v>
      </c>
      <c r="M98" s="68" t="n">
        <f aca="false">L98/300*100</f>
        <v>68</v>
      </c>
      <c r="N98" s="43" t="str">
        <f aca="false">IF(M98&gt;=90,"A+",IF(M98&gt;=80,"A",IF(M98&gt;=70,"B+",IF(M98&gt;=60,"B",IF(M98&gt;=50,"C","F")))))</f>
        <v>B</v>
      </c>
      <c r="O98" s="69" t="n">
        <f aca="false">IF(M98&gt;=90,4,IF(M98&gt;=80,3.7,IF(M98&gt;=70,3.3,IF(M98&gt;=60,3,IF(M98&gt;=50,2,0)))))</f>
        <v>3</v>
      </c>
      <c r="P98" s="47" t="n">
        <v>0.574</v>
      </c>
      <c r="Q98" s="70" t="n">
        <v>40.3</v>
      </c>
      <c r="R98" s="70" t="n">
        <v>86.3</v>
      </c>
      <c r="S98" s="43" t="str">
        <f aca="false">IF(M98&gt;=40,"Pass","Fail")</f>
        <v>Pass</v>
      </c>
      <c r="T98" s="43" t="str">
        <f aca="false">IF(M98&gt;=80,"Yes","No")</f>
        <v>No</v>
      </c>
    </row>
    <row r="99" customFormat="false" ht="15" hidden="false" customHeight="false" outlineLevel="0" collapsed="false">
      <c r="A99" s="34" t="s">
        <v>2971</v>
      </c>
      <c r="B99" s="35" t="s">
        <v>2972</v>
      </c>
      <c r="C99" s="34" t="s">
        <v>2786</v>
      </c>
      <c r="D99" s="42" t="n">
        <v>4</v>
      </c>
      <c r="E99" s="34" t="s">
        <v>2774</v>
      </c>
      <c r="F99" s="35" t="s">
        <v>2778</v>
      </c>
      <c r="G99" s="63" t="n">
        <v>31</v>
      </c>
      <c r="H99" s="35" t="s">
        <v>2765</v>
      </c>
      <c r="I99" s="63" t="n">
        <v>22</v>
      </c>
      <c r="J99" s="35" t="s">
        <v>2766</v>
      </c>
      <c r="K99" s="63" t="n">
        <v>73</v>
      </c>
      <c r="L99" s="63" t="n">
        <f aca="false">G99+I99+K99</f>
        <v>126</v>
      </c>
      <c r="M99" s="64" t="n">
        <f aca="false">L99/300*100</f>
        <v>42</v>
      </c>
      <c r="N99" s="34" t="str">
        <f aca="false">IF(M99&gt;=90,"A+",IF(M99&gt;=80,"A",IF(M99&gt;=70,"B+",IF(M99&gt;=60,"B",IF(M99&gt;=50,"C","F")))))</f>
        <v>F</v>
      </c>
      <c r="O99" s="65" t="n">
        <f aca="false">IF(M99&gt;=90,4,IF(M99&gt;=80,3.7,IF(M99&gt;=70,3.3,IF(M99&gt;=60,3,IF(M99&gt;=50,2,0)))))</f>
        <v>0</v>
      </c>
      <c r="P99" s="38" t="n">
        <v>0.563</v>
      </c>
      <c r="Q99" s="66" t="n">
        <v>40.9</v>
      </c>
      <c r="R99" s="66" t="n">
        <v>89.2</v>
      </c>
      <c r="S99" s="34" t="str">
        <f aca="false">IF(M99&gt;=40,"Pass","Fail")</f>
        <v>Pass</v>
      </c>
      <c r="T99" s="34" t="str">
        <f aca="false">IF(M99&gt;=80,"Yes","No")</f>
        <v>No</v>
      </c>
    </row>
    <row r="100" customFormat="false" ht="15" hidden="false" customHeight="false" outlineLevel="0" collapsed="false">
      <c r="A100" s="43" t="s">
        <v>2973</v>
      </c>
      <c r="B100" s="44" t="s">
        <v>2974</v>
      </c>
      <c r="C100" s="43" t="s">
        <v>2769</v>
      </c>
      <c r="D100" s="51" t="n">
        <v>2</v>
      </c>
      <c r="E100" s="43" t="s">
        <v>2774</v>
      </c>
      <c r="F100" s="44" t="s">
        <v>2792</v>
      </c>
      <c r="G100" s="67" t="n">
        <v>25</v>
      </c>
      <c r="H100" s="44" t="s">
        <v>2783</v>
      </c>
      <c r="I100" s="67" t="n">
        <v>73</v>
      </c>
      <c r="J100" s="44" t="s">
        <v>2766</v>
      </c>
      <c r="K100" s="67" t="n">
        <v>85</v>
      </c>
      <c r="L100" s="67" t="n">
        <f aca="false">G100+I100+K100</f>
        <v>183</v>
      </c>
      <c r="M100" s="68" t="n">
        <f aca="false">L100/300*100</f>
        <v>61</v>
      </c>
      <c r="N100" s="43" t="str">
        <f aca="false">IF(M100&gt;=90,"A+",IF(M100&gt;=80,"A",IF(M100&gt;=70,"B+",IF(M100&gt;=60,"B",IF(M100&gt;=50,"C","F")))))</f>
        <v>B</v>
      </c>
      <c r="O100" s="69" t="n">
        <f aca="false">IF(M100&gt;=90,4,IF(M100&gt;=80,3.7,IF(M100&gt;=70,3.3,IF(M100&gt;=60,3,IF(M100&gt;=50,2,0)))))</f>
        <v>3</v>
      </c>
      <c r="P100" s="47" t="n">
        <v>0.598</v>
      </c>
      <c r="Q100" s="70" t="n">
        <v>59.6</v>
      </c>
      <c r="R100" s="70" t="n">
        <v>73.7</v>
      </c>
      <c r="S100" s="43" t="str">
        <f aca="false">IF(M100&gt;=40,"Pass","Fail")</f>
        <v>Pass</v>
      </c>
      <c r="T100" s="43" t="str">
        <f aca="false">IF(M100&gt;=80,"Yes","No")</f>
        <v>No</v>
      </c>
    </row>
    <row r="101" customFormat="false" ht="15" hidden="false" customHeight="false" outlineLevel="0" collapsed="false">
      <c r="A101" s="34" t="s">
        <v>2975</v>
      </c>
      <c r="B101" s="35" t="s">
        <v>2976</v>
      </c>
      <c r="C101" s="34" t="s">
        <v>2781</v>
      </c>
      <c r="D101" s="42" t="n">
        <v>4</v>
      </c>
      <c r="E101" s="34" t="s">
        <v>2782</v>
      </c>
      <c r="F101" s="35" t="s">
        <v>2791</v>
      </c>
      <c r="G101" s="63" t="n">
        <v>49</v>
      </c>
      <c r="H101" s="35" t="s">
        <v>2764</v>
      </c>
      <c r="I101" s="63" t="n">
        <v>47</v>
      </c>
      <c r="J101" s="35" t="s">
        <v>2792</v>
      </c>
      <c r="K101" s="63" t="n">
        <v>33</v>
      </c>
      <c r="L101" s="63" t="n">
        <f aca="false">G101+I101+K101</f>
        <v>129</v>
      </c>
      <c r="M101" s="64" t="n">
        <f aca="false">L101/300*100</f>
        <v>43</v>
      </c>
      <c r="N101" s="34" t="str">
        <f aca="false">IF(M101&gt;=90,"A+",IF(M101&gt;=80,"A",IF(M101&gt;=70,"B+",IF(M101&gt;=60,"B",IF(M101&gt;=50,"C","F")))))</f>
        <v>F</v>
      </c>
      <c r="O101" s="65" t="n">
        <f aca="false">IF(M101&gt;=90,4,IF(M101&gt;=80,3.7,IF(M101&gt;=70,3.3,IF(M101&gt;=60,3,IF(M101&gt;=50,2,0)))))</f>
        <v>0</v>
      </c>
      <c r="P101" s="38" t="n">
        <v>0.71</v>
      </c>
      <c r="Q101" s="66" t="n">
        <v>50.4</v>
      </c>
      <c r="R101" s="66" t="n">
        <v>64.1</v>
      </c>
      <c r="S101" s="34" t="str">
        <f aca="false">IF(M101&gt;=40,"Pass","Fail")</f>
        <v>Pass</v>
      </c>
      <c r="T101" s="34" t="str">
        <f aca="false">IF(M101&gt;=80,"Yes","No")</f>
        <v>No</v>
      </c>
    </row>
    <row r="102" customFormat="false" ht="15" hidden="false" customHeight="false" outlineLevel="0" collapsed="false">
      <c r="A102" s="43" t="s">
        <v>2977</v>
      </c>
      <c r="B102" s="44" t="s">
        <v>2978</v>
      </c>
      <c r="C102" s="43" t="s">
        <v>2803</v>
      </c>
      <c r="D102" s="51" t="n">
        <v>1</v>
      </c>
      <c r="E102" s="43" t="s">
        <v>2763</v>
      </c>
      <c r="F102" s="44" t="s">
        <v>2765</v>
      </c>
      <c r="G102" s="67" t="n">
        <v>28</v>
      </c>
      <c r="H102" s="44" t="s">
        <v>2770</v>
      </c>
      <c r="I102" s="67" t="n">
        <v>55</v>
      </c>
      <c r="J102" s="44" t="s">
        <v>2764</v>
      </c>
      <c r="K102" s="67" t="n">
        <v>99</v>
      </c>
      <c r="L102" s="67" t="n">
        <f aca="false">G102+I102+K102</f>
        <v>182</v>
      </c>
      <c r="M102" s="68" t="n">
        <f aca="false">L102/300*100</f>
        <v>60.6666666666667</v>
      </c>
      <c r="N102" s="43" t="str">
        <f aca="false">IF(M102&gt;=90,"A+",IF(M102&gt;=80,"A",IF(M102&gt;=70,"B+",IF(M102&gt;=60,"B",IF(M102&gt;=50,"C","F")))))</f>
        <v>B</v>
      </c>
      <c r="O102" s="69" t="n">
        <f aca="false">IF(M102&gt;=90,4,IF(M102&gt;=80,3.7,IF(M102&gt;=70,3.3,IF(M102&gt;=60,3,IF(M102&gt;=50,2,0)))))</f>
        <v>3</v>
      </c>
      <c r="P102" s="47" t="n">
        <v>0.716</v>
      </c>
      <c r="Q102" s="70" t="n">
        <v>44</v>
      </c>
      <c r="R102" s="70" t="n">
        <v>53.1</v>
      </c>
      <c r="S102" s="43" t="str">
        <f aca="false">IF(M102&gt;=40,"Pass","Fail")</f>
        <v>Pass</v>
      </c>
      <c r="T102" s="43" t="str">
        <f aca="false">IF(M102&gt;=80,"Yes","No")</f>
        <v>No</v>
      </c>
    </row>
    <row r="103" customFormat="false" ht="15" hidden="false" customHeight="false" outlineLevel="0" collapsed="false">
      <c r="A103" s="34" t="s">
        <v>2979</v>
      </c>
      <c r="B103" s="35" t="s">
        <v>2980</v>
      </c>
      <c r="C103" s="34" t="s">
        <v>2803</v>
      </c>
      <c r="D103" s="42" t="n">
        <v>8</v>
      </c>
      <c r="E103" s="34" t="s">
        <v>2774</v>
      </c>
      <c r="F103" s="35" t="s">
        <v>2766</v>
      </c>
      <c r="G103" s="63" t="n">
        <v>32</v>
      </c>
      <c r="H103" s="35" t="s">
        <v>2783</v>
      </c>
      <c r="I103" s="63" t="n">
        <v>96</v>
      </c>
      <c r="J103" s="35" t="s">
        <v>2771</v>
      </c>
      <c r="K103" s="63" t="n">
        <v>61</v>
      </c>
      <c r="L103" s="63" t="n">
        <f aca="false">G103+I103+K103</f>
        <v>189</v>
      </c>
      <c r="M103" s="64" t="n">
        <f aca="false">L103/300*100</f>
        <v>63</v>
      </c>
      <c r="N103" s="34" t="str">
        <f aca="false">IF(M103&gt;=90,"A+",IF(M103&gt;=80,"A",IF(M103&gt;=70,"B+",IF(M103&gt;=60,"B",IF(M103&gt;=50,"C","F")))))</f>
        <v>B</v>
      </c>
      <c r="O103" s="65" t="n">
        <f aca="false">IF(M103&gt;=90,4,IF(M103&gt;=80,3.7,IF(M103&gt;=70,3.3,IF(M103&gt;=60,3,IF(M103&gt;=50,2,0)))))</f>
        <v>3</v>
      </c>
      <c r="P103" s="38" t="n">
        <v>0.992</v>
      </c>
      <c r="Q103" s="66" t="n">
        <v>81.8</v>
      </c>
      <c r="R103" s="66" t="n">
        <v>80.7</v>
      </c>
      <c r="S103" s="34" t="str">
        <f aca="false">IF(M103&gt;=40,"Pass","Fail")</f>
        <v>Pass</v>
      </c>
      <c r="T103" s="34" t="str">
        <f aca="false">IF(M103&gt;=80,"Yes","No")</f>
        <v>No</v>
      </c>
    </row>
    <row r="104" customFormat="false" ht="15" hidden="false" customHeight="false" outlineLevel="0" collapsed="false">
      <c r="A104" s="43" t="s">
        <v>2981</v>
      </c>
      <c r="B104" s="44" t="s">
        <v>2982</v>
      </c>
      <c r="C104" s="43" t="s">
        <v>2786</v>
      </c>
      <c r="D104" s="51" t="n">
        <v>3</v>
      </c>
      <c r="E104" s="43" t="s">
        <v>2763</v>
      </c>
      <c r="F104" s="44" t="s">
        <v>2783</v>
      </c>
      <c r="G104" s="67" t="n">
        <v>28</v>
      </c>
      <c r="H104" s="44" t="s">
        <v>2778</v>
      </c>
      <c r="I104" s="67" t="n">
        <v>62</v>
      </c>
      <c r="J104" s="44" t="s">
        <v>2770</v>
      </c>
      <c r="K104" s="67" t="n">
        <v>22</v>
      </c>
      <c r="L104" s="67" t="n">
        <f aca="false">G104+I104+K104</f>
        <v>112</v>
      </c>
      <c r="M104" s="68" t="n">
        <f aca="false">L104/300*100</f>
        <v>37.3333333333333</v>
      </c>
      <c r="N104" s="43" t="str">
        <f aca="false">IF(M104&gt;=90,"A+",IF(M104&gt;=80,"A",IF(M104&gt;=70,"B+",IF(M104&gt;=60,"B",IF(M104&gt;=50,"C","F")))))</f>
        <v>F</v>
      </c>
      <c r="O104" s="69" t="n">
        <f aca="false">IF(M104&gt;=90,4,IF(M104&gt;=80,3.7,IF(M104&gt;=70,3.3,IF(M104&gt;=60,3,IF(M104&gt;=50,2,0)))))</f>
        <v>0</v>
      </c>
      <c r="P104" s="47" t="n">
        <v>0.824</v>
      </c>
      <c r="Q104" s="70" t="n">
        <v>75.1</v>
      </c>
      <c r="R104" s="70" t="n">
        <v>62.9</v>
      </c>
      <c r="S104" s="43" t="str">
        <f aca="false">IF(M104&gt;=40,"Pass","Fail")</f>
        <v>Fail</v>
      </c>
      <c r="T104" s="43" t="str">
        <f aca="false">IF(M104&gt;=80,"Yes","No")</f>
        <v>No</v>
      </c>
    </row>
    <row r="105" customFormat="false" ht="15" hidden="false" customHeight="false" outlineLevel="0" collapsed="false">
      <c r="A105" s="34" t="s">
        <v>2983</v>
      </c>
      <c r="B105" s="35" t="s">
        <v>2984</v>
      </c>
      <c r="C105" s="34" t="s">
        <v>2769</v>
      </c>
      <c r="D105" s="42" t="n">
        <v>4</v>
      </c>
      <c r="E105" s="34" t="s">
        <v>2782</v>
      </c>
      <c r="F105" s="35" t="s">
        <v>2764</v>
      </c>
      <c r="G105" s="63" t="n">
        <v>22</v>
      </c>
      <c r="H105" s="35" t="s">
        <v>2775</v>
      </c>
      <c r="I105" s="63" t="n">
        <v>98</v>
      </c>
      <c r="J105" s="35" t="s">
        <v>2765</v>
      </c>
      <c r="K105" s="63" t="n">
        <v>35</v>
      </c>
      <c r="L105" s="63" t="n">
        <f aca="false">G105+I105+K105</f>
        <v>155</v>
      </c>
      <c r="M105" s="64" t="n">
        <f aca="false">L105/300*100</f>
        <v>51.6666666666667</v>
      </c>
      <c r="N105" s="34" t="str">
        <f aca="false">IF(M105&gt;=90,"A+",IF(M105&gt;=80,"A",IF(M105&gt;=70,"B+",IF(M105&gt;=60,"B",IF(M105&gt;=50,"C","F")))))</f>
        <v>C</v>
      </c>
      <c r="O105" s="65" t="n">
        <f aca="false">IF(M105&gt;=90,4,IF(M105&gt;=80,3.7,IF(M105&gt;=70,3.3,IF(M105&gt;=60,3,IF(M105&gt;=50,2,0)))))</f>
        <v>2</v>
      </c>
      <c r="P105" s="38" t="n">
        <v>0.689</v>
      </c>
      <c r="Q105" s="66" t="n">
        <v>84.3</v>
      </c>
      <c r="R105" s="66" t="n">
        <v>85.4</v>
      </c>
      <c r="S105" s="34" t="str">
        <f aca="false">IF(M105&gt;=40,"Pass","Fail")</f>
        <v>Pass</v>
      </c>
      <c r="T105" s="34" t="str">
        <f aca="false">IF(M105&gt;=80,"Yes","No")</f>
        <v>No</v>
      </c>
    </row>
    <row r="106" customFormat="false" ht="15" hidden="false" customHeight="false" outlineLevel="0" collapsed="false">
      <c r="A106" s="43" t="s">
        <v>2985</v>
      </c>
      <c r="B106" s="44" t="s">
        <v>2986</v>
      </c>
      <c r="C106" s="43" t="s">
        <v>2806</v>
      </c>
      <c r="D106" s="51" t="n">
        <v>2</v>
      </c>
      <c r="E106" s="43" t="s">
        <v>2774</v>
      </c>
      <c r="F106" s="44" t="s">
        <v>2783</v>
      </c>
      <c r="G106" s="67" t="n">
        <v>57</v>
      </c>
      <c r="H106" s="44" t="s">
        <v>2778</v>
      </c>
      <c r="I106" s="67" t="n">
        <v>45</v>
      </c>
      <c r="J106" s="44" t="s">
        <v>2770</v>
      </c>
      <c r="K106" s="67" t="n">
        <v>39</v>
      </c>
      <c r="L106" s="67" t="n">
        <f aca="false">G106+I106+K106</f>
        <v>141</v>
      </c>
      <c r="M106" s="68" t="n">
        <f aca="false">L106/300*100</f>
        <v>47</v>
      </c>
      <c r="N106" s="43" t="str">
        <f aca="false">IF(M106&gt;=90,"A+",IF(M106&gt;=80,"A",IF(M106&gt;=70,"B+",IF(M106&gt;=60,"B",IF(M106&gt;=50,"C","F")))))</f>
        <v>F</v>
      </c>
      <c r="O106" s="69" t="n">
        <f aca="false">IF(M106&gt;=90,4,IF(M106&gt;=80,3.7,IF(M106&gt;=70,3.3,IF(M106&gt;=60,3,IF(M106&gt;=50,2,0)))))</f>
        <v>0</v>
      </c>
      <c r="P106" s="47" t="n">
        <v>0.719</v>
      </c>
      <c r="Q106" s="70" t="n">
        <v>78.5</v>
      </c>
      <c r="R106" s="70" t="n">
        <v>54.3</v>
      </c>
      <c r="S106" s="43" t="str">
        <f aca="false">IF(M106&gt;=40,"Pass","Fail")</f>
        <v>Pass</v>
      </c>
      <c r="T106" s="43" t="str">
        <f aca="false">IF(M106&gt;=80,"Yes","No")</f>
        <v>No</v>
      </c>
    </row>
    <row r="107" customFormat="false" ht="15" hidden="false" customHeight="false" outlineLevel="0" collapsed="false">
      <c r="A107" s="34" t="s">
        <v>2987</v>
      </c>
      <c r="B107" s="35" t="s">
        <v>2988</v>
      </c>
      <c r="C107" s="34" t="s">
        <v>2769</v>
      </c>
      <c r="D107" s="42" t="n">
        <v>8</v>
      </c>
      <c r="E107" s="34" t="s">
        <v>2782</v>
      </c>
      <c r="F107" s="35" t="s">
        <v>2778</v>
      </c>
      <c r="G107" s="63" t="n">
        <v>60</v>
      </c>
      <c r="H107" s="35" t="s">
        <v>2783</v>
      </c>
      <c r="I107" s="63" t="n">
        <v>25</v>
      </c>
      <c r="J107" s="35" t="s">
        <v>2771</v>
      </c>
      <c r="K107" s="63" t="n">
        <v>86</v>
      </c>
      <c r="L107" s="63" t="n">
        <f aca="false">G107+I107+K107</f>
        <v>171</v>
      </c>
      <c r="M107" s="64" t="n">
        <f aca="false">L107/300*100</f>
        <v>57</v>
      </c>
      <c r="N107" s="34" t="str">
        <f aca="false">IF(M107&gt;=90,"A+",IF(M107&gt;=80,"A",IF(M107&gt;=70,"B+",IF(M107&gt;=60,"B",IF(M107&gt;=50,"C","F")))))</f>
        <v>C</v>
      </c>
      <c r="O107" s="65" t="n">
        <f aca="false">IF(M107&gt;=90,4,IF(M107&gt;=80,3.7,IF(M107&gt;=70,3.3,IF(M107&gt;=60,3,IF(M107&gt;=50,2,0)))))</f>
        <v>2</v>
      </c>
      <c r="P107" s="38" t="n">
        <v>0.906</v>
      </c>
      <c r="Q107" s="66" t="n">
        <v>64.9</v>
      </c>
      <c r="R107" s="66" t="n">
        <v>88.8</v>
      </c>
      <c r="S107" s="34" t="str">
        <f aca="false">IF(M107&gt;=40,"Pass","Fail")</f>
        <v>Pass</v>
      </c>
      <c r="T107" s="34" t="str">
        <f aca="false">IF(M107&gt;=80,"Yes","No")</f>
        <v>No</v>
      </c>
    </row>
    <row r="108" customFormat="false" ht="15" hidden="false" customHeight="false" outlineLevel="0" collapsed="false">
      <c r="A108" s="43" t="s">
        <v>2989</v>
      </c>
      <c r="B108" s="44" t="s">
        <v>2990</v>
      </c>
      <c r="C108" s="43" t="s">
        <v>2786</v>
      </c>
      <c r="D108" s="51" t="n">
        <v>1</v>
      </c>
      <c r="E108" s="43" t="s">
        <v>2774</v>
      </c>
      <c r="F108" s="44" t="s">
        <v>2778</v>
      </c>
      <c r="G108" s="67" t="n">
        <v>46</v>
      </c>
      <c r="H108" s="44" t="s">
        <v>2764</v>
      </c>
      <c r="I108" s="67" t="n">
        <v>89</v>
      </c>
      <c r="J108" s="44" t="s">
        <v>2765</v>
      </c>
      <c r="K108" s="67" t="n">
        <v>26</v>
      </c>
      <c r="L108" s="67" t="n">
        <f aca="false">G108+I108+K108</f>
        <v>161</v>
      </c>
      <c r="M108" s="68" t="n">
        <f aca="false">L108/300*100</f>
        <v>53.6666666666667</v>
      </c>
      <c r="N108" s="43" t="str">
        <f aca="false">IF(M108&gt;=90,"A+",IF(M108&gt;=80,"A",IF(M108&gt;=70,"B+",IF(M108&gt;=60,"B",IF(M108&gt;=50,"C","F")))))</f>
        <v>C</v>
      </c>
      <c r="O108" s="69" t="n">
        <f aca="false">IF(M108&gt;=90,4,IF(M108&gt;=80,3.7,IF(M108&gt;=70,3.3,IF(M108&gt;=60,3,IF(M108&gt;=50,2,0)))))</f>
        <v>2</v>
      </c>
      <c r="P108" s="47" t="n">
        <v>0.958</v>
      </c>
      <c r="Q108" s="70" t="n">
        <v>79.9</v>
      </c>
      <c r="R108" s="70" t="n">
        <v>54.9</v>
      </c>
      <c r="S108" s="43" t="str">
        <f aca="false">IF(M108&gt;=40,"Pass","Fail")</f>
        <v>Pass</v>
      </c>
      <c r="T108" s="43" t="str">
        <f aca="false">IF(M108&gt;=80,"Yes","No")</f>
        <v>No</v>
      </c>
    </row>
    <row r="109" customFormat="false" ht="15" hidden="false" customHeight="false" outlineLevel="0" collapsed="false">
      <c r="A109" s="34" t="s">
        <v>2991</v>
      </c>
      <c r="B109" s="35" t="s">
        <v>2992</v>
      </c>
      <c r="C109" s="34" t="s">
        <v>2769</v>
      </c>
      <c r="D109" s="42" t="n">
        <v>4</v>
      </c>
      <c r="E109" s="34" t="s">
        <v>2782</v>
      </c>
      <c r="F109" s="35" t="s">
        <v>2791</v>
      </c>
      <c r="G109" s="63" t="n">
        <v>43</v>
      </c>
      <c r="H109" s="35" t="s">
        <v>2766</v>
      </c>
      <c r="I109" s="63" t="n">
        <v>76</v>
      </c>
      <c r="J109" s="35" t="s">
        <v>2778</v>
      </c>
      <c r="K109" s="63" t="n">
        <v>100</v>
      </c>
      <c r="L109" s="63" t="n">
        <f aca="false">G109+I109+K109</f>
        <v>219</v>
      </c>
      <c r="M109" s="64" t="n">
        <f aca="false">L109/300*100</f>
        <v>73</v>
      </c>
      <c r="N109" s="34" t="str">
        <f aca="false">IF(M109&gt;=90,"A+",IF(M109&gt;=80,"A",IF(M109&gt;=70,"B+",IF(M109&gt;=60,"B",IF(M109&gt;=50,"C","F")))))</f>
        <v>B+</v>
      </c>
      <c r="O109" s="65" t="n">
        <f aca="false">IF(M109&gt;=90,4,IF(M109&gt;=80,3.7,IF(M109&gt;=70,3.3,IF(M109&gt;=60,3,IF(M109&gt;=50,2,0)))))</f>
        <v>3.3</v>
      </c>
      <c r="P109" s="38" t="n">
        <v>0.553</v>
      </c>
      <c r="Q109" s="66" t="n">
        <v>92.2</v>
      </c>
      <c r="R109" s="66" t="n">
        <v>44.2</v>
      </c>
      <c r="S109" s="34" t="str">
        <f aca="false">IF(M109&gt;=40,"Pass","Fail")</f>
        <v>Pass</v>
      </c>
      <c r="T109" s="34" t="str">
        <f aca="false">IF(M109&gt;=80,"Yes","No")</f>
        <v>No</v>
      </c>
    </row>
    <row r="110" customFormat="false" ht="15" hidden="false" customHeight="false" outlineLevel="0" collapsed="false">
      <c r="A110" s="43" t="s">
        <v>2993</v>
      </c>
      <c r="B110" s="44" t="s">
        <v>2994</v>
      </c>
      <c r="C110" s="43" t="s">
        <v>2781</v>
      </c>
      <c r="D110" s="51" t="n">
        <v>1</v>
      </c>
      <c r="E110" s="43" t="s">
        <v>2782</v>
      </c>
      <c r="F110" s="44" t="s">
        <v>2783</v>
      </c>
      <c r="G110" s="67" t="n">
        <v>31</v>
      </c>
      <c r="H110" s="44" t="s">
        <v>2765</v>
      </c>
      <c r="I110" s="67" t="n">
        <v>42</v>
      </c>
      <c r="J110" s="44" t="s">
        <v>2764</v>
      </c>
      <c r="K110" s="67" t="n">
        <v>95</v>
      </c>
      <c r="L110" s="67" t="n">
        <f aca="false">G110+I110+K110</f>
        <v>168</v>
      </c>
      <c r="M110" s="68" t="n">
        <f aca="false">L110/300*100</f>
        <v>56</v>
      </c>
      <c r="N110" s="43" t="str">
        <f aca="false">IF(M110&gt;=90,"A+",IF(M110&gt;=80,"A",IF(M110&gt;=70,"B+",IF(M110&gt;=60,"B",IF(M110&gt;=50,"C","F")))))</f>
        <v>C</v>
      </c>
      <c r="O110" s="69" t="n">
        <f aca="false">IF(M110&gt;=90,4,IF(M110&gt;=80,3.7,IF(M110&gt;=70,3.3,IF(M110&gt;=60,3,IF(M110&gt;=50,2,0)))))</f>
        <v>2</v>
      </c>
      <c r="P110" s="47" t="n">
        <v>0.797</v>
      </c>
      <c r="Q110" s="70" t="n">
        <v>87.7</v>
      </c>
      <c r="R110" s="70" t="n">
        <v>52.3</v>
      </c>
      <c r="S110" s="43" t="str">
        <f aca="false">IF(M110&gt;=40,"Pass","Fail")</f>
        <v>Pass</v>
      </c>
      <c r="T110" s="43" t="str">
        <f aca="false">IF(M110&gt;=80,"Yes","No")</f>
        <v>No</v>
      </c>
    </row>
    <row r="111" customFormat="false" ht="15" hidden="false" customHeight="false" outlineLevel="0" collapsed="false">
      <c r="A111" s="34" t="s">
        <v>2995</v>
      </c>
      <c r="B111" s="35" t="s">
        <v>2996</v>
      </c>
      <c r="C111" s="34" t="s">
        <v>2806</v>
      </c>
      <c r="D111" s="42" t="n">
        <v>2</v>
      </c>
      <c r="E111" s="34" t="s">
        <v>2763</v>
      </c>
      <c r="F111" s="35" t="s">
        <v>2770</v>
      </c>
      <c r="G111" s="63" t="n">
        <v>45</v>
      </c>
      <c r="H111" s="35" t="s">
        <v>2771</v>
      </c>
      <c r="I111" s="63" t="n">
        <v>51</v>
      </c>
      <c r="J111" s="35" t="s">
        <v>2783</v>
      </c>
      <c r="K111" s="63" t="n">
        <v>74</v>
      </c>
      <c r="L111" s="63" t="n">
        <f aca="false">G111+I111+K111</f>
        <v>170</v>
      </c>
      <c r="M111" s="64" t="n">
        <f aca="false">L111/300*100</f>
        <v>56.6666666666667</v>
      </c>
      <c r="N111" s="34" t="str">
        <f aca="false">IF(M111&gt;=90,"A+",IF(M111&gt;=80,"A",IF(M111&gt;=70,"B+",IF(M111&gt;=60,"B",IF(M111&gt;=50,"C","F")))))</f>
        <v>C</v>
      </c>
      <c r="O111" s="65" t="n">
        <f aca="false">IF(M111&gt;=90,4,IF(M111&gt;=80,3.7,IF(M111&gt;=70,3.3,IF(M111&gt;=60,3,IF(M111&gt;=50,2,0)))))</f>
        <v>2</v>
      </c>
      <c r="P111" s="38" t="n">
        <v>0.629</v>
      </c>
      <c r="Q111" s="66" t="n">
        <v>54.9</v>
      </c>
      <c r="R111" s="66" t="n">
        <v>57.1</v>
      </c>
      <c r="S111" s="34" t="str">
        <f aca="false">IF(M111&gt;=40,"Pass","Fail")</f>
        <v>Pass</v>
      </c>
      <c r="T111" s="34" t="str">
        <f aca="false">IF(M111&gt;=80,"Yes","No")</f>
        <v>No</v>
      </c>
    </row>
    <row r="112" customFormat="false" ht="15" hidden="false" customHeight="false" outlineLevel="0" collapsed="false">
      <c r="A112" s="43" t="s">
        <v>2997</v>
      </c>
      <c r="B112" s="44" t="s">
        <v>2998</v>
      </c>
      <c r="C112" s="43" t="s">
        <v>2762</v>
      </c>
      <c r="D112" s="51" t="n">
        <v>4</v>
      </c>
      <c r="E112" s="43" t="s">
        <v>2763</v>
      </c>
      <c r="F112" s="44" t="s">
        <v>2770</v>
      </c>
      <c r="G112" s="67" t="n">
        <v>70</v>
      </c>
      <c r="H112" s="44" t="s">
        <v>2792</v>
      </c>
      <c r="I112" s="67" t="n">
        <v>68</v>
      </c>
      <c r="J112" s="44" t="s">
        <v>2778</v>
      </c>
      <c r="K112" s="67" t="n">
        <v>41</v>
      </c>
      <c r="L112" s="67" t="n">
        <f aca="false">G112+I112+K112</f>
        <v>179</v>
      </c>
      <c r="M112" s="68" t="n">
        <f aca="false">L112/300*100</f>
        <v>59.6666666666667</v>
      </c>
      <c r="N112" s="43" t="str">
        <f aca="false">IF(M112&gt;=90,"A+",IF(M112&gt;=80,"A",IF(M112&gt;=70,"B+",IF(M112&gt;=60,"B",IF(M112&gt;=50,"C","F")))))</f>
        <v>C</v>
      </c>
      <c r="O112" s="69" t="n">
        <f aca="false">IF(M112&gt;=90,4,IF(M112&gt;=80,3.7,IF(M112&gt;=70,3.3,IF(M112&gt;=60,3,IF(M112&gt;=50,2,0)))))</f>
        <v>2</v>
      </c>
      <c r="P112" s="47" t="n">
        <v>0.762</v>
      </c>
      <c r="Q112" s="70" t="n">
        <v>65.4</v>
      </c>
      <c r="R112" s="70" t="n">
        <v>76.6</v>
      </c>
      <c r="S112" s="43" t="str">
        <f aca="false">IF(M112&gt;=40,"Pass","Fail")</f>
        <v>Pass</v>
      </c>
      <c r="T112" s="43" t="str">
        <f aca="false">IF(M112&gt;=80,"Yes","No")</f>
        <v>No</v>
      </c>
    </row>
    <row r="113" customFormat="false" ht="15" hidden="false" customHeight="false" outlineLevel="0" collapsed="false">
      <c r="A113" s="34" t="s">
        <v>2999</v>
      </c>
      <c r="B113" s="35" t="s">
        <v>3000</v>
      </c>
      <c r="C113" s="34" t="s">
        <v>2762</v>
      </c>
      <c r="D113" s="42" t="n">
        <v>3</v>
      </c>
      <c r="E113" s="34" t="s">
        <v>2763</v>
      </c>
      <c r="F113" s="35" t="s">
        <v>2775</v>
      </c>
      <c r="G113" s="63" t="n">
        <v>30</v>
      </c>
      <c r="H113" s="35" t="s">
        <v>2791</v>
      </c>
      <c r="I113" s="63" t="n">
        <v>58</v>
      </c>
      <c r="J113" s="35" t="s">
        <v>2766</v>
      </c>
      <c r="K113" s="63" t="n">
        <v>96</v>
      </c>
      <c r="L113" s="63" t="n">
        <f aca="false">G113+I113+K113</f>
        <v>184</v>
      </c>
      <c r="M113" s="64" t="n">
        <f aca="false">L113/300*100</f>
        <v>61.3333333333333</v>
      </c>
      <c r="N113" s="34" t="str">
        <f aca="false">IF(M113&gt;=90,"A+",IF(M113&gt;=80,"A",IF(M113&gt;=70,"B+",IF(M113&gt;=60,"B",IF(M113&gt;=50,"C","F")))))</f>
        <v>B</v>
      </c>
      <c r="O113" s="65" t="n">
        <f aca="false">IF(M113&gt;=90,4,IF(M113&gt;=80,3.7,IF(M113&gt;=70,3.3,IF(M113&gt;=60,3,IF(M113&gt;=50,2,0)))))</f>
        <v>3</v>
      </c>
      <c r="P113" s="38" t="n">
        <v>0.792</v>
      </c>
      <c r="Q113" s="66" t="n">
        <v>73.2</v>
      </c>
      <c r="R113" s="66" t="n">
        <v>50.5</v>
      </c>
      <c r="S113" s="34" t="str">
        <f aca="false">IF(M113&gt;=40,"Pass","Fail")</f>
        <v>Pass</v>
      </c>
      <c r="T113" s="34" t="str">
        <f aca="false">IF(M113&gt;=80,"Yes","No")</f>
        <v>No</v>
      </c>
    </row>
    <row r="114" customFormat="false" ht="15" hidden="false" customHeight="false" outlineLevel="0" collapsed="false">
      <c r="A114" s="43" t="s">
        <v>3001</v>
      </c>
      <c r="B114" s="44" t="s">
        <v>3002</v>
      </c>
      <c r="C114" s="43" t="s">
        <v>2762</v>
      </c>
      <c r="D114" s="51" t="n">
        <v>8</v>
      </c>
      <c r="E114" s="43" t="s">
        <v>2763</v>
      </c>
      <c r="F114" s="44" t="s">
        <v>2770</v>
      </c>
      <c r="G114" s="67" t="n">
        <v>91</v>
      </c>
      <c r="H114" s="44" t="s">
        <v>2771</v>
      </c>
      <c r="I114" s="67" t="n">
        <v>97</v>
      </c>
      <c r="J114" s="44" t="s">
        <v>2791</v>
      </c>
      <c r="K114" s="67" t="n">
        <v>81</v>
      </c>
      <c r="L114" s="67" t="n">
        <f aca="false">G114+I114+K114</f>
        <v>269</v>
      </c>
      <c r="M114" s="68" t="n">
        <f aca="false">L114/300*100</f>
        <v>89.6666666666667</v>
      </c>
      <c r="N114" s="43" t="str">
        <f aca="false">IF(M114&gt;=90,"A+",IF(M114&gt;=80,"A",IF(M114&gt;=70,"B+",IF(M114&gt;=60,"B",IF(M114&gt;=50,"C","F")))))</f>
        <v>A</v>
      </c>
      <c r="O114" s="69" t="n">
        <f aca="false">IF(M114&gt;=90,4,IF(M114&gt;=80,3.7,IF(M114&gt;=70,3.3,IF(M114&gt;=60,3,IF(M114&gt;=50,2,0)))))</f>
        <v>3.7</v>
      </c>
      <c r="P114" s="47" t="n">
        <v>0.582</v>
      </c>
      <c r="Q114" s="70" t="n">
        <v>48.2</v>
      </c>
      <c r="R114" s="70" t="n">
        <v>68.2</v>
      </c>
      <c r="S114" s="43" t="str">
        <f aca="false">IF(M114&gt;=40,"Pass","Fail")</f>
        <v>Pass</v>
      </c>
      <c r="T114" s="43" t="str">
        <f aca="false">IF(M114&gt;=80,"Yes","No")</f>
        <v>Yes</v>
      </c>
    </row>
    <row r="115" customFormat="false" ht="15" hidden="false" customHeight="false" outlineLevel="0" collapsed="false">
      <c r="A115" s="34" t="s">
        <v>3003</v>
      </c>
      <c r="B115" s="35" t="s">
        <v>3004</v>
      </c>
      <c r="C115" s="34" t="s">
        <v>2781</v>
      </c>
      <c r="D115" s="42" t="n">
        <v>4</v>
      </c>
      <c r="E115" s="34" t="s">
        <v>2774</v>
      </c>
      <c r="F115" s="35" t="s">
        <v>2775</v>
      </c>
      <c r="G115" s="63" t="n">
        <v>82</v>
      </c>
      <c r="H115" s="35" t="s">
        <v>2766</v>
      </c>
      <c r="I115" s="63" t="n">
        <v>71</v>
      </c>
      <c r="J115" s="35" t="s">
        <v>2778</v>
      </c>
      <c r="K115" s="63" t="n">
        <v>73</v>
      </c>
      <c r="L115" s="63" t="n">
        <f aca="false">G115+I115+K115</f>
        <v>226</v>
      </c>
      <c r="M115" s="64" t="n">
        <f aca="false">L115/300*100</f>
        <v>75.3333333333333</v>
      </c>
      <c r="N115" s="34" t="str">
        <f aca="false">IF(M115&gt;=90,"A+",IF(M115&gt;=80,"A",IF(M115&gt;=70,"B+",IF(M115&gt;=60,"B",IF(M115&gt;=50,"C","F")))))</f>
        <v>B+</v>
      </c>
      <c r="O115" s="65" t="n">
        <f aca="false">IF(M115&gt;=90,4,IF(M115&gt;=80,3.7,IF(M115&gt;=70,3.3,IF(M115&gt;=60,3,IF(M115&gt;=50,2,0)))))</f>
        <v>3.3</v>
      </c>
      <c r="P115" s="38" t="n">
        <v>0.973</v>
      </c>
      <c r="Q115" s="66" t="n">
        <v>98.2</v>
      </c>
      <c r="R115" s="66" t="n">
        <v>62.4</v>
      </c>
      <c r="S115" s="34" t="str">
        <f aca="false">IF(M115&gt;=40,"Pass","Fail")</f>
        <v>Pass</v>
      </c>
      <c r="T115" s="34" t="str">
        <f aca="false">IF(M115&gt;=80,"Yes","No")</f>
        <v>No</v>
      </c>
    </row>
    <row r="116" customFormat="false" ht="15" hidden="false" customHeight="false" outlineLevel="0" collapsed="false">
      <c r="A116" s="43" t="s">
        <v>3005</v>
      </c>
      <c r="B116" s="44" t="s">
        <v>3006</v>
      </c>
      <c r="C116" s="43" t="s">
        <v>2762</v>
      </c>
      <c r="D116" s="51" t="n">
        <v>5</v>
      </c>
      <c r="E116" s="43" t="s">
        <v>2782</v>
      </c>
      <c r="F116" s="44" t="s">
        <v>2764</v>
      </c>
      <c r="G116" s="67" t="n">
        <v>24</v>
      </c>
      <c r="H116" s="44" t="s">
        <v>2792</v>
      </c>
      <c r="I116" s="67" t="n">
        <v>35</v>
      </c>
      <c r="J116" s="44" t="s">
        <v>2791</v>
      </c>
      <c r="K116" s="67" t="n">
        <v>69</v>
      </c>
      <c r="L116" s="67" t="n">
        <f aca="false">G116+I116+K116</f>
        <v>128</v>
      </c>
      <c r="M116" s="68" t="n">
        <f aca="false">L116/300*100</f>
        <v>42.6666666666667</v>
      </c>
      <c r="N116" s="43" t="str">
        <f aca="false">IF(M116&gt;=90,"A+",IF(M116&gt;=80,"A",IF(M116&gt;=70,"B+",IF(M116&gt;=60,"B",IF(M116&gt;=50,"C","F")))))</f>
        <v>F</v>
      </c>
      <c r="O116" s="69" t="n">
        <f aca="false">IF(M116&gt;=90,4,IF(M116&gt;=80,3.7,IF(M116&gt;=70,3.3,IF(M116&gt;=60,3,IF(M116&gt;=50,2,0)))))</f>
        <v>0</v>
      </c>
      <c r="P116" s="47" t="n">
        <v>0.969</v>
      </c>
      <c r="Q116" s="70" t="n">
        <v>49.7</v>
      </c>
      <c r="R116" s="70" t="n">
        <v>85.8</v>
      </c>
      <c r="S116" s="43" t="str">
        <f aca="false">IF(M116&gt;=40,"Pass","Fail")</f>
        <v>Pass</v>
      </c>
      <c r="T116" s="43" t="str">
        <f aca="false">IF(M116&gt;=80,"Yes","No")</f>
        <v>No</v>
      </c>
    </row>
    <row r="117" customFormat="false" ht="15" hidden="false" customHeight="false" outlineLevel="0" collapsed="false">
      <c r="A117" s="34" t="s">
        <v>3007</v>
      </c>
      <c r="B117" s="35" t="s">
        <v>3008</v>
      </c>
      <c r="C117" s="34" t="s">
        <v>2803</v>
      </c>
      <c r="D117" s="42" t="n">
        <v>6</v>
      </c>
      <c r="E117" s="34" t="s">
        <v>2782</v>
      </c>
      <c r="F117" s="35" t="s">
        <v>2770</v>
      </c>
      <c r="G117" s="63" t="n">
        <v>69</v>
      </c>
      <c r="H117" s="35" t="s">
        <v>2778</v>
      </c>
      <c r="I117" s="63" t="n">
        <v>74</v>
      </c>
      <c r="J117" s="35" t="s">
        <v>2775</v>
      </c>
      <c r="K117" s="63" t="n">
        <v>51</v>
      </c>
      <c r="L117" s="63" t="n">
        <f aca="false">G117+I117+K117</f>
        <v>194</v>
      </c>
      <c r="M117" s="64" t="n">
        <f aca="false">L117/300*100</f>
        <v>64.6666666666667</v>
      </c>
      <c r="N117" s="34" t="str">
        <f aca="false">IF(M117&gt;=90,"A+",IF(M117&gt;=80,"A",IF(M117&gt;=70,"B+",IF(M117&gt;=60,"B",IF(M117&gt;=50,"C","F")))))</f>
        <v>B</v>
      </c>
      <c r="O117" s="65" t="n">
        <f aca="false">IF(M117&gt;=90,4,IF(M117&gt;=80,3.7,IF(M117&gt;=70,3.3,IF(M117&gt;=60,3,IF(M117&gt;=50,2,0)))))</f>
        <v>3</v>
      </c>
      <c r="P117" s="38" t="n">
        <v>0.659</v>
      </c>
      <c r="Q117" s="66" t="n">
        <v>42.1</v>
      </c>
      <c r="R117" s="66" t="n">
        <v>88.8</v>
      </c>
      <c r="S117" s="34" t="str">
        <f aca="false">IF(M117&gt;=40,"Pass","Fail")</f>
        <v>Pass</v>
      </c>
      <c r="T117" s="34" t="str">
        <f aca="false">IF(M117&gt;=80,"Yes","No")</f>
        <v>No</v>
      </c>
    </row>
    <row r="118" customFormat="false" ht="15" hidden="false" customHeight="false" outlineLevel="0" collapsed="false">
      <c r="A118" s="43" t="s">
        <v>3009</v>
      </c>
      <c r="B118" s="44" t="s">
        <v>3010</v>
      </c>
      <c r="C118" s="43" t="s">
        <v>2769</v>
      </c>
      <c r="D118" s="51" t="n">
        <v>1</v>
      </c>
      <c r="E118" s="43" t="s">
        <v>2782</v>
      </c>
      <c r="F118" s="44" t="s">
        <v>2783</v>
      </c>
      <c r="G118" s="67" t="n">
        <v>38</v>
      </c>
      <c r="H118" s="44" t="s">
        <v>2771</v>
      </c>
      <c r="I118" s="67" t="n">
        <v>52</v>
      </c>
      <c r="J118" s="44" t="s">
        <v>2770</v>
      </c>
      <c r="K118" s="67" t="n">
        <v>51</v>
      </c>
      <c r="L118" s="67" t="n">
        <f aca="false">G118+I118+K118</f>
        <v>141</v>
      </c>
      <c r="M118" s="68" t="n">
        <f aca="false">L118/300*100</f>
        <v>47</v>
      </c>
      <c r="N118" s="43" t="str">
        <f aca="false">IF(M118&gt;=90,"A+",IF(M118&gt;=80,"A",IF(M118&gt;=70,"B+",IF(M118&gt;=60,"B",IF(M118&gt;=50,"C","F")))))</f>
        <v>F</v>
      </c>
      <c r="O118" s="69" t="n">
        <f aca="false">IF(M118&gt;=90,4,IF(M118&gt;=80,3.7,IF(M118&gt;=70,3.3,IF(M118&gt;=60,3,IF(M118&gt;=50,2,0)))))</f>
        <v>0</v>
      </c>
      <c r="P118" s="47" t="n">
        <v>0.821</v>
      </c>
      <c r="Q118" s="70" t="n">
        <v>97.1</v>
      </c>
      <c r="R118" s="70" t="n">
        <v>90.5</v>
      </c>
      <c r="S118" s="43" t="str">
        <f aca="false">IF(M118&gt;=40,"Pass","Fail")</f>
        <v>Pass</v>
      </c>
      <c r="T118" s="43" t="str">
        <f aca="false">IF(M118&gt;=80,"Yes","No")</f>
        <v>No</v>
      </c>
    </row>
    <row r="119" customFormat="false" ht="15" hidden="false" customHeight="false" outlineLevel="0" collapsed="false">
      <c r="A119" s="34" t="s">
        <v>3011</v>
      </c>
      <c r="B119" s="35" t="s">
        <v>3012</v>
      </c>
      <c r="C119" s="34" t="s">
        <v>2851</v>
      </c>
      <c r="D119" s="42" t="n">
        <v>2</v>
      </c>
      <c r="E119" s="34" t="s">
        <v>2774</v>
      </c>
      <c r="F119" s="35" t="s">
        <v>2791</v>
      </c>
      <c r="G119" s="63" t="n">
        <v>86</v>
      </c>
      <c r="H119" s="35" t="s">
        <v>2764</v>
      </c>
      <c r="I119" s="63" t="n">
        <v>44</v>
      </c>
      <c r="J119" s="35" t="s">
        <v>2792</v>
      </c>
      <c r="K119" s="63" t="n">
        <v>74</v>
      </c>
      <c r="L119" s="63" t="n">
        <f aca="false">G119+I119+K119</f>
        <v>204</v>
      </c>
      <c r="M119" s="64" t="n">
        <f aca="false">L119/300*100</f>
        <v>68</v>
      </c>
      <c r="N119" s="34" t="str">
        <f aca="false">IF(M119&gt;=90,"A+",IF(M119&gt;=80,"A",IF(M119&gt;=70,"B+",IF(M119&gt;=60,"B",IF(M119&gt;=50,"C","F")))))</f>
        <v>B</v>
      </c>
      <c r="O119" s="65" t="n">
        <f aca="false">IF(M119&gt;=90,4,IF(M119&gt;=80,3.7,IF(M119&gt;=70,3.3,IF(M119&gt;=60,3,IF(M119&gt;=50,2,0)))))</f>
        <v>3</v>
      </c>
      <c r="P119" s="38" t="n">
        <v>0.625</v>
      </c>
      <c r="Q119" s="66" t="n">
        <v>65.6</v>
      </c>
      <c r="R119" s="66" t="n">
        <v>81.5</v>
      </c>
      <c r="S119" s="34" t="str">
        <f aca="false">IF(M119&gt;=40,"Pass","Fail")</f>
        <v>Pass</v>
      </c>
      <c r="T119" s="34" t="str">
        <f aca="false">IF(M119&gt;=80,"Yes","No")</f>
        <v>No</v>
      </c>
    </row>
    <row r="120" customFormat="false" ht="15" hidden="false" customHeight="false" outlineLevel="0" collapsed="false">
      <c r="A120" s="43" t="s">
        <v>3013</v>
      </c>
      <c r="B120" s="44" t="s">
        <v>3014</v>
      </c>
      <c r="C120" s="43" t="s">
        <v>2806</v>
      </c>
      <c r="D120" s="51" t="n">
        <v>7</v>
      </c>
      <c r="E120" s="43" t="s">
        <v>2782</v>
      </c>
      <c r="F120" s="44" t="s">
        <v>2771</v>
      </c>
      <c r="G120" s="67" t="n">
        <v>33</v>
      </c>
      <c r="H120" s="44" t="s">
        <v>2791</v>
      </c>
      <c r="I120" s="67" t="n">
        <v>93</v>
      </c>
      <c r="J120" s="44" t="s">
        <v>2792</v>
      </c>
      <c r="K120" s="67" t="n">
        <v>64</v>
      </c>
      <c r="L120" s="67" t="n">
        <f aca="false">G120+I120+K120</f>
        <v>190</v>
      </c>
      <c r="M120" s="68" t="n">
        <f aca="false">L120/300*100</f>
        <v>63.3333333333333</v>
      </c>
      <c r="N120" s="43" t="str">
        <f aca="false">IF(M120&gt;=90,"A+",IF(M120&gt;=80,"A",IF(M120&gt;=70,"B+",IF(M120&gt;=60,"B",IF(M120&gt;=50,"C","F")))))</f>
        <v>B</v>
      </c>
      <c r="O120" s="69" t="n">
        <f aca="false">IF(M120&gt;=90,4,IF(M120&gt;=80,3.7,IF(M120&gt;=70,3.3,IF(M120&gt;=60,3,IF(M120&gt;=50,2,0)))))</f>
        <v>3</v>
      </c>
      <c r="P120" s="47" t="n">
        <v>0.916</v>
      </c>
      <c r="Q120" s="70" t="n">
        <v>56.1</v>
      </c>
      <c r="R120" s="70" t="n">
        <v>52.6</v>
      </c>
      <c r="S120" s="43" t="str">
        <f aca="false">IF(M120&gt;=40,"Pass","Fail")</f>
        <v>Pass</v>
      </c>
      <c r="T120" s="43" t="str">
        <f aca="false">IF(M120&gt;=80,"Yes","No")</f>
        <v>No</v>
      </c>
    </row>
    <row r="121" customFormat="false" ht="15" hidden="false" customHeight="false" outlineLevel="0" collapsed="false">
      <c r="A121" s="34" t="s">
        <v>3015</v>
      </c>
      <c r="B121" s="35" t="s">
        <v>3016</v>
      </c>
      <c r="C121" s="34" t="s">
        <v>2769</v>
      </c>
      <c r="D121" s="42" t="n">
        <v>7</v>
      </c>
      <c r="E121" s="34" t="s">
        <v>2782</v>
      </c>
      <c r="F121" s="35" t="s">
        <v>2771</v>
      </c>
      <c r="G121" s="63" t="n">
        <v>82</v>
      </c>
      <c r="H121" s="35" t="s">
        <v>2775</v>
      </c>
      <c r="I121" s="63" t="n">
        <v>20</v>
      </c>
      <c r="J121" s="35" t="s">
        <v>2783</v>
      </c>
      <c r="K121" s="63" t="n">
        <v>32</v>
      </c>
      <c r="L121" s="63" t="n">
        <f aca="false">G121+I121+K121</f>
        <v>134</v>
      </c>
      <c r="M121" s="64" t="n">
        <f aca="false">L121/300*100</f>
        <v>44.6666666666667</v>
      </c>
      <c r="N121" s="34" t="str">
        <f aca="false">IF(M121&gt;=90,"A+",IF(M121&gt;=80,"A",IF(M121&gt;=70,"B+",IF(M121&gt;=60,"B",IF(M121&gt;=50,"C","F")))))</f>
        <v>F</v>
      </c>
      <c r="O121" s="65" t="n">
        <f aca="false">IF(M121&gt;=90,4,IF(M121&gt;=80,3.7,IF(M121&gt;=70,3.3,IF(M121&gt;=60,3,IF(M121&gt;=50,2,0)))))</f>
        <v>0</v>
      </c>
      <c r="P121" s="38" t="n">
        <v>0.581</v>
      </c>
      <c r="Q121" s="66" t="n">
        <v>81.8</v>
      </c>
      <c r="R121" s="66" t="n">
        <v>71.5</v>
      </c>
      <c r="S121" s="34" t="str">
        <f aca="false">IF(M121&gt;=40,"Pass","Fail")</f>
        <v>Pass</v>
      </c>
      <c r="T121" s="34" t="str">
        <f aca="false">IF(M121&gt;=80,"Yes","No")</f>
        <v>No</v>
      </c>
    </row>
    <row r="122" customFormat="false" ht="15" hidden="false" customHeight="false" outlineLevel="0" collapsed="false">
      <c r="A122" s="43" t="s">
        <v>3017</v>
      </c>
      <c r="B122" s="44" t="s">
        <v>3018</v>
      </c>
      <c r="C122" s="43" t="s">
        <v>2769</v>
      </c>
      <c r="D122" s="51" t="n">
        <v>5</v>
      </c>
      <c r="E122" s="43" t="s">
        <v>2782</v>
      </c>
      <c r="F122" s="44" t="s">
        <v>2791</v>
      </c>
      <c r="G122" s="67" t="n">
        <v>67</v>
      </c>
      <c r="H122" s="44" t="s">
        <v>2783</v>
      </c>
      <c r="I122" s="67" t="n">
        <v>43</v>
      </c>
      <c r="J122" s="44" t="s">
        <v>2766</v>
      </c>
      <c r="K122" s="67" t="n">
        <v>37</v>
      </c>
      <c r="L122" s="67" t="n">
        <f aca="false">G122+I122+K122</f>
        <v>147</v>
      </c>
      <c r="M122" s="68" t="n">
        <f aca="false">L122/300*100</f>
        <v>49</v>
      </c>
      <c r="N122" s="43" t="str">
        <f aca="false">IF(M122&gt;=90,"A+",IF(M122&gt;=80,"A",IF(M122&gt;=70,"B+",IF(M122&gt;=60,"B",IF(M122&gt;=50,"C","F")))))</f>
        <v>F</v>
      </c>
      <c r="O122" s="69" t="n">
        <f aca="false">IF(M122&gt;=90,4,IF(M122&gt;=80,3.7,IF(M122&gt;=70,3.3,IF(M122&gt;=60,3,IF(M122&gt;=50,2,0)))))</f>
        <v>0</v>
      </c>
      <c r="P122" s="47" t="n">
        <v>0.639</v>
      </c>
      <c r="Q122" s="70" t="n">
        <v>50.9</v>
      </c>
      <c r="R122" s="70" t="n">
        <v>96.9</v>
      </c>
      <c r="S122" s="43" t="str">
        <f aca="false">IF(M122&gt;=40,"Pass","Fail")</f>
        <v>Pass</v>
      </c>
      <c r="T122" s="43" t="str">
        <f aca="false">IF(M122&gt;=80,"Yes","No")</f>
        <v>No</v>
      </c>
    </row>
    <row r="123" customFormat="false" ht="15" hidden="false" customHeight="false" outlineLevel="0" collapsed="false">
      <c r="A123" s="34" t="s">
        <v>3019</v>
      </c>
      <c r="B123" s="35" t="s">
        <v>3020</v>
      </c>
      <c r="C123" s="34" t="s">
        <v>2762</v>
      </c>
      <c r="D123" s="42" t="n">
        <v>4</v>
      </c>
      <c r="E123" s="34" t="s">
        <v>2774</v>
      </c>
      <c r="F123" s="35" t="s">
        <v>2765</v>
      </c>
      <c r="G123" s="63" t="n">
        <v>44</v>
      </c>
      <c r="H123" s="35" t="s">
        <v>2775</v>
      </c>
      <c r="I123" s="63" t="n">
        <v>53</v>
      </c>
      <c r="J123" s="35" t="s">
        <v>2783</v>
      </c>
      <c r="K123" s="63" t="n">
        <v>72</v>
      </c>
      <c r="L123" s="63" t="n">
        <f aca="false">G123+I123+K123</f>
        <v>169</v>
      </c>
      <c r="M123" s="64" t="n">
        <f aca="false">L123/300*100</f>
        <v>56.3333333333333</v>
      </c>
      <c r="N123" s="34" t="str">
        <f aca="false">IF(M123&gt;=90,"A+",IF(M123&gt;=80,"A",IF(M123&gt;=70,"B+",IF(M123&gt;=60,"B",IF(M123&gt;=50,"C","F")))))</f>
        <v>C</v>
      </c>
      <c r="O123" s="65" t="n">
        <f aca="false">IF(M123&gt;=90,4,IF(M123&gt;=80,3.7,IF(M123&gt;=70,3.3,IF(M123&gt;=60,3,IF(M123&gt;=50,2,0)))))</f>
        <v>2</v>
      </c>
      <c r="P123" s="38" t="n">
        <v>0.748</v>
      </c>
      <c r="Q123" s="66" t="n">
        <v>94.8</v>
      </c>
      <c r="R123" s="66" t="n">
        <v>46.6</v>
      </c>
      <c r="S123" s="34" t="str">
        <f aca="false">IF(M123&gt;=40,"Pass","Fail")</f>
        <v>Pass</v>
      </c>
      <c r="T123" s="34" t="str">
        <f aca="false">IF(M123&gt;=80,"Yes","No")</f>
        <v>No</v>
      </c>
    </row>
    <row r="124" customFormat="false" ht="15" hidden="false" customHeight="false" outlineLevel="0" collapsed="false">
      <c r="A124" s="43" t="s">
        <v>3021</v>
      </c>
      <c r="B124" s="44" t="s">
        <v>3022</v>
      </c>
      <c r="C124" s="43" t="s">
        <v>2769</v>
      </c>
      <c r="D124" s="51" t="n">
        <v>3</v>
      </c>
      <c r="E124" s="43" t="s">
        <v>2774</v>
      </c>
      <c r="F124" s="44" t="s">
        <v>2771</v>
      </c>
      <c r="G124" s="67" t="n">
        <v>35</v>
      </c>
      <c r="H124" s="44" t="s">
        <v>2792</v>
      </c>
      <c r="I124" s="67" t="n">
        <v>55</v>
      </c>
      <c r="J124" s="44" t="s">
        <v>2791</v>
      </c>
      <c r="K124" s="67" t="n">
        <v>28</v>
      </c>
      <c r="L124" s="67" t="n">
        <f aca="false">G124+I124+K124</f>
        <v>118</v>
      </c>
      <c r="M124" s="68" t="n">
        <f aca="false">L124/300*100</f>
        <v>39.3333333333333</v>
      </c>
      <c r="N124" s="43" t="str">
        <f aca="false">IF(M124&gt;=90,"A+",IF(M124&gt;=80,"A",IF(M124&gt;=70,"B+",IF(M124&gt;=60,"B",IF(M124&gt;=50,"C","F")))))</f>
        <v>F</v>
      </c>
      <c r="O124" s="69" t="n">
        <f aca="false">IF(M124&gt;=90,4,IF(M124&gt;=80,3.7,IF(M124&gt;=70,3.3,IF(M124&gt;=60,3,IF(M124&gt;=50,2,0)))))</f>
        <v>0</v>
      </c>
      <c r="P124" s="47" t="n">
        <v>0.704</v>
      </c>
      <c r="Q124" s="70" t="n">
        <v>75.1</v>
      </c>
      <c r="R124" s="70" t="n">
        <v>68.7</v>
      </c>
      <c r="S124" s="43" t="str">
        <f aca="false">IF(M124&gt;=40,"Pass","Fail")</f>
        <v>Fail</v>
      </c>
      <c r="T124" s="43" t="str">
        <f aca="false">IF(M124&gt;=80,"Yes","No")</f>
        <v>No</v>
      </c>
    </row>
    <row r="125" customFormat="false" ht="15" hidden="false" customHeight="false" outlineLevel="0" collapsed="false">
      <c r="A125" s="34" t="s">
        <v>3023</v>
      </c>
      <c r="B125" s="35" t="s">
        <v>3024</v>
      </c>
      <c r="C125" s="34" t="s">
        <v>2769</v>
      </c>
      <c r="D125" s="42" t="n">
        <v>2</v>
      </c>
      <c r="E125" s="34" t="s">
        <v>2774</v>
      </c>
      <c r="F125" s="35" t="s">
        <v>2775</v>
      </c>
      <c r="G125" s="63" t="n">
        <v>94</v>
      </c>
      <c r="H125" s="35" t="s">
        <v>2771</v>
      </c>
      <c r="I125" s="63" t="n">
        <v>25</v>
      </c>
      <c r="J125" s="35" t="s">
        <v>2764</v>
      </c>
      <c r="K125" s="63" t="n">
        <v>32</v>
      </c>
      <c r="L125" s="63" t="n">
        <f aca="false">G125+I125+K125</f>
        <v>151</v>
      </c>
      <c r="M125" s="64" t="n">
        <f aca="false">L125/300*100</f>
        <v>50.3333333333333</v>
      </c>
      <c r="N125" s="34" t="str">
        <f aca="false">IF(M125&gt;=90,"A+",IF(M125&gt;=80,"A",IF(M125&gt;=70,"B+",IF(M125&gt;=60,"B",IF(M125&gt;=50,"C","F")))))</f>
        <v>C</v>
      </c>
      <c r="O125" s="65" t="n">
        <f aca="false">IF(M125&gt;=90,4,IF(M125&gt;=80,3.7,IF(M125&gt;=70,3.3,IF(M125&gt;=60,3,IF(M125&gt;=50,2,0)))))</f>
        <v>2</v>
      </c>
      <c r="P125" s="38" t="n">
        <v>0.645</v>
      </c>
      <c r="Q125" s="66" t="n">
        <v>87.5</v>
      </c>
      <c r="R125" s="66" t="n">
        <v>62.5</v>
      </c>
      <c r="S125" s="34" t="str">
        <f aca="false">IF(M125&gt;=40,"Pass","Fail")</f>
        <v>Pass</v>
      </c>
      <c r="T125" s="34" t="str">
        <f aca="false">IF(M125&gt;=80,"Yes","No")</f>
        <v>No</v>
      </c>
    </row>
    <row r="126" customFormat="false" ht="15" hidden="false" customHeight="false" outlineLevel="0" collapsed="false">
      <c r="A126" s="43" t="s">
        <v>3025</v>
      </c>
      <c r="B126" s="44" t="s">
        <v>3026</v>
      </c>
      <c r="C126" s="43" t="s">
        <v>2806</v>
      </c>
      <c r="D126" s="51" t="n">
        <v>5</v>
      </c>
      <c r="E126" s="43" t="s">
        <v>2763</v>
      </c>
      <c r="F126" s="44" t="s">
        <v>2770</v>
      </c>
      <c r="G126" s="67" t="n">
        <v>63</v>
      </c>
      <c r="H126" s="44" t="s">
        <v>2778</v>
      </c>
      <c r="I126" s="67" t="n">
        <v>67</v>
      </c>
      <c r="J126" s="44" t="s">
        <v>2791</v>
      </c>
      <c r="K126" s="67" t="n">
        <v>63</v>
      </c>
      <c r="L126" s="67" t="n">
        <f aca="false">G126+I126+K126</f>
        <v>193</v>
      </c>
      <c r="M126" s="68" t="n">
        <f aca="false">L126/300*100</f>
        <v>64.3333333333333</v>
      </c>
      <c r="N126" s="43" t="str">
        <f aca="false">IF(M126&gt;=90,"A+",IF(M126&gt;=80,"A",IF(M126&gt;=70,"B+",IF(M126&gt;=60,"B",IF(M126&gt;=50,"C","F")))))</f>
        <v>B</v>
      </c>
      <c r="O126" s="69" t="n">
        <f aca="false">IF(M126&gt;=90,4,IF(M126&gt;=80,3.7,IF(M126&gt;=70,3.3,IF(M126&gt;=60,3,IF(M126&gt;=50,2,0)))))</f>
        <v>3</v>
      </c>
      <c r="P126" s="47" t="n">
        <v>1</v>
      </c>
      <c r="Q126" s="70" t="n">
        <v>89</v>
      </c>
      <c r="R126" s="70" t="n">
        <v>96.5</v>
      </c>
      <c r="S126" s="43" t="str">
        <f aca="false">IF(M126&gt;=40,"Pass","Fail")</f>
        <v>Pass</v>
      </c>
      <c r="T126" s="43" t="str">
        <f aca="false">IF(M126&gt;=80,"Yes","No")</f>
        <v>No</v>
      </c>
    </row>
    <row r="127" customFormat="false" ht="15" hidden="false" customHeight="false" outlineLevel="0" collapsed="false">
      <c r="A127" s="34" t="s">
        <v>3027</v>
      </c>
      <c r="B127" s="35" t="s">
        <v>3028</v>
      </c>
      <c r="C127" s="34" t="s">
        <v>2769</v>
      </c>
      <c r="D127" s="42" t="n">
        <v>7</v>
      </c>
      <c r="E127" s="34" t="s">
        <v>2763</v>
      </c>
      <c r="F127" s="35" t="s">
        <v>2764</v>
      </c>
      <c r="G127" s="63" t="n">
        <v>62</v>
      </c>
      <c r="H127" s="35" t="s">
        <v>2775</v>
      </c>
      <c r="I127" s="63" t="n">
        <v>32</v>
      </c>
      <c r="J127" s="35" t="s">
        <v>2778</v>
      </c>
      <c r="K127" s="63" t="n">
        <v>20</v>
      </c>
      <c r="L127" s="63" t="n">
        <f aca="false">G127+I127+K127</f>
        <v>114</v>
      </c>
      <c r="M127" s="64" t="n">
        <f aca="false">L127/300*100</f>
        <v>38</v>
      </c>
      <c r="N127" s="34" t="str">
        <f aca="false">IF(M127&gt;=90,"A+",IF(M127&gt;=80,"A",IF(M127&gt;=70,"B+",IF(M127&gt;=60,"B",IF(M127&gt;=50,"C","F")))))</f>
        <v>F</v>
      </c>
      <c r="O127" s="65" t="n">
        <f aca="false">IF(M127&gt;=90,4,IF(M127&gt;=80,3.7,IF(M127&gt;=70,3.3,IF(M127&gt;=60,3,IF(M127&gt;=50,2,0)))))</f>
        <v>0</v>
      </c>
      <c r="P127" s="38" t="n">
        <v>0.756</v>
      </c>
      <c r="Q127" s="66" t="n">
        <v>81.9</v>
      </c>
      <c r="R127" s="66" t="n">
        <v>83.5</v>
      </c>
      <c r="S127" s="34" t="str">
        <f aca="false">IF(M127&gt;=40,"Pass","Fail")</f>
        <v>Fail</v>
      </c>
      <c r="T127" s="34" t="str">
        <f aca="false">IF(M127&gt;=80,"Yes","No")</f>
        <v>No</v>
      </c>
    </row>
    <row r="128" customFormat="false" ht="15" hidden="false" customHeight="false" outlineLevel="0" collapsed="false">
      <c r="A128" s="43" t="s">
        <v>3029</v>
      </c>
      <c r="B128" s="44" t="s">
        <v>3030</v>
      </c>
      <c r="C128" s="43" t="s">
        <v>2781</v>
      </c>
      <c r="D128" s="51" t="n">
        <v>1</v>
      </c>
      <c r="E128" s="43" t="s">
        <v>2782</v>
      </c>
      <c r="F128" s="44" t="s">
        <v>2792</v>
      </c>
      <c r="G128" s="67" t="n">
        <v>51</v>
      </c>
      <c r="H128" s="44" t="s">
        <v>2766</v>
      </c>
      <c r="I128" s="67" t="n">
        <v>67</v>
      </c>
      <c r="J128" s="44" t="s">
        <v>2771</v>
      </c>
      <c r="K128" s="67" t="n">
        <v>77</v>
      </c>
      <c r="L128" s="67" t="n">
        <f aca="false">G128+I128+K128</f>
        <v>195</v>
      </c>
      <c r="M128" s="68" t="n">
        <f aca="false">L128/300*100</f>
        <v>65</v>
      </c>
      <c r="N128" s="43" t="str">
        <f aca="false">IF(M128&gt;=90,"A+",IF(M128&gt;=80,"A",IF(M128&gt;=70,"B+",IF(M128&gt;=60,"B",IF(M128&gt;=50,"C","F")))))</f>
        <v>B</v>
      </c>
      <c r="O128" s="69" t="n">
        <f aca="false">IF(M128&gt;=90,4,IF(M128&gt;=80,3.7,IF(M128&gt;=70,3.3,IF(M128&gt;=60,3,IF(M128&gt;=50,2,0)))))</f>
        <v>3</v>
      </c>
      <c r="P128" s="47" t="n">
        <v>0.828</v>
      </c>
      <c r="Q128" s="70" t="n">
        <v>79.5</v>
      </c>
      <c r="R128" s="70" t="n">
        <v>68.5</v>
      </c>
      <c r="S128" s="43" t="str">
        <f aca="false">IF(M128&gt;=40,"Pass","Fail")</f>
        <v>Pass</v>
      </c>
      <c r="T128" s="43" t="str">
        <f aca="false">IF(M128&gt;=80,"Yes","No")</f>
        <v>No</v>
      </c>
    </row>
    <row r="129" customFormat="false" ht="15" hidden="false" customHeight="false" outlineLevel="0" collapsed="false">
      <c r="A129" s="34" t="s">
        <v>3031</v>
      </c>
      <c r="B129" s="35" t="s">
        <v>3032</v>
      </c>
      <c r="C129" s="34" t="s">
        <v>2762</v>
      </c>
      <c r="D129" s="42" t="n">
        <v>4</v>
      </c>
      <c r="E129" s="34" t="s">
        <v>2774</v>
      </c>
      <c r="F129" s="35" t="s">
        <v>2778</v>
      </c>
      <c r="G129" s="63" t="n">
        <v>25</v>
      </c>
      <c r="H129" s="35" t="s">
        <v>2775</v>
      </c>
      <c r="I129" s="63" t="n">
        <v>61</v>
      </c>
      <c r="J129" s="35" t="s">
        <v>2764</v>
      </c>
      <c r="K129" s="63" t="n">
        <v>76</v>
      </c>
      <c r="L129" s="63" t="n">
        <f aca="false">G129+I129+K129</f>
        <v>162</v>
      </c>
      <c r="M129" s="64" t="n">
        <f aca="false">L129/300*100</f>
        <v>54</v>
      </c>
      <c r="N129" s="34" t="str">
        <f aca="false">IF(M129&gt;=90,"A+",IF(M129&gt;=80,"A",IF(M129&gt;=70,"B+",IF(M129&gt;=60,"B",IF(M129&gt;=50,"C","F")))))</f>
        <v>C</v>
      </c>
      <c r="O129" s="65" t="n">
        <f aca="false">IF(M129&gt;=90,4,IF(M129&gt;=80,3.7,IF(M129&gt;=70,3.3,IF(M129&gt;=60,3,IF(M129&gt;=50,2,0)))))</f>
        <v>2</v>
      </c>
      <c r="P129" s="38" t="n">
        <v>0.655</v>
      </c>
      <c r="Q129" s="66" t="n">
        <v>69.1</v>
      </c>
      <c r="R129" s="66" t="n">
        <v>84.4</v>
      </c>
      <c r="S129" s="34" t="str">
        <f aca="false">IF(M129&gt;=40,"Pass","Fail")</f>
        <v>Pass</v>
      </c>
      <c r="T129" s="34" t="str">
        <f aca="false">IF(M129&gt;=80,"Yes","No")</f>
        <v>No</v>
      </c>
    </row>
    <row r="130" customFormat="false" ht="15" hidden="false" customHeight="false" outlineLevel="0" collapsed="false">
      <c r="A130" s="43" t="s">
        <v>3033</v>
      </c>
      <c r="B130" s="44" t="s">
        <v>3034</v>
      </c>
      <c r="C130" s="43" t="s">
        <v>2786</v>
      </c>
      <c r="D130" s="51" t="n">
        <v>2</v>
      </c>
      <c r="E130" s="43" t="s">
        <v>2763</v>
      </c>
      <c r="F130" s="44" t="s">
        <v>2791</v>
      </c>
      <c r="G130" s="67" t="n">
        <v>69</v>
      </c>
      <c r="H130" s="44" t="s">
        <v>2770</v>
      </c>
      <c r="I130" s="67" t="n">
        <v>57</v>
      </c>
      <c r="J130" s="44" t="s">
        <v>2792</v>
      </c>
      <c r="K130" s="67" t="n">
        <v>97</v>
      </c>
      <c r="L130" s="67" t="n">
        <f aca="false">G130+I130+K130</f>
        <v>223</v>
      </c>
      <c r="M130" s="68" t="n">
        <f aca="false">L130/300*100</f>
        <v>74.3333333333333</v>
      </c>
      <c r="N130" s="43" t="str">
        <f aca="false">IF(M130&gt;=90,"A+",IF(M130&gt;=80,"A",IF(M130&gt;=70,"B+",IF(M130&gt;=60,"B",IF(M130&gt;=50,"C","F")))))</f>
        <v>B+</v>
      </c>
      <c r="O130" s="69" t="n">
        <f aca="false">IF(M130&gt;=90,4,IF(M130&gt;=80,3.7,IF(M130&gt;=70,3.3,IF(M130&gt;=60,3,IF(M130&gt;=50,2,0)))))</f>
        <v>3.3</v>
      </c>
      <c r="P130" s="47" t="n">
        <v>0.638</v>
      </c>
      <c r="Q130" s="70" t="n">
        <v>48.6</v>
      </c>
      <c r="R130" s="70" t="n">
        <v>71.2</v>
      </c>
      <c r="S130" s="43" t="str">
        <f aca="false">IF(M130&gt;=40,"Pass","Fail")</f>
        <v>Pass</v>
      </c>
      <c r="T130" s="43" t="str">
        <f aca="false">IF(M130&gt;=80,"Yes","No")</f>
        <v>No</v>
      </c>
    </row>
    <row r="131" customFormat="false" ht="15" hidden="false" customHeight="false" outlineLevel="0" collapsed="false">
      <c r="A131" s="34" t="s">
        <v>3035</v>
      </c>
      <c r="B131" s="35" t="s">
        <v>3036</v>
      </c>
      <c r="C131" s="34" t="s">
        <v>2806</v>
      </c>
      <c r="D131" s="42" t="n">
        <v>1</v>
      </c>
      <c r="E131" s="34" t="s">
        <v>2774</v>
      </c>
      <c r="F131" s="35" t="s">
        <v>2770</v>
      </c>
      <c r="G131" s="63" t="n">
        <v>90</v>
      </c>
      <c r="H131" s="35" t="s">
        <v>2792</v>
      </c>
      <c r="I131" s="63" t="n">
        <v>79</v>
      </c>
      <c r="J131" s="35" t="s">
        <v>2771</v>
      </c>
      <c r="K131" s="63" t="n">
        <v>41</v>
      </c>
      <c r="L131" s="63" t="n">
        <f aca="false">G131+I131+K131</f>
        <v>210</v>
      </c>
      <c r="M131" s="64" t="n">
        <f aca="false">L131/300*100</f>
        <v>70</v>
      </c>
      <c r="N131" s="34" t="str">
        <f aca="false">IF(M131&gt;=90,"A+",IF(M131&gt;=80,"A",IF(M131&gt;=70,"B+",IF(M131&gt;=60,"B",IF(M131&gt;=50,"C","F")))))</f>
        <v>B+</v>
      </c>
      <c r="O131" s="65" t="n">
        <f aca="false">IF(M131&gt;=90,4,IF(M131&gt;=80,3.7,IF(M131&gt;=70,3.3,IF(M131&gt;=60,3,IF(M131&gt;=50,2,0)))))</f>
        <v>3.3</v>
      </c>
      <c r="P131" s="38" t="n">
        <v>0.953</v>
      </c>
      <c r="Q131" s="66" t="n">
        <v>97.3</v>
      </c>
      <c r="R131" s="66" t="n">
        <v>68.9</v>
      </c>
      <c r="S131" s="34" t="str">
        <f aca="false">IF(M131&gt;=40,"Pass","Fail")</f>
        <v>Pass</v>
      </c>
      <c r="T131" s="34" t="str">
        <f aca="false">IF(M131&gt;=80,"Yes","No")</f>
        <v>No</v>
      </c>
    </row>
    <row r="132" customFormat="false" ht="15" hidden="false" customHeight="false" outlineLevel="0" collapsed="false">
      <c r="A132" s="43" t="s">
        <v>3037</v>
      </c>
      <c r="B132" s="44" t="s">
        <v>3038</v>
      </c>
      <c r="C132" s="43" t="s">
        <v>2806</v>
      </c>
      <c r="D132" s="51" t="n">
        <v>4</v>
      </c>
      <c r="E132" s="43" t="s">
        <v>2774</v>
      </c>
      <c r="F132" s="44" t="s">
        <v>2765</v>
      </c>
      <c r="G132" s="67" t="n">
        <v>33</v>
      </c>
      <c r="H132" s="44" t="s">
        <v>2783</v>
      </c>
      <c r="I132" s="67" t="n">
        <v>75</v>
      </c>
      <c r="J132" s="44" t="s">
        <v>2792</v>
      </c>
      <c r="K132" s="67" t="n">
        <v>23</v>
      </c>
      <c r="L132" s="67" t="n">
        <f aca="false">G132+I132+K132</f>
        <v>131</v>
      </c>
      <c r="M132" s="68" t="n">
        <f aca="false">L132/300*100</f>
        <v>43.6666666666667</v>
      </c>
      <c r="N132" s="43" t="str">
        <f aca="false">IF(M132&gt;=90,"A+",IF(M132&gt;=80,"A",IF(M132&gt;=70,"B+",IF(M132&gt;=60,"B",IF(M132&gt;=50,"C","F")))))</f>
        <v>F</v>
      </c>
      <c r="O132" s="69" t="n">
        <f aca="false">IF(M132&gt;=90,4,IF(M132&gt;=80,3.7,IF(M132&gt;=70,3.3,IF(M132&gt;=60,3,IF(M132&gt;=50,2,0)))))</f>
        <v>0</v>
      </c>
      <c r="P132" s="47" t="n">
        <v>0.622</v>
      </c>
      <c r="Q132" s="70" t="n">
        <v>95.7</v>
      </c>
      <c r="R132" s="70" t="n">
        <v>94.2</v>
      </c>
      <c r="S132" s="43" t="str">
        <f aca="false">IF(M132&gt;=40,"Pass","Fail")</f>
        <v>Pass</v>
      </c>
      <c r="T132" s="43" t="str">
        <f aca="false">IF(M132&gt;=80,"Yes","No")</f>
        <v>No</v>
      </c>
    </row>
    <row r="133" customFormat="false" ht="15" hidden="false" customHeight="false" outlineLevel="0" collapsed="false">
      <c r="A133" s="34" t="s">
        <v>3039</v>
      </c>
      <c r="B133" s="35" t="s">
        <v>3040</v>
      </c>
      <c r="C133" s="34" t="s">
        <v>2786</v>
      </c>
      <c r="D133" s="42" t="n">
        <v>5</v>
      </c>
      <c r="E133" s="34" t="s">
        <v>2774</v>
      </c>
      <c r="F133" s="35" t="s">
        <v>2771</v>
      </c>
      <c r="G133" s="63" t="n">
        <v>37</v>
      </c>
      <c r="H133" s="35" t="s">
        <v>2770</v>
      </c>
      <c r="I133" s="63" t="n">
        <v>88</v>
      </c>
      <c r="J133" s="35" t="s">
        <v>2792</v>
      </c>
      <c r="K133" s="63" t="n">
        <v>82</v>
      </c>
      <c r="L133" s="63" t="n">
        <f aca="false">G133+I133+K133</f>
        <v>207</v>
      </c>
      <c r="M133" s="64" t="n">
        <f aca="false">L133/300*100</f>
        <v>69</v>
      </c>
      <c r="N133" s="34" t="str">
        <f aca="false">IF(M133&gt;=90,"A+",IF(M133&gt;=80,"A",IF(M133&gt;=70,"B+",IF(M133&gt;=60,"B",IF(M133&gt;=50,"C","F")))))</f>
        <v>B</v>
      </c>
      <c r="O133" s="65" t="n">
        <f aca="false">IF(M133&gt;=90,4,IF(M133&gt;=80,3.7,IF(M133&gt;=70,3.3,IF(M133&gt;=60,3,IF(M133&gt;=50,2,0)))))</f>
        <v>3</v>
      </c>
      <c r="P133" s="38" t="n">
        <v>0.591</v>
      </c>
      <c r="Q133" s="66" t="n">
        <v>81.5</v>
      </c>
      <c r="R133" s="66" t="n">
        <v>92.3</v>
      </c>
      <c r="S133" s="34" t="str">
        <f aca="false">IF(M133&gt;=40,"Pass","Fail")</f>
        <v>Pass</v>
      </c>
      <c r="T133" s="34" t="str">
        <f aca="false">IF(M133&gt;=80,"Yes","No")</f>
        <v>No</v>
      </c>
    </row>
    <row r="134" customFormat="false" ht="15" hidden="false" customHeight="false" outlineLevel="0" collapsed="false">
      <c r="A134" s="43" t="s">
        <v>3041</v>
      </c>
      <c r="B134" s="44" t="s">
        <v>3042</v>
      </c>
      <c r="C134" s="43" t="s">
        <v>2806</v>
      </c>
      <c r="D134" s="51" t="n">
        <v>2</v>
      </c>
      <c r="E134" s="43" t="s">
        <v>2782</v>
      </c>
      <c r="F134" s="44" t="s">
        <v>2778</v>
      </c>
      <c r="G134" s="67" t="n">
        <v>91</v>
      </c>
      <c r="H134" s="44" t="s">
        <v>2791</v>
      </c>
      <c r="I134" s="67" t="n">
        <v>75</v>
      </c>
      <c r="J134" s="44" t="s">
        <v>2766</v>
      </c>
      <c r="K134" s="67" t="n">
        <v>49</v>
      </c>
      <c r="L134" s="67" t="n">
        <f aca="false">G134+I134+K134</f>
        <v>215</v>
      </c>
      <c r="M134" s="68" t="n">
        <f aca="false">L134/300*100</f>
        <v>71.6666666666667</v>
      </c>
      <c r="N134" s="43" t="str">
        <f aca="false">IF(M134&gt;=90,"A+",IF(M134&gt;=80,"A",IF(M134&gt;=70,"B+",IF(M134&gt;=60,"B",IF(M134&gt;=50,"C","F")))))</f>
        <v>B+</v>
      </c>
      <c r="O134" s="69" t="n">
        <f aca="false">IF(M134&gt;=90,4,IF(M134&gt;=80,3.7,IF(M134&gt;=70,3.3,IF(M134&gt;=60,3,IF(M134&gt;=50,2,0)))))</f>
        <v>3.3</v>
      </c>
      <c r="P134" s="47" t="n">
        <v>0.651</v>
      </c>
      <c r="Q134" s="70" t="n">
        <v>46.9</v>
      </c>
      <c r="R134" s="70" t="n">
        <v>45.3</v>
      </c>
      <c r="S134" s="43" t="str">
        <f aca="false">IF(M134&gt;=40,"Pass","Fail")</f>
        <v>Pass</v>
      </c>
      <c r="T134" s="43" t="str">
        <f aca="false">IF(M134&gt;=80,"Yes","No")</f>
        <v>No</v>
      </c>
    </row>
    <row r="135" customFormat="false" ht="15" hidden="false" customHeight="false" outlineLevel="0" collapsed="false">
      <c r="A135" s="34" t="s">
        <v>3043</v>
      </c>
      <c r="B135" s="35" t="s">
        <v>3044</v>
      </c>
      <c r="C135" s="34" t="s">
        <v>2851</v>
      </c>
      <c r="D135" s="42" t="n">
        <v>6</v>
      </c>
      <c r="E135" s="34" t="s">
        <v>2782</v>
      </c>
      <c r="F135" s="35" t="s">
        <v>2764</v>
      </c>
      <c r="G135" s="63" t="n">
        <v>93</v>
      </c>
      <c r="H135" s="35" t="s">
        <v>2765</v>
      </c>
      <c r="I135" s="63" t="n">
        <v>67</v>
      </c>
      <c r="J135" s="35" t="s">
        <v>2792</v>
      </c>
      <c r="K135" s="63" t="n">
        <v>36</v>
      </c>
      <c r="L135" s="63" t="n">
        <f aca="false">G135+I135+K135</f>
        <v>196</v>
      </c>
      <c r="M135" s="64" t="n">
        <f aca="false">L135/300*100</f>
        <v>65.3333333333333</v>
      </c>
      <c r="N135" s="34" t="str">
        <f aca="false">IF(M135&gt;=90,"A+",IF(M135&gt;=80,"A",IF(M135&gt;=70,"B+",IF(M135&gt;=60,"B",IF(M135&gt;=50,"C","F")))))</f>
        <v>B</v>
      </c>
      <c r="O135" s="65" t="n">
        <f aca="false">IF(M135&gt;=90,4,IF(M135&gt;=80,3.7,IF(M135&gt;=70,3.3,IF(M135&gt;=60,3,IF(M135&gt;=50,2,0)))))</f>
        <v>3</v>
      </c>
      <c r="P135" s="38" t="n">
        <v>0.934</v>
      </c>
      <c r="Q135" s="66" t="n">
        <v>97.2</v>
      </c>
      <c r="R135" s="66" t="n">
        <v>74.6</v>
      </c>
      <c r="S135" s="34" t="str">
        <f aca="false">IF(M135&gt;=40,"Pass","Fail")</f>
        <v>Pass</v>
      </c>
      <c r="T135" s="34" t="str">
        <f aca="false">IF(M135&gt;=80,"Yes","No")</f>
        <v>No</v>
      </c>
    </row>
    <row r="136" customFormat="false" ht="15" hidden="false" customHeight="false" outlineLevel="0" collapsed="false">
      <c r="A136" s="43" t="s">
        <v>3045</v>
      </c>
      <c r="B136" s="44" t="s">
        <v>3046</v>
      </c>
      <c r="C136" s="43" t="s">
        <v>2851</v>
      </c>
      <c r="D136" s="51" t="n">
        <v>5</v>
      </c>
      <c r="E136" s="43" t="s">
        <v>2774</v>
      </c>
      <c r="F136" s="44" t="s">
        <v>2764</v>
      </c>
      <c r="G136" s="67" t="n">
        <v>69</v>
      </c>
      <c r="H136" s="44" t="s">
        <v>2766</v>
      </c>
      <c r="I136" s="67" t="n">
        <v>74</v>
      </c>
      <c r="J136" s="44" t="s">
        <v>2765</v>
      </c>
      <c r="K136" s="67" t="n">
        <v>60</v>
      </c>
      <c r="L136" s="67" t="n">
        <f aca="false">G136+I136+K136</f>
        <v>203</v>
      </c>
      <c r="M136" s="68" t="n">
        <f aca="false">L136/300*100</f>
        <v>67.6666666666667</v>
      </c>
      <c r="N136" s="43" t="str">
        <f aca="false">IF(M136&gt;=90,"A+",IF(M136&gt;=80,"A",IF(M136&gt;=70,"B+",IF(M136&gt;=60,"B",IF(M136&gt;=50,"C","F")))))</f>
        <v>B</v>
      </c>
      <c r="O136" s="69" t="n">
        <f aca="false">IF(M136&gt;=90,4,IF(M136&gt;=80,3.7,IF(M136&gt;=70,3.3,IF(M136&gt;=60,3,IF(M136&gt;=50,2,0)))))</f>
        <v>3</v>
      </c>
      <c r="P136" s="47" t="n">
        <v>0.897</v>
      </c>
      <c r="Q136" s="70" t="n">
        <v>87.9</v>
      </c>
      <c r="R136" s="70" t="n">
        <v>96</v>
      </c>
      <c r="S136" s="43" t="str">
        <f aca="false">IF(M136&gt;=40,"Pass","Fail")</f>
        <v>Pass</v>
      </c>
      <c r="T136" s="43" t="str">
        <f aca="false">IF(M136&gt;=80,"Yes","No")</f>
        <v>No</v>
      </c>
    </row>
    <row r="137" customFormat="false" ht="15" hidden="false" customHeight="false" outlineLevel="0" collapsed="false">
      <c r="A137" s="34" t="s">
        <v>3047</v>
      </c>
      <c r="B137" s="35" t="s">
        <v>3048</v>
      </c>
      <c r="C137" s="34" t="s">
        <v>2781</v>
      </c>
      <c r="D137" s="42" t="n">
        <v>4</v>
      </c>
      <c r="E137" s="34" t="s">
        <v>2774</v>
      </c>
      <c r="F137" s="35" t="s">
        <v>2791</v>
      </c>
      <c r="G137" s="63" t="n">
        <v>60</v>
      </c>
      <c r="H137" s="35" t="s">
        <v>2775</v>
      </c>
      <c r="I137" s="63" t="n">
        <v>38</v>
      </c>
      <c r="J137" s="35" t="s">
        <v>2770</v>
      </c>
      <c r="K137" s="63" t="n">
        <v>57</v>
      </c>
      <c r="L137" s="63" t="n">
        <f aca="false">G137+I137+K137</f>
        <v>155</v>
      </c>
      <c r="M137" s="64" t="n">
        <f aca="false">L137/300*100</f>
        <v>51.6666666666667</v>
      </c>
      <c r="N137" s="34" t="str">
        <f aca="false">IF(M137&gt;=90,"A+",IF(M137&gt;=80,"A",IF(M137&gt;=70,"B+",IF(M137&gt;=60,"B",IF(M137&gt;=50,"C","F")))))</f>
        <v>C</v>
      </c>
      <c r="O137" s="65" t="n">
        <f aca="false">IF(M137&gt;=90,4,IF(M137&gt;=80,3.7,IF(M137&gt;=70,3.3,IF(M137&gt;=60,3,IF(M137&gt;=50,2,0)))))</f>
        <v>2</v>
      </c>
      <c r="P137" s="38" t="n">
        <v>0.927</v>
      </c>
      <c r="Q137" s="66" t="n">
        <v>70</v>
      </c>
      <c r="R137" s="66" t="n">
        <v>67.3</v>
      </c>
      <c r="S137" s="34" t="str">
        <f aca="false">IF(M137&gt;=40,"Pass","Fail")</f>
        <v>Pass</v>
      </c>
      <c r="T137" s="34" t="str">
        <f aca="false">IF(M137&gt;=80,"Yes","No")</f>
        <v>No</v>
      </c>
    </row>
    <row r="138" customFormat="false" ht="15" hidden="false" customHeight="false" outlineLevel="0" collapsed="false">
      <c r="A138" s="43" t="s">
        <v>3049</v>
      </c>
      <c r="B138" s="44" t="s">
        <v>3050</v>
      </c>
      <c r="C138" s="43" t="s">
        <v>2806</v>
      </c>
      <c r="D138" s="51" t="n">
        <v>5</v>
      </c>
      <c r="E138" s="43" t="s">
        <v>2774</v>
      </c>
      <c r="F138" s="44" t="s">
        <v>2775</v>
      </c>
      <c r="G138" s="67" t="n">
        <v>84</v>
      </c>
      <c r="H138" s="44" t="s">
        <v>2778</v>
      </c>
      <c r="I138" s="67" t="n">
        <v>35</v>
      </c>
      <c r="J138" s="44" t="s">
        <v>2771</v>
      </c>
      <c r="K138" s="67" t="n">
        <v>55</v>
      </c>
      <c r="L138" s="67" t="n">
        <f aca="false">G138+I138+K138</f>
        <v>174</v>
      </c>
      <c r="M138" s="68" t="n">
        <f aca="false">L138/300*100</f>
        <v>58</v>
      </c>
      <c r="N138" s="43" t="str">
        <f aca="false">IF(M138&gt;=90,"A+",IF(M138&gt;=80,"A",IF(M138&gt;=70,"B+",IF(M138&gt;=60,"B",IF(M138&gt;=50,"C","F")))))</f>
        <v>C</v>
      </c>
      <c r="O138" s="69" t="n">
        <f aca="false">IF(M138&gt;=90,4,IF(M138&gt;=80,3.7,IF(M138&gt;=70,3.3,IF(M138&gt;=60,3,IF(M138&gt;=50,2,0)))))</f>
        <v>2</v>
      </c>
      <c r="P138" s="47" t="n">
        <v>0.999</v>
      </c>
      <c r="Q138" s="70" t="n">
        <v>82.4</v>
      </c>
      <c r="R138" s="70" t="n">
        <v>68.7</v>
      </c>
      <c r="S138" s="43" t="str">
        <f aca="false">IF(M138&gt;=40,"Pass","Fail")</f>
        <v>Pass</v>
      </c>
      <c r="T138" s="43" t="str">
        <f aca="false">IF(M138&gt;=80,"Yes","No")</f>
        <v>No</v>
      </c>
    </row>
    <row r="139" customFormat="false" ht="15" hidden="false" customHeight="false" outlineLevel="0" collapsed="false">
      <c r="A139" s="34" t="s">
        <v>3051</v>
      </c>
      <c r="B139" s="35" t="s">
        <v>3052</v>
      </c>
      <c r="C139" s="34" t="s">
        <v>2786</v>
      </c>
      <c r="D139" s="42" t="n">
        <v>4</v>
      </c>
      <c r="E139" s="34" t="s">
        <v>2763</v>
      </c>
      <c r="F139" s="35" t="s">
        <v>2771</v>
      </c>
      <c r="G139" s="63" t="n">
        <v>62</v>
      </c>
      <c r="H139" s="35" t="s">
        <v>2791</v>
      </c>
      <c r="I139" s="63" t="n">
        <v>39</v>
      </c>
      <c r="J139" s="35" t="s">
        <v>2775</v>
      </c>
      <c r="K139" s="63" t="n">
        <v>46</v>
      </c>
      <c r="L139" s="63" t="n">
        <f aca="false">G139+I139+K139</f>
        <v>147</v>
      </c>
      <c r="M139" s="64" t="n">
        <f aca="false">L139/300*100</f>
        <v>49</v>
      </c>
      <c r="N139" s="34" t="str">
        <f aca="false">IF(M139&gt;=90,"A+",IF(M139&gt;=80,"A",IF(M139&gt;=70,"B+",IF(M139&gt;=60,"B",IF(M139&gt;=50,"C","F")))))</f>
        <v>F</v>
      </c>
      <c r="O139" s="65" t="n">
        <f aca="false">IF(M139&gt;=90,4,IF(M139&gt;=80,3.7,IF(M139&gt;=70,3.3,IF(M139&gt;=60,3,IF(M139&gt;=50,2,0)))))</f>
        <v>0</v>
      </c>
      <c r="P139" s="38" t="n">
        <v>0.932</v>
      </c>
      <c r="Q139" s="66" t="n">
        <v>96.1</v>
      </c>
      <c r="R139" s="66" t="n">
        <v>53.5</v>
      </c>
      <c r="S139" s="34" t="str">
        <f aca="false">IF(M139&gt;=40,"Pass","Fail")</f>
        <v>Pass</v>
      </c>
      <c r="T139" s="34" t="str">
        <f aca="false">IF(M139&gt;=80,"Yes","No")</f>
        <v>No</v>
      </c>
    </row>
    <row r="140" customFormat="false" ht="15" hidden="false" customHeight="false" outlineLevel="0" collapsed="false">
      <c r="A140" s="43" t="s">
        <v>3053</v>
      </c>
      <c r="B140" s="44" t="s">
        <v>3054</v>
      </c>
      <c r="C140" s="43" t="s">
        <v>2769</v>
      </c>
      <c r="D140" s="51" t="n">
        <v>1</v>
      </c>
      <c r="E140" s="43" t="s">
        <v>2774</v>
      </c>
      <c r="F140" s="44" t="s">
        <v>2770</v>
      </c>
      <c r="G140" s="67" t="n">
        <v>40</v>
      </c>
      <c r="H140" s="44" t="s">
        <v>2791</v>
      </c>
      <c r="I140" s="67" t="n">
        <v>22</v>
      </c>
      <c r="J140" s="44" t="s">
        <v>2771</v>
      </c>
      <c r="K140" s="67" t="n">
        <v>90</v>
      </c>
      <c r="L140" s="67" t="n">
        <f aca="false">G140+I140+K140</f>
        <v>152</v>
      </c>
      <c r="M140" s="68" t="n">
        <f aca="false">L140/300*100</f>
        <v>50.6666666666667</v>
      </c>
      <c r="N140" s="43" t="str">
        <f aca="false">IF(M140&gt;=90,"A+",IF(M140&gt;=80,"A",IF(M140&gt;=70,"B+",IF(M140&gt;=60,"B",IF(M140&gt;=50,"C","F")))))</f>
        <v>C</v>
      </c>
      <c r="O140" s="69" t="n">
        <f aca="false">IF(M140&gt;=90,4,IF(M140&gt;=80,3.7,IF(M140&gt;=70,3.3,IF(M140&gt;=60,3,IF(M140&gt;=50,2,0)))))</f>
        <v>2</v>
      </c>
      <c r="P140" s="47" t="n">
        <v>0.727</v>
      </c>
      <c r="Q140" s="70" t="n">
        <v>65.3</v>
      </c>
      <c r="R140" s="70" t="n">
        <v>68.4</v>
      </c>
      <c r="S140" s="43" t="str">
        <f aca="false">IF(M140&gt;=40,"Pass","Fail")</f>
        <v>Pass</v>
      </c>
      <c r="T140" s="43" t="str">
        <f aca="false">IF(M140&gt;=80,"Yes","No")</f>
        <v>No</v>
      </c>
    </row>
    <row r="141" customFormat="false" ht="15" hidden="false" customHeight="false" outlineLevel="0" collapsed="false">
      <c r="A141" s="34" t="s">
        <v>3055</v>
      </c>
      <c r="B141" s="35" t="s">
        <v>3056</v>
      </c>
      <c r="C141" s="34" t="s">
        <v>2803</v>
      </c>
      <c r="D141" s="42" t="n">
        <v>7</v>
      </c>
      <c r="E141" s="34" t="s">
        <v>2763</v>
      </c>
      <c r="F141" s="35" t="s">
        <v>2792</v>
      </c>
      <c r="G141" s="63" t="n">
        <v>56</v>
      </c>
      <c r="H141" s="35" t="s">
        <v>2766</v>
      </c>
      <c r="I141" s="63" t="n">
        <v>44</v>
      </c>
      <c r="J141" s="35" t="s">
        <v>2771</v>
      </c>
      <c r="K141" s="63" t="n">
        <v>90</v>
      </c>
      <c r="L141" s="63" t="n">
        <f aca="false">G141+I141+K141</f>
        <v>190</v>
      </c>
      <c r="M141" s="64" t="n">
        <f aca="false">L141/300*100</f>
        <v>63.3333333333333</v>
      </c>
      <c r="N141" s="34" t="str">
        <f aca="false">IF(M141&gt;=90,"A+",IF(M141&gt;=80,"A",IF(M141&gt;=70,"B+",IF(M141&gt;=60,"B",IF(M141&gt;=50,"C","F")))))</f>
        <v>B</v>
      </c>
      <c r="O141" s="65" t="n">
        <f aca="false">IF(M141&gt;=90,4,IF(M141&gt;=80,3.7,IF(M141&gt;=70,3.3,IF(M141&gt;=60,3,IF(M141&gt;=50,2,0)))))</f>
        <v>3</v>
      </c>
      <c r="P141" s="38" t="n">
        <v>0.727</v>
      </c>
      <c r="Q141" s="66" t="n">
        <v>47.9</v>
      </c>
      <c r="R141" s="66" t="n">
        <v>85.1</v>
      </c>
      <c r="S141" s="34" t="str">
        <f aca="false">IF(M141&gt;=40,"Pass","Fail")</f>
        <v>Pass</v>
      </c>
      <c r="T141" s="34" t="str">
        <f aca="false">IF(M141&gt;=80,"Yes","No")</f>
        <v>No</v>
      </c>
    </row>
    <row r="142" customFormat="false" ht="15" hidden="false" customHeight="false" outlineLevel="0" collapsed="false">
      <c r="A142" s="43" t="s">
        <v>3057</v>
      </c>
      <c r="B142" s="44" t="s">
        <v>3058</v>
      </c>
      <c r="C142" s="43" t="s">
        <v>2806</v>
      </c>
      <c r="D142" s="51" t="n">
        <v>1</v>
      </c>
      <c r="E142" s="43" t="s">
        <v>2782</v>
      </c>
      <c r="F142" s="44" t="s">
        <v>2771</v>
      </c>
      <c r="G142" s="67" t="n">
        <v>93</v>
      </c>
      <c r="H142" s="44" t="s">
        <v>2770</v>
      </c>
      <c r="I142" s="67" t="n">
        <v>37</v>
      </c>
      <c r="J142" s="44" t="s">
        <v>2783</v>
      </c>
      <c r="K142" s="67" t="n">
        <v>76</v>
      </c>
      <c r="L142" s="67" t="n">
        <f aca="false">G142+I142+K142</f>
        <v>206</v>
      </c>
      <c r="M142" s="68" t="n">
        <f aca="false">L142/300*100</f>
        <v>68.6666666666667</v>
      </c>
      <c r="N142" s="43" t="str">
        <f aca="false">IF(M142&gt;=90,"A+",IF(M142&gt;=80,"A",IF(M142&gt;=70,"B+",IF(M142&gt;=60,"B",IF(M142&gt;=50,"C","F")))))</f>
        <v>B</v>
      </c>
      <c r="O142" s="69" t="n">
        <f aca="false">IF(M142&gt;=90,4,IF(M142&gt;=80,3.7,IF(M142&gt;=70,3.3,IF(M142&gt;=60,3,IF(M142&gt;=50,2,0)))))</f>
        <v>3</v>
      </c>
      <c r="P142" s="47" t="n">
        <v>0.863</v>
      </c>
      <c r="Q142" s="70" t="n">
        <v>57.5</v>
      </c>
      <c r="R142" s="70" t="n">
        <v>48.7</v>
      </c>
      <c r="S142" s="43" t="str">
        <f aca="false">IF(M142&gt;=40,"Pass","Fail")</f>
        <v>Pass</v>
      </c>
      <c r="T142" s="43" t="str">
        <f aca="false">IF(M142&gt;=80,"Yes","No")</f>
        <v>No</v>
      </c>
    </row>
    <row r="143" customFormat="false" ht="15" hidden="false" customHeight="false" outlineLevel="0" collapsed="false">
      <c r="A143" s="34" t="s">
        <v>3059</v>
      </c>
      <c r="B143" s="35" t="s">
        <v>3060</v>
      </c>
      <c r="C143" s="34" t="s">
        <v>2781</v>
      </c>
      <c r="D143" s="42" t="n">
        <v>4</v>
      </c>
      <c r="E143" s="34" t="s">
        <v>2782</v>
      </c>
      <c r="F143" s="35" t="s">
        <v>2775</v>
      </c>
      <c r="G143" s="63" t="n">
        <v>38</v>
      </c>
      <c r="H143" s="35" t="s">
        <v>2778</v>
      </c>
      <c r="I143" s="63" t="n">
        <v>68</v>
      </c>
      <c r="J143" s="35" t="s">
        <v>2792</v>
      </c>
      <c r="K143" s="63" t="n">
        <v>74</v>
      </c>
      <c r="L143" s="63" t="n">
        <f aca="false">G143+I143+K143</f>
        <v>180</v>
      </c>
      <c r="M143" s="64" t="n">
        <f aca="false">L143/300*100</f>
        <v>60</v>
      </c>
      <c r="N143" s="34" t="str">
        <f aca="false">IF(M143&gt;=90,"A+",IF(M143&gt;=80,"A",IF(M143&gt;=70,"B+",IF(M143&gt;=60,"B",IF(M143&gt;=50,"C","F")))))</f>
        <v>B</v>
      </c>
      <c r="O143" s="65" t="n">
        <f aca="false">IF(M143&gt;=90,4,IF(M143&gt;=80,3.7,IF(M143&gt;=70,3.3,IF(M143&gt;=60,3,IF(M143&gt;=50,2,0)))))</f>
        <v>3</v>
      </c>
      <c r="P143" s="38" t="n">
        <v>0.856</v>
      </c>
      <c r="Q143" s="66" t="n">
        <v>50.1</v>
      </c>
      <c r="R143" s="66" t="n">
        <v>43.4</v>
      </c>
      <c r="S143" s="34" t="str">
        <f aca="false">IF(M143&gt;=40,"Pass","Fail")</f>
        <v>Pass</v>
      </c>
      <c r="T143" s="34" t="str">
        <f aca="false">IF(M143&gt;=80,"Yes","No")</f>
        <v>No</v>
      </c>
    </row>
    <row r="144" customFormat="false" ht="15" hidden="false" customHeight="false" outlineLevel="0" collapsed="false">
      <c r="A144" s="43" t="s">
        <v>3061</v>
      </c>
      <c r="B144" s="44" t="s">
        <v>3062</v>
      </c>
      <c r="C144" s="43" t="s">
        <v>2803</v>
      </c>
      <c r="D144" s="51" t="n">
        <v>8</v>
      </c>
      <c r="E144" s="43" t="s">
        <v>2774</v>
      </c>
      <c r="F144" s="44" t="s">
        <v>2775</v>
      </c>
      <c r="G144" s="67" t="n">
        <v>95</v>
      </c>
      <c r="H144" s="44" t="s">
        <v>2792</v>
      </c>
      <c r="I144" s="67" t="n">
        <v>75</v>
      </c>
      <c r="J144" s="44" t="s">
        <v>2778</v>
      </c>
      <c r="K144" s="67" t="n">
        <v>39</v>
      </c>
      <c r="L144" s="67" t="n">
        <f aca="false">G144+I144+K144</f>
        <v>209</v>
      </c>
      <c r="M144" s="68" t="n">
        <f aca="false">L144/300*100</f>
        <v>69.6666666666667</v>
      </c>
      <c r="N144" s="43" t="str">
        <f aca="false">IF(M144&gt;=90,"A+",IF(M144&gt;=80,"A",IF(M144&gt;=70,"B+",IF(M144&gt;=60,"B",IF(M144&gt;=50,"C","F")))))</f>
        <v>B</v>
      </c>
      <c r="O144" s="69" t="n">
        <f aca="false">IF(M144&gt;=90,4,IF(M144&gt;=80,3.7,IF(M144&gt;=70,3.3,IF(M144&gt;=60,3,IF(M144&gt;=50,2,0)))))</f>
        <v>3</v>
      </c>
      <c r="P144" s="47" t="n">
        <v>0.832</v>
      </c>
      <c r="Q144" s="70" t="n">
        <v>64.2</v>
      </c>
      <c r="R144" s="70" t="n">
        <v>42</v>
      </c>
      <c r="S144" s="43" t="str">
        <f aca="false">IF(M144&gt;=40,"Pass","Fail")</f>
        <v>Pass</v>
      </c>
      <c r="T144" s="43" t="str">
        <f aca="false">IF(M144&gt;=80,"Yes","No")</f>
        <v>No</v>
      </c>
    </row>
    <row r="145" customFormat="false" ht="15" hidden="false" customHeight="false" outlineLevel="0" collapsed="false">
      <c r="A145" s="34" t="s">
        <v>3063</v>
      </c>
      <c r="B145" s="35" t="s">
        <v>3064</v>
      </c>
      <c r="C145" s="34" t="s">
        <v>2781</v>
      </c>
      <c r="D145" s="42" t="n">
        <v>7</v>
      </c>
      <c r="E145" s="34" t="s">
        <v>2763</v>
      </c>
      <c r="F145" s="35" t="s">
        <v>2771</v>
      </c>
      <c r="G145" s="63" t="n">
        <v>31</v>
      </c>
      <c r="H145" s="35" t="s">
        <v>2783</v>
      </c>
      <c r="I145" s="63" t="n">
        <v>79</v>
      </c>
      <c r="J145" s="35" t="s">
        <v>2791</v>
      </c>
      <c r="K145" s="63" t="n">
        <v>68</v>
      </c>
      <c r="L145" s="63" t="n">
        <f aca="false">G145+I145+K145</f>
        <v>178</v>
      </c>
      <c r="M145" s="64" t="n">
        <f aca="false">L145/300*100</f>
        <v>59.3333333333333</v>
      </c>
      <c r="N145" s="34" t="str">
        <f aca="false">IF(M145&gt;=90,"A+",IF(M145&gt;=80,"A",IF(M145&gt;=70,"B+",IF(M145&gt;=60,"B",IF(M145&gt;=50,"C","F")))))</f>
        <v>C</v>
      </c>
      <c r="O145" s="65" t="n">
        <f aca="false">IF(M145&gt;=90,4,IF(M145&gt;=80,3.7,IF(M145&gt;=70,3.3,IF(M145&gt;=60,3,IF(M145&gt;=50,2,0)))))</f>
        <v>2</v>
      </c>
      <c r="P145" s="38" t="n">
        <v>0.674</v>
      </c>
      <c r="Q145" s="66" t="n">
        <v>79.2</v>
      </c>
      <c r="R145" s="66" t="n">
        <v>62</v>
      </c>
      <c r="S145" s="34" t="str">
        <f aca="false">IF(M145&gt;=40,"Pass","Fail")</f>
        <v>Pass</v>
      </c>
      <c r="T145" s="34" t="str">
        <f aca="false">IF(M145&gt;=80,"Yes","No")</f>
        <v>No</v>
      </c>
    </row>
    <row r="146" customFormat="false" ht="15" hidden="false" customHeight="false" outlineLevel="0" collapsed="false">
      <c r="A146" s="43" t="s">
        <v>3065</v>
      </c>
      <c r="B146" s="44" t="s">
        <v>3066</v>
      </c>
      <c r="C146" s="43" t="s">
        <v>2851</v>
      </c>
      <c r="D146" s="51" t="n">
        <v>2</v>
      </c>
      <c r="E146" s="43" t="s">
        <v>2774</v>
      </c>
      <c r="F146" s="44" t="s">
        <v>2792</v>
      </c>
      <c r="G146" s="67" t="n">
        <v>22</v>
      </c>
      <c r="H146" s="44" t="s">
        <v>2770</v>
      </c>
      <c r="I146" s="67" t="n">
        <v>95</v>
      </c>
      <c r="J146" s="44" t="s">
        <v>2765</v>
      </c>
      <c r="K146" s="67" t="n">
        <v>93</v>
      </c>
      <c r="L146" s="67" t="n">
        <f aca="false">G146+I146+K146</f>
        <v>210</v>
      </c>
      <c r="M146" s="68" t="n">
        <f aca="false">L146/300*100</f>
        <v>70</v>
      </c>
      <c r="N146" s="43" t="str">
        <f aca="false">IF(M146&gt;=90,"A+",IF(M146&gt;=80,"A",IF(M146&gt;=70,"B+",IF(M146&gt;=60,"B",IF(M146&gt;=50,"C","F")))))</f>
        <v>B+</v>
      </c>
      <c r="O146" s="69" t="n">
        <f aca="false">IF(M146&gt;=90,4,IF(M146&gt;=80,3.7,IF(M146&gt;=70,3.3,IF(M146&gt;=60,3,IF(M146&gt;=50,2,0)))))</f>
        <v>3.3</v>
      </c>
      <c r="P146" s="47" t="n">
        <v>0.994</v>
      </c>
      <c r="Q146" s="70" t="n">
        <v>68.8</v>
      </c>
      <c r="R146" s="70" t="n">
        <v>81.6</v>
      </c>
      <c r="S146" s="43" t="str">
        <f aca="false">IF(M146&gt;=40,"Pass","Fail")</f>
        <v>Pass</v>
      </c>
      <c r="T146" s="43" t="str">
        <f aca="false">IF(M146&gt;=80,"Yes","No")</f>
        <v>No</v>
      </c>
    </row>
    <row r="147" customFormat="false" ht="15" hidden="false" customHeight="false" outlineLevel="0" collapsed="false">
      <c r="A147" s="34" t="s">
        <v>3067</v>
      </c>
      <c r="B147" s="35" t="s">
        <v>3068</v>
      </c>
      <c r="C147" s="34" t="s">
        <v>2851</v>
      </c>
      <c r="D147" s="42" t="n">
        <v>3</v>
      </c>
      <c r="E147" s="34" t="s">
        <v>2763</v>
      </c>
      <c r="F147" s="35" t="s">
        <v>2770</v>
      </c>
      <c r="G147" s="63" t="n">
        <v>93</v>
      </c>
      <c r="H147" s="35" t="s">
        <v>2791</v>
      </c>
      <c r="I147" s="63" t="n">
        <v>36</v>
      </c>
      <c r="J147" s="35" t="s">
        <v>2771</v>
      </c>
      <c r="K147" s="63" t="n">
        <v>32</v>
      </c>
      <c r="L147" s="63" t="n">
        <f aca="false">G147+I147+K147</f>
        <v>161</v>
      </c>
      <c r="M147" s="64" t="n">
        <f aca="false">L147/300*100</f>
        <v>53.6666666666667</v>
      </c>
      <c r="N147" s="34" t="str">
        <f aca="false">IF(M147&gt;=90,"A+",IF(M147&gt;=80,"A",IF(M147&gt;=70,"B+",IF(M147&gt;=60,"B",IF(M147&gt;=50,"C","F")))))</f>
        <v>C</v>
      </c>
      <c r="O147" s="65" t="n">
        <f aca="false">IF(M147&gt;=90,4,IF(M147&gt;=80,3.7,IF(M147&gt;=70,3.3,IF(M147&gt;=60,3,IF(M147&gt;=50,2,0)))))</f>
        <v>2</v>
      </c>
      <c r="P147" s="38" t="n">
        <v>0.696</v>
      </c>
      <c r="Q147" s="66" t="n">
        <v>82.8</v>
      </c>
      <c r="R147" s="66" t="n">
        <v>91.7</v>
      </c>
      <c r="S147" s="34" t="str">
        <f aca="false">IF(M147&gt;=40,"Pass","Fail")</f>
        <v>Pass</v>
      </c>
      <c r="T147" s="34" t="str">
        <f aca="false">IF(M147&gt;=80,"Yes","No")</f>
        <v>No</v>
      </c>
    </row>
    <row r="148" customFormat="false" ht="15" hidden="false" customHeight="false" outlineLevel="0" collapsed="false">
      <c r="A148" s="43" t="s">
        <v>3069</v>
      </c>
      <c r="B148" s="44" t="s">
        <v>3070</v>
      </c>
      <c r="C148" s="43" t="s">
        <v>2806</v>
      </c>
      <c r="D148" s="51" t="n">
        <v>3</v>
      </c>
      <c r="E148" s="43" t="s">
        <v>2763</v>
      </c>
      <c r="F148" s="44" t="s">
        <v>2775</v>
      </c>
      <c r="G148" s="67" t="n">
        <v>28</v>
      </c>
      <c r="H148" s="44" t="s">
        <v>2791</v>
      </c>
      <c r="I148" s="67" t="n">
        <v>86</v>
      </c>
      <c r="J148" s="44" t="s">
        <v>2770</v>
      </c>
      <c r="K148" s="67" t="n">
        <v>94</v>
      </c>
      <c r="L148" s="67" t="n">
        <f aca="false">G148+I148+K148</f>
        <v>208</v>
      </c>
      <c r="M148" s="68" t="n">
        <f aca="false">L148/300*100</f>
        <v>69.3333333333333</v>
      </c>
      <c r="N148" s="43" t="str">
        <f aca="false">IF(M148&gt;=90,"A+",IF(M148&gt;=80,"A",IF(M148&gt;=70,"B+",IF(M148&gt;=60,"B",IF(M148&gt;=50,"C","F")))))</f>
        <v>B</v>
      </c>
      <c r="O148" s="69" t="n">
        <f aca="false">IF(M148&gt;=90,4,IF(M148&gt;=80,3.7,IF(M148&gt;=70,3.3,IF(M148&gt;=60,3,IF(M148&gt;=50,2,0)))))</f>
        <v>3</v>
      </c>
      <c r="P148" s="47" t="n">
        <v>0.793</v>
      </c>
      <c r="Q148" s="70" t="n">
        <v>89.1</v>
      </c>
      <c r="R148" s="70" t="n">
        <v>79.1</v>
      </c>
      <c r="S148" s="43" t="str">
        <f aca="false">IF(M148&gt;=40,"Pass","Fail")</f>
        <v>Pass</v>
      </c>
      <c r="T148" s="43" t="str">
        <f aca="false">IF(M148&gt;=80,"Yes","No")</f>
        <v>No</v>
      </c>
    </row>
    <row r="149" customFormat="false" ht="15" hidden="false" customHeight="false" outlineLevel="0" collapsed="false">
      <c r="A149" s="34" t="s">
        <v>3071</v>
      </c>
      <c r="B149" s="35" t="s">
        <v>3072</v>
      </c>
      <c r="C149" s="34" t="s">
        <v>2786</v>
      </c>
      <c r="D149" s="42" t="n">
        <v>4</v>
      </c>
      <c r="E149" s="34" t="s">
        <v>2782</v>
      </c>
      <c r="F149" s="35" t="s">
        <v>2792</v>
      </c>
      <c r="G149" s="63" t="n">
        <v>20</v>
      </c>
      <c r="H149" s="35" t="s">
        <v>2783</v>
      </c>
      <c r="I149" s="63" t="n">
        <v>91</v>
      </c>
      <c r="J149" s="35" t="s">
        <v>2766</v>
      </c>
      <c r="K149" s="63" t="n">
        <v>77</v>
      </c>
      <c r="L149" s="63" t="n">
        <f aca="false">G149+I149+K149</f>
        <v>188</v>
      </c>
      <c r="M149" s="64" t="n">
        <f aca="false">L149/300*100</f>
        <v>62.6666666666667</v>
      </c>
      <c r="N149" s="34" t="str">
        <f aca="false">IF(M149&gt;=90,"A+",IF(M149&gt;=80,"A",IF(M149&gt;=70,"B+",IF(M149&gt;=60,"B",IF(M149&gt;=50,"C","F")))))</f>
        <v>B</v>
      </c>
      <c r="O149" s="65" t="n">
        <f aca="false">IF(M149&gt;=90,4,IF(M149&gt;=80,3.7,IF(M149&gt;=70,3.3,IF(M149&gt;=60,3,IF(M149&gt;=50,2,0)))))</f>
        <v>3</v>
      </c>
      <c r="P149" s="38" t="n">
        <v>0.91</v>
      </c>
      <c r="Q149" s="66" t="n">
        <v>47.4</v>
      </c>
      <c r="R149" s="66" t="n">
        <v>47.7</v>
      </c>
      <c r="S149" s="34" t="str">
        <f aca="false">IF(M149&gt;=40,"Pass","Fail")</f>
        <v>Pass</v>
      </c>
      <c r="T149" s="34" t="str">
        <f aca="false">IF(M149&gt;=80,"Yes","No")</f>
        <v>No</v>
      </c>
    </row>
    <row r="150" customFormat="false" ht="15" hidden="false" customHeight="false" outlineLevel="0" collapsed="false">
      <c r="A150" s="43" t="s">
        <v>3073</v>
      </c>
      <c r="B150" s="44" t="s">
        <v>3074</v>
      </c>
      <c r="C150" s="43" t="s">
        <v>2781</v>
      </c>
      <c r="D150" s="51" t="n">
        <v>3</v>
      </c>
      <c r="E150" s="43" t="s">
        <v>2774</v>
      </c>
      <c r="F150" s="44" t="s">
        <v>2766</v>
      </c>
      <c r="G150" s="67" t="n">
        <v>30</v>
      </c>
      <c r="H150" s="44" t="s">
        <v>2771</v>
      </c>
      <c r="I150" s="67" t="n">
        <v>35</v>
      </c>
      <c r="J150" s="44" t="s">
        <v>2775</v>
      </c>
      <c r="K150" s="67" t="n">
        <v>84</v>
      </c>
      <c r="L150" s="67" t="n">
        <f aca="false">G150+I150+K150</f>
        <v>149</v>
      </c>
      <c r="M150" s="68" t="n">
        <f aca="false">L150/300*100</f>
        <v>49.6666666666667</v>
      </c>
      <c r="N150" s="43" t="str">
        <f aca="false">IF(M150&gt;=90,"A+",IF(M150&gt;=80,"A",IF(M150&gt;=70,"B+",IF(M150&gt;=60,"B",IF(M150&gt;=50,"C","F")))))</f>
        <v>F</v>
      </c>
      <c r="O150" s="69" t="n">
        <f aca="false">IF(M150&gt;=90,4,IF(M150&gt;=80,3.7,IF(M150&gt;=70,3.3,IF(M150&gt;=60,3,IF(M150&gt;=50,2,0)))))</f>
        <v>0</v>
      </c>
      <c r="P150" s="47" t="n">
        <v>0.684</v>
      </c>
      <c r="Q150" s="70" t="n">
        <v>98</v>
      </c>
      <c r="R150" s="70" t="n">
        <v>50.3</v>
      </c>
      <c r="S150" s="43" t="str">
        <f aca="false">IF(M150&gt;=40,"Pass","Fail")</f>
        <v>Pass</v>
      </c>
      <c r="T150" s="43" t="str">
        <f aca="false">IF(M150&gt;=80,"Yes","No")</f>
        <v>No</v>
      </c>
    </row>
    <row r="151" customFormat="false" ht="15" hidden="false" customHeight="false" outlineLevel="0" collapsed="false">
      <c r="A151" s="34" t="s">
        <v>3075</v>
      </c>
      <c r="B151" s="35" t="s">
        <v>3076</v>
      </c>
      <c r="C151" s="34" t="s">
        <v>2769</v>
      </c>
      <c r="D151" s="42" t="n">
        <v>1</v>
      </c>
      <c r="E151" s="34" t="s">
        <v>2774</v>
      </c>
      <c r="F151" s="35" t="s">
        <v>2771</v>
      </c>
      <c r="G151" s="63" t="n">
        <v>88</v>
      </c>
      <c r="H151" s="35" t="s">
        <v>2775</v>
      </c>
      <c r="I151" s="63" t="n">
        <v>76</v>
      </c>
      <c r="J151" s="35" t="s">
        <v>2764</v>
      </c>
      <c r="K151" s="63" t="n">
        <v>37</v>
      </c>
      <c r="L151" s="63" t="n">
        <f aca="false">G151+I151+K151</f>
        <v>201</v>
      </c>
      <c r="M151" s="64" t="n">
        <f aca="false">L151/300*100</f>
        <v>67</v>
      </c>
      <c r="N151" s="34" t="str">
        <f aca="false">IF(M151&gt;=90,"A+",IF(M151&gt;=80,"A",IF(M151&gt;=70,"B+",IF(M151&gt;=60,"B",IF(M151&gt;=50,"C","F")))))</f>
        <v>B</v>
      </c>
      <c r="O151" s="65" t="n">
        <f aca="false">IF(M151&gt;=90,4,IF(M151&gt;=80,3.7,IF(M151&gt;=70,3.3,IF(M151&gt;=60,3,IF(M151&gt;=50,2,0)))))</f>
        <v>3</v>
      </c>
      <c r="P151" s="38" t="n">
        <v>0.81</v>
      </c>
      <c r="Q151" s="66" t="n">
        <v>81.7</v>
      </c>
      <c r="R151" s="66" t="n">
        <v>71.4</v>
      </c>
      <c r="S151" s="34" t="str">
        <f aca="false">IF(M151&gt;=40,"Pass","Fail")</f>
        <v>Pass</v>
      </c>
      <c r="T151" s="34" t="str">
        <f aca="false">IF(M151&gt;=80,"Yes","No")</f>
        <v>No</v>
      </c>
    </row>
    <row r="152" customFormat="false" ht="15" hidden="false" customHeight="false" outlineLevel="0" collapsed="false">
      <c r="A152" s="43" t="s">
        <v>3077</v>
      </c>
      <c r="B152" s="44" t="s">
        <v>3078</v>
      </c>
      <c r="C152" s="43" t="s">
        <v>2803</v>
      </c>
      <c r="D152" s="51" t="n">
        <v>4</v>
      </c>
      <c r="E152" s="43" t="s">
        <v>2782</v>
      </c>
      <c r="F152" s="44" t="s">
        <v>2792</v>
      </c>
      <c r="G152" s="67" t="n">
        <v>24</v>
      </c>
      <c r="H152" s="44" t="s">
        <v>2775</v>
      </c>
      <c r="I152" s="67" t="n">
        <v>44</v>
      </c>
      <c r="J152" s="44" t="s">
        <v>2765</v>
      </c>
      <c r="K152" s="67" t="n">
        <v>38</v>
      </c>
      <c r="L152" s="67" t="n">
        <f aca="false">G152+I152+K152</f>
        <v>106</v>
      </c>
      <c r="M152" s="68" t="n">
        <f aca="false">L152/300*100</f>
        <v>35.3333333333333</v>
      </c>
      <c r="N152" s="43" t="str">
        <f aca="false">IF(M152&gt;=90,"A+",IF(M152&gt;=80,"A",IF(M152&gt;=70,"B+",IF(M152&gt;=60,"B",IF(M152&gt;=50,"C","F")))))</f>
        <v>F</v>
      </c>
      <c r="O152" s="69" t="n">
        <f aca="false">IF(M152&gt;=90,4,IF(M152&gt;=80,3.7,IF(M152&gt;=70,3.3,IF(M152&gt;=60,3,IF(M152&gt;=50,2,0)))))</f>
        <v>0</v>
      </c>
      <c r="P152" s="47" t="n">
        <v>0.685</v>
      </c>
      <c r="Q152" s="70" t="n">
        <v>90</v>
      </c>
      <c r="R152" s="70" t="n">
        <v>97.4</v>
      </c>
      <c r="S152" s="43" t="str">
        <f aca="false">IF(M152&gt;=40,"Pass","Fail")</f>
        <v>Fail</v>
      </c>
      <c r="T152" s="43" t="str">
        <f aca="false">IF(M152&gt;=80,"Yes","No")</f>
        <v>No</v>
      </c>
    </row>
    <row r="153" customFormat="false" ht="15" hidden="false" customHeight="false" outlineLevel="0" collapsed="false">
      <c r="A153" s="34" t="s">
        <v>3079</v>
      </c>
      <c r="B153" s="35" t="s">
        <v>3080</v>
      </c>
      <c r="C153" s="34" t="s">
        <v>2806</v>
      </c>
      <c r="D153" s="42" t="n">
        <v>4</v>
      </c>
      <c r="E153" s="34" t="s">
        <v>2782</v>
      </c>
      <c r="F153" s="35" t="s">
        <v>2778</v>
      </c>
      <c r="G153" s="63" t="n">
        <v>99</v>
      </c>
      <c r="H153" s="35" t="s">
        <v>2771</v>
      </c>
      <c r="I153" s="63" t="n">
        <v>74</v>
      </c>
      <c r="J153" s="35" t="s">
        <v>2783</v>
      </c>
      <c r="K153" s="63" t="n">
        <v>29</v>
      </c>
      <c r="L153" s="63" t="n">
        <f aca="false">G153+I153+K153</f>
        <v>202</v>
      </c>
      <c r="M153" s="64" t="n">
        <f aca="false">L153/300*100</f>
        <v>67.3333333333333</v>
      </c>
      <c r="N153" s="34" t="str">
        <f aca="false">IF(M153&gt;=90,"A+",IF(M153&gt;=80,"A",IF(M153&gt;=70,"B+",IF(M153&gt;=60,"B",IF(M153&gt;=50,"C","F")))))</f>
        <v>B</v>
      </c>
      <c r="O153" s="65" t="n">
        <f aca="false">IF(M153&gt;=90,4,IF(M153&gt;=80,3.7,IF(M153&gt;=70,3.3,IF(M153&gt;=60,3,IF(M153&gt;=50,2,0)))))</f>
        <v>3</v>
      </c>
      <c r="P153" s="38" t="n">
        <v>0.797</v>
      </c>
      <c r="Q153" s="66" t="n">
        <v>55.6</v>
      </c>
      <c r="R153" s="66" t="n">
        <v>79</v>
      </c>
      <c r="S153" s="34" t="str">
        <f aca="false">IF(M153&gt;=40,"Pass","Fail")</f>
        <v>Pass</v>
      </c>
      <c r="T153" s="34" t="str">
        <f aca="false">IF(M153&gt;=80,"Yes","No")</f>
        <v>No</v>
      </c>
    </row>
    <row r="154" customFormat="false" ht="15" hidden="false" customHeight="false" outlineLevel="0" collapsed="false">
      <c r="A154" s="43" t="s">
        <v>3081</v>
      </c>
      <c r="B154" s="44" t="s">
        <v>3082</v>
      </c>
      <c r="C154" s="43" t="s">
        <v>2781</v>
      </c>
      <c r="D154" s="51" t="n">
        <v>7</v>
      </c>
      <c r="E154" s="43" t="s">
        <v>2763</v>
      </c>
      <c r="F154" s="44" t="s">
        <v>2792</v>
      </c>
      <c r="G154" s="67" t="n">
        <v>38</v>
      </c>
      <c r="H154" s="44" t="s">
        <v>2771</v>
      </c>
      <c r="I154" s="67" t="n">
        <v>88</v>
      </c>
      <c r="J154" s="44" t="s">
        <v>2791</v>
      </c>
      <c r="K154" s="67" t="n">
        <v>46</v>
      </c>
      <c r="L154" s="67" t="n">
        <f aca="false">G154+I154+K154</f>
        <v>172</v>
      </c>
      <c r="M154" s="68" t="n">
        <f aca="false">L154/300*100</f>
        <v>57.3333333333333</v>
      </c>
      <c r="N154" s="43" t="str">
        <f aca="false">IF(M154&gt;=90,"A+",IF(M154&gt;=80,"A",IF(M154&gt;=70,"B+",IF(M154&gt;=60,"B",IF(M154&gt;=50,"C","F")))))</f>
        <v>C</v>
      </c>
      <c r="O154" s="69" t="n">
        <f aca="false">IF(M154&gt;=90,4,IF(M154&gt;=80,3.7,IF(M154&gt;=70,3.3,IF(M154&gt;=60,3,IF(M154&gt;=50,2,0)))))</f>
        <v>2</v>
      </c>
      <c r="P154" s="47" t="n">
        <v>0.582</v>
      </c>
      <c r="Q154" s="70" t="n">
        <v>84</v>
      </c>
      <c r="R154" s="70" t="n">
        <v>99.7</v>
      </c>
      <c r="S154" s="43" t="str">
        <f aca="false">IF(M154&gt;=40,"Pass","Fail")</f>
        <v>Pass</v>
      </c>
      <c r="T154" s="43" t="str">
        <f aca="false">IF(M154&gt;=80,"Yes","No")</f>
        <v>No</v>
      </c>
    </row>
    <row r="155" customFormat="false" ht="15" hidden="false" customHeight="false" outlineLevel="0" collapsed="false">
      <c r="A155" s="34" t="s">
        <v>3083</v>
      </c>
      <c r="B155" s="35" t="s">
        <v>3084</v>
      </c>
      <c r="C155" s="34" t="s">
        <v>2769</v>
      </c>
      <c r="D155" s="42" t="n">
        <v>4</v>
      </c>
      <c r="E155" s="34" t="s">
        <v>2782</v>
      </c>
      <c r="F155" s="35" t="s">
        <v>2778</v>
      </c>
      <c r="G155" s="63" t="n">
        <v>73</v>
      </c>
      <c r="H155" s="35" t="s">
        <v>2766</v>
      </c>
      <c r="I155" s="63" t="n">
        <v>39</v>
      </c>
      <c r="J155" s="35" t="s">
        <v>2783</v>
      </c>
      <c r="K155" s="63" t="n">
        <v>60</v>
      </c>
      <c r="L155" s="63" t="n">
        <f aca="false">G155+I155+K155</f>
        <v>172</v>
      </c>
      <c r="M155" s="64" t="n">
        <f aca="false">L155/300*100</f>
        <v>57.3333333333333</v>
      </c>
      <c r="N155" s="34" t="str">
        <f aca="false">IF(M155&gt;=90,"A+",IF(M155&gt;=80,"A",IF(M155&gt;=70,"B+",IF(M155&gt;=60,"B",IF(M155&gt;=50,"C","F")))))</f>
        <v>C</v>
      </c>
      <c r="O155" s="65" t="n">
        <f aca="false">IF(M155&gt;=90,4,IF(M155&gt;=80,3.7,IF(M155&gt;=70,3.3,IF(M155&gt;=60,3,IF(M155&gt;=50,2,0)))))</f>
        <v>2</v>
      </c>
      <c r="P155" s="38" t="n">
        <v>0.997</v>
      </c>
      <c r="Q155" s="66" t="n">
        <v>66</v>
      </c>
      <c r="R155" s="66" t="n">
        <v>41.6</v>
      </c>
      <c r="S155" s="34" t="str">
        <f aca="false">IF(M155&gt;=40,"Pass","Fail")</f>
        <v>Pass</v>
      </c>
      <c r="T155" s="34" t="str">
        <f aca="false">IF(M155&gt;=80,"Yes","No")</f>
        <v>No</v>
      </c>
    </row>
    <row r="156" customFormat="false" ht="15" hidden="false" customHeight="false" outlineLevel="0" collapsed="false">
      <c r="A156" s="43" t="s">
        <v>3085</v>
      </c>
      <c r="B156" s="44" t="s">
        <v>3086</v>
      </c>
      <c r="C156" s="43" t="s">
        <v>2806</v>
      </c>
      <c r="D156" s="51" t="n">
        <v>4</v>
      </c>
      <c r="E156" s="43" t="s">
        <v>2774</v>
      </c>
      <c r="F156" s="44" t="s">
        <v>2771</v>
      </c>
      <c r="G156" s="67" t="n">
        <v>90</v>
      </c>
      <c r="H156" s="44" t="s">
        <v>2792</v>
      </c>
      <c r="I156" s="67" t="n">
        <v>72</v>
      </c>
      <c r="J156" s="44" t="s">
        <v>2766</v>
      </c>
      <c r="K156" s="67" t="n">
        <v>28</v>
      </c>
      <c r="L156" s="67" t="n">
        <f aca="false">G156+I156+K156</f>
        <v>190</v>
      </c>
      <c r="M156" s="68" t="n">
        <f aca="false">L156/300*100</f>
        <v>63.3333333333333</v>
      </c>
      <c r="N156" s="43" t="str">
        <f aca="false">IF(M156&gt;=90,"A+",IF(M156&gt;=80,"A",IF(M156&gt;=70,"B+",IF(M156&gt;=60,"B",IF(M156&gt;=50,"C","F")))))</f>
        <v>B</v>
      </c>
      <c r="O156" s="69" t="n">
        <f aca="false">IF(M156&gt;=90,4,IF(M156&gt;=80,3.7,IF(M156&gt;=70,3.3,IF(M156&gt;=60,3,IF(M156&gt;=50,2,0)))))</f>
        <v>3</v>
      </c>
      <c r="P156" s="47" t="n">
        <v>0.698</v>
      </c>
      <c r="Q156" s="70" t="n">
        <v>45.3</v>
      </c>
      <c r="R156" s="70" t="n">
        <v>94.6</v>
      </c>
      <c r="S156" s="43" t="str">
        <f aca="false">IF(M156&gt;=40,"Pass","Fail")</f>
        <v>Pass</v>
      </c>
      <c r="T156" s="43" t="str">
        <f aca="false">IF(M156&gt;=80,"Yes","No")</f>
        <v>No</v>
      </c>
    </row>
    <row r="157" customFormat="false" ht="15" hidden="false" customHeight="false" outlineLevel="0" collapsed="false">
      <c r="A157" s="34" t="s">
        <v>3087</v>
      </c>
      <c r="B157" s="35" t="s">
        <v>3088</v>
      </c>
      <c r="C157" s="34" t="s">
        <v>2786</v>
      </c>
      <c r="D157" s="42" t="n">
        <v>5</v>
      </c>
      <c r="E157" s="34" t="s">
        <v>2774</v>
      </c>
      <c r="F157" s="35" t="s">
        <v>2765</v>
      </c>
      <c r="G157" s="63" t="n">
        <v>32</v>
      </c>
      <c r="H157" s="35" t="s">
        <v>2771</v>
      </c>
      <c r="I157" s="63" t="n">
        <v>68</v>
      </c>
      <c r="J157" s="35" t="s">
        <v>2775</v>
      </c>
      <c r="K157" s="63" t="n">
        <v>48</v>
      </c>
      <c r="L157" s="63" t="n">
        <f aca="false">G157+I157+K157</f>
        <v>148</v>
      </c>
      <c r="M157" s="64" t="n">
        <f aca="false">L157/300*100</f>
        <v>49.3333333333333</v>
      </c>
      <c r="N157" s="34" t="str">
        <f aca="false">IF(M157&gt;=90,"A+",IF(M157&gt;=80,"A",IF(M157&gt;=70,"B+",IF(M157&gt;=60,"B",IF(M157&gt;=50,"C","F")))))</f>
        <v>F</v>
      </c>
      <c r="O157" s="65" t="n">
        <f aca="false">IF(M157&gt;=90,4,IF(M157&gt;=80,3.7,IF(M157&gt;=70,3.3,IF(M157&gt;=60,3,IF(M157&gt;=50,2,0)))))</f>
        <v>0</v>
      </c>
      <c r="P157" s="38" t="n">
        <v>0.72</v>
      </c>
      <c r="Q157" s="66" t="n">
        <v>46.3</v>
      </c>
      <c r="R157" s="66" t="n">
        <v>95.5</v>
      </c>
      <c r="S157" s="34" t="str">
        <f aca="false">IF(M157&gt;=40,"Pass","Fail")</f>
        <v>Pass</v>
      </c>
      <c r="T157" s="34" t="str">
        <f aca="false">IF(M157&gt;=80,"Yes","No")</f>
        <v>No</v>
      </c>
    </row>
    <row r="158" customFormat="false" ht="15" hidden="false" customHeight="false" outlineLevel="0" collapsed="false">
      <c r="A158" s="43" t="s">
        <v>3089</v>
      </c>
      <c r="B158" s="44" t="s">
        <v>3090</v>
      </c>
      <c r="C158" s="43" t="s">
        <v>2781</v>
      </c>
      <c r="D158" s="51" t="n">
        <v>5</v>
      </c>
      <c r="E158" s="43" t="s">
        <v>2782</v>
      </c>
      <c r="F158" s="44" t="s">
        <v>2770</v>
      </c>
      <c r="G158" s="67" t="n">
        <v>93</v>
      </c>
      <c r="H158" s="44" t="s">
        <v>2792</v>
      </c>
      <c r="I158" s="67" t="n">
        <v>56</v>
      </c>
      <c r="J158" s="44" t="s">
        <v>2778</v>
      </c>
      <c r="K158" s="67" t="n">
        <v>90</v>
      </c>
      <c r="L158" s="67" t="n">
        <f aca="false">G158+I158+K158</f>
        <v>239</v>
      </c>
      <c r="M158" s="68" t="n">
        <f aca="false">L158/300*100</f>
        <v>79.6666666666667</v>
      </c>
      <c r="N158" s="43" t="str">
        <f aca="false">IF(M158&gt;=90,"A+",IF(M158&gt;=80,"A",IF(M158&gt;=70,"B+",IF(M158&gt;=60,"B",IF(M158&gt;=50,"C","F")))))</f>
        <v>B+</v>
      </c>
      <c r="O158" s="69" t="n">
        <f aca="false">IF(M158&gt;=90,4,IF(M158&gt;=80,3.7,IF(M158&gt;=70,3.3,IF(M158&gt;=60,3,IF(M158&gt;=50,2,0)))))</f>
        <v>3.3</v>
      </c>
      <c r="P158" s="47" t="n">
        <v>0.672</v>
      </c>
      <c r="Q158" s="70" t="n">
        <v>45.9</v>
      </c>
      <c r="R158" s="70" t="n">
        <v>42.9</v>
      </c>
      <c r="S158" s="43" t="str">
        <f aca="false">IF(M158&gt;=40,"Pass","Fail")</f>
        <v>Pass</v>
      </c>
      <c r="T158" s="43" t="str">
        <f aca="false">IF(M158&gt;=80,"Yes","No")</f>
        <v>No</v>
      </c>
    </row>
    <row r="159" customFormat="false" ht="15" hidden="false" customHeight="false" outlineLevel="0" collapsed="false">
      <c r="A159" s="34" t="s">
        <v>3091</v>
      </c>
      <c r="B159" s="35" t="s">
        <v>3092</v>
      </c>
      <c r="C159" s="34" t="s">
        <v>2803</v>
      </c>
      <c r="D159" s="42" t="n">
        <v>7</v>
      </c>
      <c r="E159" s="34" t="s">
        <v>2774</v>
      </c>
      <c r="F159" s="35" t="s">
        <v>2778</v>
      </c>
      <c r="G159" s="63" t="n">
        <v>81</v>
      </c>
      <c r="H159" s="35" t="s">
        <v>2766</v>
      </c>
      <c r="I159" s="63" t="n">
        <v>95</v>
      </c>
      <c r="J159" s="35" t="s">
        <v>2791</v>
      </c>
      <c r="K159" s="63" t="n">
        <v>36</v>
      </c>
      <c r="L159" s="63" t="n">
        <f aca="false">G159+I159+K159</f>
        <v>212</v>
      </c>
      <c r="M159" s="64" t="n">
        <f aca="false">L159/300*100</f>
        <v>70.6666666666667</v>
      </c>
      <c r="N159" s="34" t="str">
        <f aca="false">IF(M159&gt;=90,"A+",IF(M159&gt;=80,"A",IF(M159&gt;=70,"B+",IF(M159&gt;=60,"B",IF(M159&gt;=50,"C","F")))))</f>
        <v>B+</v>
      </c>
      <c r="O159" s="65" t="n">
        <f aca="false">IF(M159&gt;=90,4,IF(M159&gt;=80,3.7,IF(M159&gt;=70,3.3,IF(M159&gt;=60,3,IF(M159&gt;=50,2,0)))))</f>
        <v>3.3</v>
      </c>
      <c r="P159" s="38" t="n">
        <v>0.667</v>
      </c>
      <c r="Q159" s="66" t="n">
        <v>81.2</v>
      </c>
      <c r="R159" s="66" t="n">
        <v>82.8</v>
      </c>
      <c r="S159" s="34" t="str">
        <f aca="false">IF(M159&gt;=40,"Pass","Fail")</f>
        <v>Pass</v>
      </c>
      <c r="T159" s="34" t="str">
        <f aca="false">IF(M159&gt;=80,"Yes","No")</f>
        <v>No</v>
      </c>
    </row>
    <row r="160" customFormat="false" ht="15" hidden="false" customHeight="false" outlineLevel="0" collapsed="false">
      <c r="A160" s="43" t="s">
        <v>3093</v>
      </c>
      <c r="B160" s="44" t="s">
        <v>3094</v>
      </c>
      <c r="C160" s="43" t="s">
        <v>2769</v>
      </c>
      <c r="D160" s="51" t="n">
        <v>3</v>
      </c>
      <c r="E160" s="43" t="s">
        <v>2774</v>
      </c>
      <c r="F160" s="44" t="s">
        <v>2791</v>
      </c>
      <c r="G160" s="67" t="n">
        <v>67</v>
      </c>
      <c r="H160" s="44" t="s">
        <v>2771</v>
      </c>
      <c r="I160" s="67" t="n">
        <v>51</v>
      </c>
      <c r="J160" s="44" t="s">
        <v>2775</v>
      </c>
      <c r="K160" s="67" t="n">
        <v>97</v>
      </c>
      <c r="L160" s="67" t="n">
        <f aca="false">G160+I160+K160</f>
        <v>215</v>
      </c>
      <c r="M160" s="68" t="n">
        <f aca="false">L160/300*100</f>
        <v>71.6666666666667</v>
      </c>
      <c r="N160" s="43" t="str">
        <f aca="false">IF(M160&gt;=90,"A+",IF(M160&gt;=80,"A",IF(M160&gt;=70,"B+",IF(M160&gt;=60,"B",IF(M160&gt;=50,"C","F")))))</f>
        <v>B+</v>
      </c>
      <c r="O160" s="69" t="n">
        <f aca="false">IF(M160&gt;=90,4,IF(M160&gt;=80,3.7,IF(M160&gt;=70,3.3,IF(M160&gt;=60,3,IF(M160&gt;=50,2,0)))))</f>
        <v>3.3</v>
      </c>
      <c r="P160" s="47" t="n">
        <v>0.738</v>
      </c>
      <c r="Q160" s="70" t="n">
        <v>67.5</v>
      </c>
      <c r="R160" s="70" t="n">
        <v>66.3</v>
      </c>
      <c r="S160" s="43" t="str">
        <f aca="false">IF(M160&gt;=40,"Pass","Fail")</f>
        <v>Pass</v>
      </c>
      <c r="T160" s="43" t="str">
        <f aca="false">IF(M160&gt;=80,"Yes","No")</f>
        <v>No</v>
      </c>
    </row>
    <row r="161" customFormat="false" ht="15" hidden="false" customHeight="false" outlineLevel="0" collapsed="false">
      <c r="A161" s="34" t="s">
        <v>3095</v>
      </c>
      <c r="B161" s="35" t="s">
        <v>3096</v>
      </c>
      <c r="C161" s="34" t="s">
        <v>2803</v>
      </c>
      <c r="D161" s="42" t="n">
        <v>8</v>
      </c>
      <c r="E161" s="34" t="s">
        <v>2782</v>
      </c>
      <c r="F161" s="35" t="s">
        <v>2771</v>
      </c>
      <c r="G161" s="63" t="n">
        <v>86</v>
      </c>
      <c r="H161" s="35" t="s">
        <v>2764</v>
      </c>
      <c r="I161" s="63" t="n">
        <v>49</v>
      </c>
      <c r="J161" s="35" t="s">
        <v>2791</v>
      </c>
      <c r="K161" s="63" t="n">
        <v>59</v>
      </c>
      <c r="L161" s="63" t="n">
        <f aca="false">G161+I161+K161</f>
        <v>194</v>
      </c>
      <c r="M161" s="64" t="n">
        <f aca="false">L161/300*100</f>
        <v>64.6666666666667</v>
      </c>
      <c r="N161" s="34" t="str">
        <f aca="false">IF(M161&gt;=90,"A+",IF(M161&gt;=80,"A",IF(M161&gt;=70,"B+",IF(M161&gt;=60,"B",IF(M161&gt;=50,"C","F")))))</f>
        <v>B</v>
      </c>
      <c r="O161" s="65" t="n">
        <f aca="false">IF(M161&gt;=90,4,IF(M161&gt;=80,3.7,IF(M161&gt;=70,3.3,IF(M161&gt;=60,3,IF(M161&gt;=50,2,0)))))</f>
        <v>3</v>
      </c>
      <c r="P161" s="38" t="n">
        <v>0.836</v>
      </c>
      <c r="Q161" s="66" t="n">
        <v>45.2</v>
      </c>
      <c r="R161" s="66" t="n">
        <v>58.3</v>
      </c>
      <c r="S161" s="34" t="str">
        <f aca="false">IF(M161&gt;=40,"Pass","Fail")</f>
        <v>Pass</v>
      </c>
      <c r="T161" s="34" t="str">
        <f aca="false">IF(M161&gt;=80,"Yes","No")</f>
        <v>No</v>
      </c>
    </row>
    <row r="162" customFormat="false" ht="15" hidden="false" customHeight="false" outlineLevel="0" collapsed="false">
      <c r="A162" s="43" t="s">
        <v>3097</v>
      </c>
      <c r="B162" s="44" t="s">
        <v>3098</v>
      </c>
      <c r="C162" s="43" t="s">
        <v>2786</v>
      </c>
      <c r="D162" s="51" t="n">
        <v>6</v>
      </c>
      <c r="E162" s="43" t="s">
        <v>2774</v>
      </c>
      <c r="F162" s="44" t="s">
        <v>2792</v>
      </c>
      <c r="G162" s="67" t="n">
        <v>31</v>
      </c>
      <c r="H162" s="44" t="s">
        <v>2764</v>
      </c>
      <c r="I162" s="67" t="n">
        <v>41</v>
      </c>
      <c r="J162" s="44" t="s">
        <v>2765</v>
      </c>
      <c r="K162" s="67" t="n">
        <v>93</v>
      </c>
      <c r="L162" s="67" t="n">
        <f aca="false">G162+I162+K162</f>
        <v>165</v>
      </c>
      <c r="M162" s="68" t="n">
        <f aca="false">L162/300*100</f>
        <v>55</v>
      </c>
      <c r="N162" s="43" t="str">
        <f aca="false">IF(M162&gt;=90,"A+",IF(M162&gt;=80,"A",IF(M162&gt;=70,"B+",IF(M162&gt;=60,"B",IF(M162&gt;=50,"C","F")))))</f>
        <v>C</v>
      </c>
      <c r="O162" s="69" t="n">
        <f aca="false">IF(M162&gt;=90,4,IF(M162&gt;=80,3.7,IF(M162&gt;=70,3.3,IF(M162&gt;=60,3,IF(M162&gt;=50,2,0)))))</f>
        <v>2</v>
      </c>
      <c r="P162" s="47" t="n">
        <v>0.576</v>
      </c>
      <c r="Q162" s="70" t="n">
        <v>84.6</v>
      </c>
      <c r="R162" s="70" t="n">
        <v>73.2</v>
      </c>
      <c r="S162" s="43" t="str">
        <f aca="false">IF(M162&gt;=40,"Pass","Fail")</f>
        <v>Pass</v>
      </c>
      <c r="T162" s="43" t="str">
        <f aca="false">IF(M162&gt;=80,"Yes","No")</f>
        <v>No</v>
      </c>
    </row>
    <row r="163" customFormat="false" ht="15" hidden="false" customHeight="false" outlineLevel="0" collapsed="false">
      <c r="A163" s="34" t="s">
        <v>3099</v>
      </c>
      <c r="B163" s="35" t="s">
        <v>3100</v>
      </c>
      <c r="C163" s="34" t="s">
        <v>2762</v>
      </c>
      <c r="D163" s="42" t="n">
        <v>1</v>
      </c>
      <c r="E163" s="34" t="s">
        <v>2763</v>
      </c>
      <c r="F163" s="35" t="s">
        <v>2766</v>
      </c>
      <c r="G163" s="63" t="n">
        <v>83</v>
      </c>
      <c r="H163" s="35" t="s">
        <v>2783</v>
      </c>
      <c r="I163" s="63" t="n">
        <v>85</v>
      </c>
      <c r="J163" s="35" t="s">
        <v>2770</v>
      </c>
      <c r="K163" s="63" t="n">
        <v>88</v>
      </c>
      <c r="L163" s="63" t="n">
        <f aca="false">G163+I163+K163</f>
        <v>256</v>
      </c>
      <c r="M163" s="64" t="n">
        <f aca="false">L163/300*100</f>
        <v>85.3333333333333</v>
      </c>
      <c r="N163" s="34" t="str">
        <f aca="false">IF(M163&gt;=90,"A+",IF(M163&gt;=80,"A",IF(M163&gt;=70,"B+",IF(M163&gt;=60,"B",IF(M163&gt;=50,"C","F")))))</f>
        <v>A</v>
      </c>
      <c r="O163" s="65" t="n">
        <f aca="false">IF(M163&gt;=90,4,IF(M163&gt;=80,3.7,IF(M163&gt;=70,3.3,IF(M163&gt;=60,3,IF(M163&gt;=50,2,0)))))</f>
        <v>3.7</v>
      </c>
      <c r="P163" s="38" t="n">
        <v>0.864</v>
      </c>
      <c r="Q163" s="66" t="n">
        <v>64.3</v>
      </c>
      <c r="R163" s="66" t="n">
        <v>77</v>
      </c>
      <c r="S163" s="34" t="str">
        <f aca="false">IF(M163&gt;=40,"Pass","Fail")</f>
        <v>Pass</v>
      </c>
      <c r="T163" s="34" t="str">
        <f aca="false">IF(M163&gt;=80,"Yes","No")</f>
        <v>Yes</v>
      </c>
    </row>
    <row r="164" customFormat="false" ht="15" hidden="false" customHeight="false" outlineLevel="0" collapsed="false">
      <c r="A164" s="43" t="s">
        <v>3101</v>
      </c>
      <c r="B164" s="44" t="s">
        <v>3102</v>
      </c>
      <c r="C164" s="43" t="s">
        <v>2786</v>
      </c>
      <c r="D164" s="51" t="n">
        <v>1</v>
      </c>
      <c r="E164" s="43" t="s">
        <v>2782</v>
      </c>
      <c r="F164" s="44" t="s">
        <v>2791</v>
      </c>
      <c r="G164" s="67" t="n">
        <v>51</v>
      </c>
      <c r="H164" s="44" t="s">
        <v>2766</v>
      </c>
      <c r="I164" s="67" t="n">
        <v>87</v>
      </c>
      <c r="J164" s="44" t="s">
        <v>2778</v>
      </c>
      <c r="K164" s="67" t="n">
        <v>97</v>
      </c>
      <c r="L164" s="67" t="n">
        <f aca="false">G164+I164+K164</f>
        <v>235</v>
      </c>
      <c r="M164" s="68" t="n">
        <f aca="false">L164/300*100</f>
        <v>78.3333333333333</v>
      </c>
      <c r="N164" s="43" t="str">
        <f aca="false">IF(M164&gt;=90,"A+",IF(M164&gt;=80,"A",IF(M164&gt;=70,"B+",IF(M164&gt;=60,"B",IF(M164&gt;=50,"C","F")))))</f>
        <v>B+</v>
      </c>
      <c r="O164" s="69" t="n">
        <f aca="false">IF(M164&gt;=90,4,IF(M164&gt;=80,3.7,IF(M164&gt;=70,3.3,IF(M164&gt;=60,3,IF(M164&gt;=50,2,0)))))</f>
        <v>3.3</v>
      </c>
      <c r="P164" s="47" t="n">
        <v>0.569</v>
      </c>
      <c r="Q164" s="70" t="n">
        <v>66.9</v>
      </c>
      <c r="R164" s="70" t="n">
        <v>50.1</v>
      </c>
      <c r="S164" s="43" t="str">
        <f aca="false">IF(M164&gt;=40,"Pass","Fail")</f>
        <v>Pass</v>
      </c>
      <c r="T164" s="43" t="str">
        <f aca="false">IF(M164&gt;=80,"Yes","No")</f>
        <v>No</v>
      </c>
    </row>
    <row r="165" customFormat="false" ht="15" hidden="false" customHeight="false" outlineLevel="0" collapsed="false">
      <c r="A165" s="34" t="s">
        <v>3103</v>
      </c>
      <c r="B165" s="35" t="s">
        <v>3104</v>
      </c>
      <c r="C165" s="34" t="s">
        <v>2786</v>
      </c>
      <c r="D165" s="42" t="n">
        <v>4</v>
      </c>
      <c r="E165" s="34" t="s">
        <v>2774</v>
      </c>
      <c r="F165" s="35" t="s">
        <v>2792</v>
      </c>
      <c r="G165" s="63" t="n">
        <v>85</v>
      </c>
      <c r="H165" s="35" t="s">
        <v>2778</v>
      </c>
      <c r="I165" s="63" t="n">
        <v>65</v>
      </c>
      <c r="J165" s="35" t="s">
        <v>2783</v>
      </c>
      <c r="K165" s="63" t="n">
        <v>26</v>
      </c>
      <c r="L165" s="63" t="n">
        <f aca="false">G165+I165+K165</f>
        <v>176</v>
      </c>
      <c r="M165" s="64" t="n">
        <f aca="false">L165/300*100</f>
        <v>58.6666666666667</v>
      </c>
      <c r="N165" s="34" t="str">
        <f aca="false">IF(M165&gt;=90,"A+",IF(M165&gt;=80,"A",IF(M165&gt;=70,"B+",IF(M165&gt;=60,"B",IF(M165&gt;=50,"C","F")))))</f>
        <v>C</v>
      </c>
      <c r="O165" s="65" t="n">
        <f aca="false">IF(M165&gt;=90,4,IF(M165&gt;=80,3.7,IF(M165&gt;=70,3.3,IF(M165&gt;=60,3,IF(M165&gt;=50,2,0)))))</f>
        <v>2</v>
      </c>
      <c r="P165" s="38" t="n">
        <v>0.74</v>
      </c>
      <c r="Q165" s="66" t="n">
        <v>62.7</v>
      </c>
      <c r="R165" s="66" t="n">
        <v>62.4</v>
      </c>
      <c r="S165" s="34" t="str">
        <f aca="false">IF(M165&gt;=40,"Pass","Fail")</f>
        <v>Pass</v>
      </c>
      <c r="T165" s="34" t="str">
        <f aca="false">IF(M165&gt;=80,"Yes","No")</f>
        <v>No</v>
      </c>
    </row>
    <row r="166" customFormat="false" ht="15" hidden="false" customHeight="false" outlineLevel="0" collapsed="false">
      <c r="A166" s="43" t="s">
        <v>3105</v>
      </c>
      <c r="B166" s="44" t="s">
        <v>3106</v>
      </c>
      <c r="C166" s="43" t="s">
        <v>2851</v>
      </c>
      <c r="D166" s="51" t="n">
        <v>6</v>
      </c>
      <c r="E166" s="43" t="s">
        <v>2782</v>
      </c>
      <c r="F166" s="44" t="s">
        <v>2765</v>
      </c>
      <c r="G166" s="67" t="n">
        <v>57</v>
      </c>
      <c r="H166" s="44" t="s">
        <v>2766</v>
      </c>
      <c r="I166" s="67" t="n">
        <v>58</v>
      </c>
      <c r="J166" s="44" t="s">
        <v>2792</v>
      </c>
      <c r="K166" s="67" t="n">
        <v>81</v>
      </c>
      <c r="L166" s="67" t="n">
        <f aca="false">G166+I166+K166</f>
        <v>196</v>
      </c>
      <c r="M166" s="68" t="n">
        <f aca="false">L166/300*100</f>
        <v>65.3333333333333</v>
      </c>
      <c r="N166" s="43" t="str">
        <f aca="false">IF(M166&gt;=90,"A+",IF(M166&gt;=80,"A",IF(M166&gt;=70,"B+",IF(M166&gt;=60,"B",IF(M166&gt;=50,"C","F")))))</f>
        <v>B</v>
      </c>
      <c r="O166" s="69" t="n">
        <f aca="false">IF(M166&gt;=90,4,IF(M166&gt;=80,3.7,IF(M166&gt;=70,3.3,IF(M166&gt;=60,3,IF(M166&gt;=50,2,0)))))</f>
        <v>3</v>
      </c>
      <c r="P166" s="47" t="n">
        <v>0.682</v>
      </c>
      <c r="Q166" s="70" t="n">
        <v>52.8</v>
      </c>
      <c r="R166" s="70" t="n">
        <v>84.3</v>
      </c>
      <c r="S166" s="43" t="str">
        <f aca="false">IF(M166&gt;=40,"Pass","Fail")</f>
        <v>Pass</v>
      </c>
      <c r="T166" s="43" t="str">
        <f aca="false">IF(M166&gt;=80,"Yes","No")</f>
        <v>No</v>
      </c>
    </row>
    <row r="167" customFormat="false" ht="15" hidden="false" customHeight="false" outlineLevel="0" collapsed="false">
      <c r="A167" s="34" t="s">
        <v>3107</v>
      </c>
      <c r="B167" s="35" t="s">
        <v>3108</v>
      </c>
      <c r="C167" s="34" t="s">
        <v>2806</v>
      </c>
      <c r="D167" s="42" t="n">
        <v>7</v>
      </c>
      <c r="E167" s="34" t="s">
        <v>2774</v>
      </c>
      <c r="F167" s="35" t="s">
        <v>2771</v>
      </c>
      <c r="G167" s="63" t="n">
        <v>79</v>
      </c>
      <c r="H167" s="35" t="s">
        <v>2766</v>
      </c>
      <c r="I167" s="63" t="n">
        <v>99</v>
      </c>
      <c r="J167" s="35" t="s">
        <v>2775</v>
      </c>
      <c r="K167" s="63" t="n">
        <v>82</v>
      </c>
      <c r="L167" s="63" t="n">
        <f aca="false">G167+I167+K167</f>
        <v>260</v>
      </c>
      <c r="M167" s="64" t="n">
        <f aca="false">L167/300*100</f>
        <v>86.6666666666667</v>
      </c>
      <c r="N167" s="34" t="str">
        <f aca="false">IF(M167&gt;=90,"A+",IF(M167&gt;=80,"A",IF(M167&gt;=70,"B+",IF(M167&gt;=60,"B",IF(M167&gt;=50,"C","F")))))</f>
        <v>A</v>
      </c>
      <c r="O167" s="65" t="n">
        <f aca="false">IF(M167&gt;=90,4,IF(M167&gt;=80,3.7,IF(M167&gt;=70,3.3,IF(M167&gt;=60,3,IF(M167&gt;=50,2,0)))))</f>
        <v>3.7</v>
      </c>
      <c r="P167" s="38" t="n">
        <v>0.576</v>
      </c>
      <c r="Q167" s="66" t="n">
        <v>40.4</v>
      </c>
      <c r="R167" s="66" t="n">
        <v>67.6</v>
      </c>
      <c r="S167" s="34" t="str">
        <f aca="false">IF(M167&gt;=40,"Pass","Fail")</f>
        <v>Pass</v>
      </c>
      <c r="T167" s="34" t="str">
        <f aca="false">IF(M167&gt;=80,"Yes","No")</f>
        <v>Yes</v>
      </c>
    </row>
    <row r="168" customFormat="false" ht="15" hidden="false" customHeight="false" outlineLevel="0" collapsed="false">
      <c r="A168" s="43" t="s">
        <v>3109</v>
      </c>
      <c r="B168" s="44" t="s">
        <v>3110</v>
      </c>
      <c r="C168" s="43" t="s">
        <v>2803</v>
      </c>
      <c r="D168" s="51" t="n">
        <v>6</v>
      </c>
      <c r="E168" s="43" t="s">
        <v>2774</v>
      </c>
      <c r="F168" s="44" t="s">
        <v>2775</v>
      </c>
      <c r="G168" s="67" t="n">
        <v>71</v>
      </c>
      <c r="H168" s="44" t="s">
        <v>2778</v>
      </c>
      <c r="I168" s="67" t="n">
        <v>65</v>
      </c>
      <c r="J168" s="44" t="s">
        <v>2783</v>
      </c>
      <c r="K168" s="67" t="n">
        <v>21</v>
      </c>
      <c r="L168" s="67" t="n">
        <f aca="false">G168+I168+K168</f>
        <v>157</v>
      </c>
      <c r="M168" s="68" t="n">
        <f aca="false">L168/300*100</f>
        <v>52.3333333333333</v>
      </c>
      <c r="N168" s="43" t="str">
        <f aca="false">IF(M168&gt;=90,"A+",IF(M168&gt;=80,"A",IF(M168&gt;=70,"B+",IF(M168&gt;=60,"B",IF(M168&gt;=50,"C","F")))))</f>
        <v>C</v>
      </c>
      <c r="O168" s="69" t="n">
        <f aca="false">IF(M168&gt;=90,4,IF(M168&gt;=80,3.7,IF(M168&gt;=70,3.3,IF(M168&gt;=60,3,IF(M168&gt;=50,2,0)))))</f>
        <v>2</v>
      </c>
      <c r="P168" s="47" t="n">
        <v>0.596</v>
      </c>
      <c r="Q168" s="70" t="n">
        <v>69.5</v>
      </c>
      <c r="R168" s="70" t="n">
        <v>45.1</v>
      </c>
      <c r="S168" s="43" t="str">
        <f aca="false">IF(M168&gt;=40,"Pass","Fail")</f>
        <v>Pass</v>
      </c>
      <c r="T168" s="43" t="str">
        <f aca="false">IF(M168&gt;=80,"Yes","No")</f>
        <v>No</v>
      </c>
    </row>
    <row r="169" customFormat="false" ht="15" hidden="false" customHeight="false" outlineLevel="0" collapsed="false">
      <c r="A169" s="34" t="s">
        <v>3111</v>
      </c>
      <c r="B169" s="35" t="s">
        <v>3112</v>
      </c>
      <c r="C169" s="34" t="s">
        <v>2806</v>
      </c>
      <c r="D169" s="42" t="n">
        <v>3</v>
      </c>
      <c r="E169" s="34" t="s">
        <v>2763</v>
      </c>
      <c r="F169" s="35" t="s">
        <v>2792</v>
      </c>
      <c r="G169" s="63" t="n">
        <v>39</v>
      </c>
      <c r="H169" s="35" t="s">
        <v>2770</v>
      </c>
      <c r="I169" s="63" t="n">
        <v>52</v>
      </c>
      <c r="J169" s="35" t="s">
        <v>2775</v>
      </c>
      <c r="K169" s="63" t="n">
        <v>48</v>
      </c>
      <c r="L169" s="63" t="n">
        <f aca="false">G169+I169+K169</f>
        <v>139</v>
      </c>
      <c r="M169" s="64" t="n">
        <f aca="false">L169/300*100</f>
        <v>46.3333333333333</v>
      </c>
      <c r="N169" s="34" t="str">
        <f aca="false">IF(M169&gt;=90,"A+",IF(M169&gt;=80,"A",IF(M169&gt;=70,"B+",IF(M169&gt;=60,"B",IF(M169&gt;=50,"C","F")))))</f>
        <v>F</v>
      </c>
      <c r="O169" s="65" t="n">
        <f aca="false">IF(M169&gt;=90,4,IF(M169&gt;=80,3.7,IF(M169&gt;=70,3.3,IF(M169&gt;=60,3,IF(M169&gt;=50,2,0)))))</f>
        <v>0</v>
      </c>
      <c r="P169" s="38" t="n">
        <v>0.762</v>
      </c>
      <c r="Q169" s="66" t="n">
        <v>62.5</v>
      </c>
      <c r="R169" s="66" t="n">
        <v>61.9</v>
      </c>
      <c r="S169" s="34" t="str">
        <f aca="false">IF(M169&gt;=40,"Pass","Fail")</f>
        <v>Pass</v>
      </c>
      <c r="T169" s="34" t="str">
        <f aca="false">IF(M169&gt;=80,"Yes","No")</f>
        <v>No</v>
      </c>
    </row>
    <row r="170" customFormat="false" ht="15" hidden="false" customHeight="false" outlineLevel="0" collapsed="false">
      <c r="A170" s="43" t="s">
        <v>3113</v>
      </c>
      <c r="B170" s="44" t="s">
        <v>3114</v>
      </c>
      <c r="C170" s="43" t="s">
        <v>2781</v>
      </c>
      <c r="D170" s="51" t="n">
        <v>5</v>
      </c>
      <c r="E170" s="43" t="s">
        <v>2774</v>
      </c>
      <c r="F170" s="44" t="s">
        <v>2770</v>
      </c>
      <c r="G170" s="67" t="n">
        <v>37</v>
      </c>
      <c r="H170" s="44" t="s">
        <v>2764</v>
      </c>
      <c r="I170" s="67" t="n">
        <v>65</v>
      </c>
      <c r="J170" s="44" t="s">
        <v>2783</v>
      </c>
      <c r="K170" s="67" t="n">
        <v>75</v>
      </c>
      <c r="L170" s="67" t="n">
        <f aca="false">G170+I170+K170</f>
        <v>177</v>
      </c>
      <c r="M170" s="68" t="n">
        <f aca="false">L170/300*100</f>
        <v>59</v>
      </c>
      <c r="N170" s="43" t="str">
        <f aca="false">IF(M170&gt;=90,"A+",IF(M170&gt;=80,"A",IF(M170&gt;=70,"B+",IF(M170&gt;=60,"B",IF(M170&gt;=50,"C","F")))))</f>
        <v>C</v>
      </c>
      <c r="O170" s="69" t="n">
        <f aca="false">IF(M170&gt;=90,4,IF(M170&gt;=80,3.7,IF(M170&gt;=70,3.3,IF(M170&gt;=60,3,IF(M170&gt;=50,2,0)))))</f>
        <v>2</v>
      </c>
      <c r="P170" s="47" t="n">
        <v>0.553</v>
      </c>
      <c r="Q170" s="70" t="n">
        <v>93</v>
      </c>
      <c r="R170" s="70" t="n">
        <v>82.6</v>
      </c>
      <c r="S170" s="43" t="str">
        <f aca="false">IF(M170&gt;=40,"Pass","Fail")</f>
        <v>Pass</v>
      </c>
      <c r="T170" s="43" t="str">
        <f aca="false">IF(M170&gt;=80,"Yes","No")</f>
        <v>No</v>
      </c>
    </row>
    <row r="171" customFormat="false" ht="15" hidden="false" customHeight="false" outlineLevel="0" collapsed="false">
      <c r="A171" s="34" t="s">
        <v>3115</v>
      </c>
      <c r="B171" s="35" t="s">
        <v>3116</v>
      </c>
      <c r="C171" s="34" t="s">
        <v>2851</v>
      </c>
      <c r="D171" s="42" t="n">
        <v>4</v>
      </c>
      <c r="E171" s="34" t="s">
        <v>2763</v>
      </c>
      <c r="F171" s="35" t="s">
        <v>2775</v>
      </c>
      <c r="G171" s="63" t="n">
        <v>73</v>
      </c>
      <c r="H171" s="35" t="s">
        <v>2783</v>
      </c>
      <c r="I171" s="63" t="n">
        <v>62</v>
      </c>
      <c r="J171" s="35" t="s">
        <v>2791</v>
      </c>
      <c r="K171" s="63" t="n">
        <v>24</v>
      </c>
      <c r="L171" s="63" t="n">
        <f aca="false">G171+I171+K171</f>
        <v>159</v>
      </c>
      <c r="M171" s="64" t="n">
        <f aca="false">L171/300*100</f>
        <v>53</v>
      </c>
      <c r="N171" s="34" t="str">
        <f aca="false">IF(M171&gt;=90,"A+",IF(M171&gt;=80,"A",IF(M171&gt;=70,"B+",IF(M171&gt;=60,"B",IF(M171&gt;=50,"C","F")))))</f>
        <v>C</v>
      </c>
      <c r="O171" s="65" t="n">
        <f aca="false">IF(M171&gt;=90,4,IF(M171&gt;=80,3.7,IF(M171&gt;=70,3.3,IF(M171&gt;=60,3,IF(M171&gt;=50,2,0)))))</f>
        <v>2</v>
      </c>
      <c r="P171" s="38" t="n">
        <v>0.622</v>
      </c>
      <c r="Q171" s="66" t="n">
        <v>51.9</v>
      </c>
      <c r="R171" s="66" t="n">
        <v>68.8</v>
      </c>
      <c r="S171" s="34" t="str">
        <f aca="false">IF(M171&gt;=40,"Pass","Fail")</f>
        <v>Pass</v>
      </c>
      <c r="T171" s="34" t="str">
        <f aca="false">IF(M171&gt;=80,"Yes","No")</f>
        <v>No</v>
      </c>
    </row>
    <row r="172" customFormat="false" ht="15" hidden="false" customHeight="false" outlineLevel="0" collapsed="false">
      <c r="A172" s="43" t="s">
        <v>3117</v>
      </c>
      <c r="B172" s="44" t="s">
        <v>3118</v>
      </c>
      <c r="C172" s="43" t="s">
        <v>2769</v>
      </c>
      <c r="D172" s="51" t="n">
        <v>5</v>
      </c>
      <c r="E172" s="43" t="s">
        <v>2774</v>
      </c>
      <c r="F172" s="44" t="s">
        <v>2791</v>
      </c>
      <c r="G172" s="67" t="n">
        <v>36</v>
      </c>
      <c r="H172" s="44" t="s">
        <v>2770</v>
      </c>
      <c r="I172" s="67" t="n">
        <v>61</v>
      </c>
      <c r="J172" s="44" t="s">
        <v>2766</v>
      </c>
      <c r="K172" s="67" t="n">
        <v>71</v>
      </c>
      <c r="L172" s="67" t="n">
        <f aca="false">G172+I172+K172</f>
        <v>168</v>
      </c>
      <c r="M172" s="68" t="n">
        <f aca="false">L172/300*100</f>
        <v>56</v>
      </c>
      <c r="N172" s="43" t="str">
        <f aca="false">IF(M172&gt;=90,"A+",IF(M172&gt;=80,"A",IF(M172&gt;=70,"B+",IF(M172&gt;=60,"B",IF(M172&gt;=50,"C","F")))))</f>
        <v>C</v>
      </c>
      <c r="O172" s="69" t="n">
        <f aca="false">IF(M172&gt;=90,4,IF(M172&gt;=80,3.7,IF(M172&gt;=70,3.3,IF(M172&gt;=60,3,IF(M172&gt;=50,2,0)))))</f>
        <v>2</v>
      </c>
      <c r="P172" s="47" t="n">
        <v>0.776</v>
      </c>
      <c r="Q172" s="70" t="n">
        <v>95.4</v>
      </c>
      <c r="R172" s="70" t="n">
        <v>90.6</v>
      </c>
      <c r="S172" s="43" t="str">
        <f aca="false">IF(M172&gt;=40,"Pass","Fail")</f>
        <v>Pass</v>
      </c>
      <c r="T172" s="43" t="str">
        <f aca="false">IF(M172&gt;=80,"Yes","No")</f>
        <v>No</v>
      </c>
    </row>
    <row r="173" customFormat="false" ht="15" hidden="false" customHeight="false" outlineLevel="0" collapsed="false">
      <c r="A173" s="34" t="s">
        <v>3119</v>
      </c>
      <c r="B173" s="35" t="s">
        <v>3120</v>
      </c>
      <c r="C173" s="34" t="s">
        <v>2762</v>
      </c>
      <c r="D173" s="42" t="n">
        <v>3</v>
      </c>
      <c r="E173" s="34" t="s">
        <v>2774</v>
      </c>
      <c r="F173" s="35" t="s">
        <v>2792</v>
      </c>
      <c r="G173" s="63" t="n">
        <v>39</v>
      </c>
      <c r="H173" s="35" t="s">
        <v>2775</v>
      </c>
      <c r="I173" s="63" t="n">
        <v>64</v>
      </c>
      <c r="J173" s="35" t="s">
        <v>2783</v>
      </c>
      <c r="K173" s="63" t="n">
        <v>84</v>
      </c>
      <c r="L173" s="63" t="n">
        <f aca="false">G173+I173+K173</f>
        <v>187</v>
      </c>
      <c r="M173" s="64" t="n">
        <f aca="false">L173/300*100</f>
        <v>62.3333333333333</v>
      </c>
      <c r="N173" s="34" t="str">
        <f aca="false">IF(M173&gt;=90,"A+",IF(M173&gt;=80,"A",IF(M173&gt;=70,"B+",IF(M173&gt;=60,"B",IF(M173&gt;=50,"C","F")))))</f>
        <v>B</v>
      </c>
      <c r="O173" s="65" t="n">
        <f aca="false">IF(M173&gt;=90,4,IF(M173&gt;=80,3.7,IF(M173&gt;=70,3.3,IF(M173&gt;=60,3,IF(M173&gt;=50,2,0)))))</f>
        <v>3</v>
      </c>
      <c r="P173" s="38" t="n">
        <v>0.556</v>
      </c>
      <c r="Q173" s="66" t="n">
        <v>81.1</v>
      </c>
      <c r="R173" s="66" t="n">
        <v>43.1</v>
      </c>
      <c r="S173" s="34" t="str">
        <f aca="false">IF(M173&gt;=40,"Pass","Fail")</f>
        <v>Pass</v>
      </c>
      <c r="T173" s="34" t="str">
        <f aca="false">IF(M173&gt;=80,"Yes","No")</f>
        <v>No</v>
      </c>
    </row>
    <row r="174" customFormat="false" ht="15" hidden="false" customHeight="false" outlineLevel="0" collapsed="false">
      <c r="A174" s="43" t="s">
        <v>3121</v>
      </c>
      <c r="B174" s="44" t="s">
        <v>3122</v>
      </c>
      <c r="C174" s="43" t="s">
        <v>2786</v>
      </c>
      <c r="D174" s="51" t="n">
        <v>6</v>
      </c>
      <c r="E174" s="43" t="s">
        <v>2763</v>
      </c>
      <c r="F174" s="44" t="s">
        <v>2764</v>
      </c>
      <c r="G174" s="67" t="n">
        <v>81</v>
      </c>
      <c r="H174" s="44" t="s">
        <v>2775</v>
      </c>
      <c r="I174" s="67" t="n">
        <v>57</v>
      </c>
      <c r="J174" s="44" t="s">
        <v>2791</v>
      </c>
      <c r="K174" s="67" t="n">
        <v>56</v>
      </c>
      <c r="L174" s="67" t="n">
        <f aca="false">G174+I174+K174</f>
        <v>194</v>
      </c>
      <c r="M174" s="68" t="n">
        <f aca="false">L174/300*100</f>
        <v>64.6666666666667</v>
      </c>
      <c r="N174" s="43" t="str">
        <f aca="false">IF(M174&gt;=90,"A+",IF(M174&gt;=80,"A",IF(M174&gt;=70,"B+",IF(M174&gt;=60,"B",IF(M174&gt;=50,"C","F")))))</f>
        <v>B</v>
      </c>
      <c r="O174" s="69" t="n">
        <f aca="false">IF(M174&gt;=90,4,IF(M174&gt;=80,3.7,IF(M174&gt;=70,3.3,IF(M174&gt;=60,3,IF(M174&gt;=50,2,0)))))</f>
        <v>3</v>
      </c>
      <c r="P174" s="47" t="n">
        <v>0.769</v>
      </c>
      <c r="Q174" s="70" t="n">
        <v>85.7</v>
      </c>
      <c r="R174" s="70" t="n">
        <v>54.9</v>
      </c>
      <c r="S174" s="43" t="str">
        <f aca="false">IF(M174&gt;=40,"Pass","Fail")</f>
        <v>Pass</v>
      </c>
      <c r="T174" s="43" t="str">
        <f aca="false">IF(M174&gt;=80,"Yes","No")</f>
        <v>No</v>
      </c>
    </row>
    <row r="175" customFormat="false" ht="15" hidden="false" customHeight="false" outlineLevel="0" collapsed="false">
      <c r="A175" s="34" t="s">
        <v>3123</v>
      </c>
      <c r="B175" s="35" t="s">
        <v>3124</v>
      </c>
      <c r="C175" s="34" t="s">
        <v>2781</v>
      </c>
      <c r="D175" s="42" t="n">
        <v>3</v>
      </c>
      <c r="E175" s="34" t="s">
        <v>2774</v>
      </c>
      <c r="F175" s="35" t="s">
        <v>2771</v>
      </c>
      <c r="G175" s="63" t="n">
        <v>51</v>
      </c>
      <c r="H175" s="35" t="s">
        <v>2792</v>
      </c>
      <c r="I175" s="63" t="n">
        <v>74</v>
      </c>
      <c r="J175" s="35" t="s">
        <v>2764</v>
      </c>
      <c r="K175" s="63" t="n">
        <v>45</v>
      </c>
      <c r="L175" s="63" t="n">
        <f aca="false">G175+I175+K175</f>
        <v>170</v>
      </c>
      <c r="M175" s="64" t="n">
        <f aca="false">L175/300*100</f>
        <v>56.6666666666667</v>
      </c>
      <c r="N175" s="34" t="str">
        <f aca="false">IF(M175&gt;=90,"A+",IF(M175&gt;=80,"A",IF(M175&gt;=70,"B+",IF(M175&gt;=60,"B",IF(M175&gt;=50,"C","F")))))</f>
        <v>C</v>
      </c>
      <c r="O175" s="65" t="n">
        <f aca="false">IF(M175&gt;=90,4,IF(M175&gt;=80,3.7,IF(M175&gt;=70,3.3,IF(M175&gt;=60,3,IF(M175&gt;=50,2,0)))))</f>
        <v>2</v>
      </c>
      <c r="P175" s="38" t="n">
        <v>0.763</v>
      </c>
      <c r="Q175" s="66" t="n">
        <v>87</v>
      </c>
      <c r="R175" s="66" t="n">
        <v>46.2</v>
      </c>
      <c r="S175" s="34" t="str">
        <f aca="false">IF(M175&gt;=40,"Pass","Fail")</f>
        <v>Pass</v>
      </c>
      <c r="T175" s="34" t="str">
        <f aca="false">IF(M175&gt;=80,"Yes","No")</f>
        <v>No</v>
      </c>
    </row>
    <row r="176" customFormat="false" ht="15" hidden="false" customHeight="false" outlineLevel="0" collapsed="false">
      <c r="A176" s="43" t="s">
        <v>3125</v>
      </c>
      <c r="B176" s="44" t="s">
        <v>3126</v>
      </c>
      <c r="C176" s="43" t="s">
        <v>2769</v>
      </c>
      <c r="D176" s="51" t="n">
        <v>3</v>
      </c>
      <c r="E176" s="43" t="s">
        <v>2774</v>
      </c>
      <c r="F176" s="44" t="s">
        <v>2764</v>
      </c>
      <c r="G176" s="67" t="n">
        <v>35</v>
      </c>
      <c r="H176" s="44" t="s">
        <v>2783</v>
      </c>
      <c r="I176" s="67" t="n">
        <v>36</v>
      </c>
      <c r="J176" s="44" t="s">
        <v>2765</v>
      </c>
      <c r="K176" s="67" t="n">
        <v>71</v>
      </c>
      <c r="L176" s="67" t="n">
        <f aca="false">G176+I176+K176</f>
        <v>142</v>
      </c>
      <c r="M176" s="68" t="n">
        <f aca="false">L176/300*100</f>
        <v>47.3333333333333</v>
      </c>
      <c r="N176" s="43" t="str">
        <f aca="false">IF(M176&gt;=90,"A+",IF(M176&gt;=80,"A",IF(M176&gt;=70,"B+",IF(M176&gt;=60,"B",IF(M176&gt;=50,"C","F")))))</f>
        <v>F</v>
      </c>
      <c r="O176" s="69" t="n">
        <f aca="false">IF(M176&gt;=90,4,IF(M176&gt;=80,3.7,IF(M176&gt;=70,3.3,IF(M176&gt;=60,3,IF(M176&gt;=50,2,0)))))</f>
        <v>0</v>
      </c>
      <c r="P176" s="47" t="n">
        <v>0.567</v>
      </c>
      <c r="Q176" s="70" t="n">
        <v>99.4</v>
      </c>
      <c r="R176" s="70" t="n">
        <v>95.7</v>
      </c>
      <c r="S176" s="43" t="str">
        <f aca="false">IF(M176&gt;=40,"Pass","Fail")</f>
        <v>Pass</v>
      </c>
      <c r="T176" s="43" t="str">
        <f aca="false">IF(M176&gt;=80,"Yes","No")</f>
        <v>No</v>
      </c>
    </row>
    <row r="177" customFormat="false" ht="15" hidden="false" customHeight="false" outlineLevel="0" collapsed="false">
      <c r="A177" s="34" t="s">
        <v>3127</v>
      </c>
      <c r="B177" s="35" t="s">
        <v>3128</v>
      </c>
      <c r="C177" s="34" t="s">
        <v>2762</v>
      </c>
      <c r="D177" s="42" t="n">
        <v>1</v>
      </c>
      <c r="E177" s="34" t="s">
        <v>2782</v>
      </c>
      <c r="F177" s="35" t="s">
        <v>2765</v>
      </c>
      <c r="G177" s="63" t="n">
        <v>68</v>
      </c>
      <c r="H177" s="35" t="s">
        <v>2792</v>
      </c>
      <c r="I177" s="63" t="n">
        <v>72</v>
      </c>
      <c r="J177" s="35" t="s">
        <v>2775</v>
      </c>
      <c r="K177" s="63" t="n">
        <v>87</v>
      </c>
      <c r="L177" s="63" t="n">
        <f aca="false">G177+I177+K177</f>
        <v>227</v>
      </c>
      <c r="M177" s="64" t="n">
        <f aca="false">L177/300*100</f>
        <v>75.6666666666667</v>
      </c>
      <c r="N177" s="34" t="str">
        <f aca="false">IF(M177&gt;=90,"A+",IF(M177&gt;=80,"A",IF(M177&gt;=70,"B+",IF(M177&gt;=60,"B",IF(M177&gt;=50,"C","F")))))</f>
        <v>B+</v>
      </c>
      <c r="O177" s="65" t="n">
        <f aca="false">IF(M177&gt;=90,4,IF(M177&gt;=80,3.7,IF(M177&gt;=70,3.3,IF(M177&gt;=60,3,IF(M177&gt;=50,2,0)))))</f>
        <v>3.3</v>
      </c>
      <c r="P177" s="38" t="n">
        <v>0.688</v>
      </c>
      <c r="Q177" s="66" t="n">
        <v>78</v>
      </c>
      <c r="R177" s="66" t="n">
        <v>53.9</v>
      </c>
      <c r="S177" s="34" t="str">
        <f aca="false">IF(M177&gt;=40,"Pass","Fail")</f>
        <v>Pass</v>
      </c>
      <c r="T177" s="34" t="str">
        <f aca="false">IF(M177&gt;=80,"Yes","No")</f>
        <v>No</v>
      </c>
    </row>
    <row r="178" customFormat="false" ht="15" hidden="false" customHeight="false" outlineLevel="0" collapsed="false">
      <c r="A178" s="43" t="s">
        <v>3129</v>
      </c>
      <c r="B178" s="44" t="s">
        <v>100</v>
      </c>
      <c r="C178" s="43" t="s">
        <v>2803</v>
      </c>
      <c r="D178" s="51" t="n">
        <v>7</v>
      </c>
      <c r="E178" s="43" t="s">
        <v>2763</v>
      </c>
      <c r="F178" s="44" t="s">
        <v>2775</v>
      </c>
      <c r="G178" s="67" t="n">
        <v>26</v>
      </c>
      <c r="H178" s="44" t="s">
        <v>2766</v>
      </c>
      <c r="I178" s="67" t="n">
        <v>58</v>
      </c>
      <c r="J178" s="44" t="s">
        <v>2791</v>
      </c>
      <c r="K178" s="67" t="n">
        <v>34</v>
      </c>
      <c r="L178" s="67" t="n">
        <f aca="false">G178+I178+K178</f>
        <v>118</v>
      </c>
      <c r="M178" s="68" t="n">
        <f aca="false">L178/300*100</f>
        <v>39.3333333333333</v>
      </c>
      <c r="N178" s="43" t="str">
        <f aca="false">IF(M178&gt;=90,"A+",IF(M178&gt;=80,"A",IF(M178&gt;=70,"B+",IF(M178&gt;=60,"B",IF(M178&gt;=50,"C","F")))))</f>
        <v>F</v>
      </c>
      <c r="O178" s="69" t="n">
        <f aca="false">IF(M178&gt;=90,4,IF(M178&gt;=80,3.7,IF(M178&gt;=70,3.3,IF(M178&gt;=60,3,IF(M178&gt;=50,2,0)))))</f>
        <v>0</v>
      </c>
      <c r="P178" s="47" t="n">
        <v>0.671</v>
      </c>
      <c r="Q178" s="70" t="n">
        <v>56.8</v>
      </c>
      <c r="R178" s="70" t="n">
        <v>61.1</v>
      </c>
      <c r="S178" s="43" t="str">
        <f aca="false">IF(M178&gt;=40,"Pass","Fail")</f>
        <v>Fail</v>
      </c>
      <c r="T178" s="43" t="str">
        <f aca="false">IF(M178&gt;=80,"Yes","No")</f>
        <v>No</v>
      </c>
    </row>
    <row r="179" customFormat="false" ht="15" hidden="false" customHeight="false" outlineLevel="0" collapsed="false">
      <c r="A179" s="34" t="s">
        <v>3130</v>
      </c>
      <c r="B179" s="35" t="s">
        <v>3131</v>
      </c>
      <c r="C179" s="34" t="s">
        <v>2762</v>
      </c>
      <c r="D179" s="42" t="n">
        <v>4</v>
      </c>
      <c r="E179" s="34" t="s">
        <v>2763</v>
      </c>
      <c r="F179" s="35" t="s">
        <v>2775</v>
      </c>
      <c r="G179" s="63" t="n">
        <v>20</v>
      </c>
      <c r="H179" s="35" t="s">
        <v>2783</v>
      </c>
      <c r="I179" s="63" t="n">
        <v>26</v>
      </c>
      <c r="J179" s="35" t="s">
        <v>2764</v>
      </c>
      <c r="K179" s="63" t="n">
        <v>61</v>
      </c>
      <c r="L179" s="63" t="n">
        <f aca="false">G179+I179+K179</f>
        <v>107</v>
      </c>
      <c r="M179" s="64" t="n">
        <f aca="false">L179/300*100</f>
        <v>35.6666666666667</v>
      </c>
      <c r="N179" s="34" t="str">
        <f aca="false">IF(M179&gt;=90,"A+",IF(M179&gt;=80,"A",IF(M179&gt;=70,"B+",IF(M179&gt;=60,"B",IF(M179&gt;=50,"C","F")))))</f>
        <v>F</v>
      </c>
      <c r="O179" s="65" t="n">
        <f aca="false">IF(M179&gt;=90,4,IF(M179&gt;=80,3.7,IF(M179&gt;=70,3.3,IF(M179&gt;=60,3,IF(M179&gt;=50,2,0)))))</f>
        <v>0</v>
      </c>
      <c r="P179" s="38" t="n">
        <v>0.645</v>
      </c>
      <c r="Q179" s="66" t="n">
        <v>68.3</v>
      </c>
      <c r="R179" s="66" t="n">
        <v>94.5</v>
      </c>
      <c r="S179" s="34" t="str">
        <f aca="false">IF(M179&gt;=40,"Pass","Fail")</f>
        <v>Fail</v>
      </c>
      <c r="T179" s="34" t="str">
        <f aca="false">IF(M179&gt;=80,"Yes","No")</f>
        <v>No</v>
      </c>
    </row>
    <row r="180" customFormat="false" ht="15" hidden="false" customHeight="false" outlineLevel="0" collapsed="false">
      <c r="A180" s="43" t="s">
        <v>3132</v>
      </c>
      <c r="B180" s="44" t="s">
        <v>3133</v>
      </c>
      <c r="C180" s="43" t="s">
        <v>2851</v>
      </c>
      <c r="D180" s="51" t="n">
        <v>7</v>
      </c>
      <c r="E180" s="43" t="s">
        <v>2774</v>
      </c>
      <c r="F180" s="44" t="s">
        <v>2771</v>
      </c>
      <c r="G180" s="67" t="n">
        <v>62</v>
      </c>
      <c r="H180" s="44" t="s">
        <v>2770</v>
      </c>
      <c r="I180" s="67" t="n">
        <v>58</v>
      </c>
      <c r="J180" s="44" t="s">
        <v>2778</v>
      </c>
      <c r="K180" s="67" t="n">
        <v>34</v>
      </c>
      <c r="L180" s="67" t="n">
        <f aca="false">G180+I180+K180</f>
        <v>154</v>
      </c>
      <c r="M180" s="68" t="n">
        <f aca="false">L180/300*100</f>
        <v>51.3333333333333</v>
      </c>
      <c r="N180" s="43" t="str">
        <f aca="false">IF(M180&gt;=90,"A+",IF(M180&gt;=80,"A",IF(M180&gt;=70,"B+",IF(M180&gt;=60,"B",IF(M180&gt;=50,"C","F")))))</f>
        <v>C</v>
      </c>
      <c r="O180" s="69" t="n">
        <f aca="false">IF(M180&gt;=90,4,IF(M180&gt;=80,3.7,IF(M180&gt;=70,3.3,IF(M180&gt;=60,3,IF(M180&gt;=50,2,0)))))</f>
        <v>2</v>
      </c>
      <c r="P180" s="47" t="n">
        <v>0.594</v>
      </c>
      <c r="Q180" s="70" t="n">
        <v>40.8</v>
      </c>
      <c r="R180" s="70" t="n">
        <v>73.1</v>
      </c>
      <c r="S180" s="43" t="str">
        <f aca="false">IF(M180&gt;=40,"Pass","Fail")</f>
        <v>Pass</v>
      </c>
      <c r="T180" s="43" t="str">
        <f aca="false">IF(M180&gt;=80,"Yes","No")</f>
        <v>No</v>
      </c>
    </row>
    <row r="181" customFormat="false" ht="15" hidden="false" customHeight="false" outlineLevel="0" collapsed="false">
      <c r="A181" s="34" t="s">
        <v>3134</v>
      </c>
      <c r="B181" s="35" t="s">
        <v>3135</v>
      </c>
      <c r="C181" s="34" t="s">
        <v>2786</v>
      </c>
      <c r="D181" s="42" t="n">
        <v>3</v>
      </c>
      <c r="E181" s="34" t="s">
        <v>2763</v>
      </c>
      <c r="F181" s="35" t="s">
        <v>2778</v>
      </c>
      <c r="G181" s="63" t="n">
        <v>50</v>
      </c>
      <c r="H181" s="35" t="s">
        <v>2764</v>
      </c>
      <c r="I181" s="63" t="n">
        <v>55</v>
      </c>
      <c r="J181" s="35" t="s">
        <v>2766</v>
      </c>
      <c r="K181" s="63" t="n">
        <v>46</v>
      </c>
      <c r="L181" s="63" t="n">
        <f aca="false">G181+I181+K181</f>
        <v>151</v>
      </c>
      <c r="M181" s="64" t="n">
        <f aca="false">L181/300*100</f>
        <v>50.3333333333333</v>
      </c>
      <c r="N181" s="34" t="str">
        <f aca="false">IF(M181&gt;=90,"A+",IF(M181&gt;=80,"A",IF(M181&gt;=70,"B+",IF(M181&gt;=60,"B",IF(M181&gt;=50,"C","F")))))</f>
        <v>C</v>
      </c>
      <c r="O181" s="65" t="n">
        <f aca="false">IF(M181&gt;=90,4,IF(M181&gt;=80,3.7,IF(M181&gt;=70,3.3,IF(M181&gt;=60,3,IF(M181&gt;=50,2,0)))))</f>
        <v>2</v>
      </c>
      <c r="P181" s="38" t="n">
        <v>0.813</v>
      </c>
      <c r="Q181" s="66" t="n">
        <v>45.2</v>
      </c>
      <c r="R181" s="66" t="n">
        <v>46.4</v>
      </c>
      <c r="S181" s="34" t="str">
        <f aca="false">IF(M181&gt;=40,"Pass","Fail")</f>
        <v>Pass</v>
      </c>
      <c r="T181" s="34" t="str">
        <f aca="false">IF(M181&gt;=80,"Yes","No")</f>
        <v>No</v>
      </c>
    </row>
    <row r="182" customFormat="false" ht="15" hidden="false" customHeight="false" outlineLevel="0" collapsed="false">
      <c r="A182" s="43" t="s">
        <v>3136</v>
      </c>
      <c r="B182" s="44" t="s">
        <v>3137</v>
      </c>
      <c r="C182" s="43" t="s">
        <v>2769</v>
      </c>
      <c r="D182" s="51" t="n">
        <v>2</v>
      </c>
      <c r="E182" s="43" t="s">
        <v>2774</v>
      </c>
      <c r="F182" s="44" t="s">
        <v>2764</v>
      </c>
      <c r="G182" s="67" t="n">
        <v>77</v>
      </c>
      <c r="H182" s="44" t="s">
        <v>2765</v>
      </c>
      <c r="I182" s="67" t="n">
        <v>32</v>
      </c>
      <c r="J182" s="44" t="s">
        <v>2766</v>
      </c>
      <c r="K182" s="67" t="n">
        <v>29</v>
      </c>
      <c r="L182" s="67" t="n">
        <f aca="false">G182+I182+K182</f>
        <v>138</v>
      </c>
      <c r="M182" s="68" t="n">
        <f aca="false">L182/300*100</f>
        <v>46</v>
      </c>
      <c r="N182" s="43" t="str">
        <f aca="false">IF(M182&gt;=90,"A+",IF(M182&gt;=80,"A",IF(M182&gt;=70,"B+",IF(M182&gt;=60,"B",IF(M182&gt;=50,"C","F")))))</f>
        <v>F</v>
      </c>
      <c r="O182" s="69" t="n">
        <f aca="false">IF(M182&gt;=90,4,IF(M182&gt;=80,3.7,IF(M182&gt;=70,3.3,IF(M182&gt;=60,3,IF(M182&gt;=50,2,0)))))</f>
        <v>0</v>
      </c>
      <c r="P182" s="47" t="n">
        <v>0.974</v>
      </c>
      <c r="Q182" s="70" t="n">
        <v>77.1</v>
      </c>
      <c r="R182" s="70" t="n">
        <v>58.1</v>
      </c>
      <c r="S182" s="43" t="str">
        <f aca="false">IF(M182&gt;=40,"Pass","Fail")</f>
        <v>Pass</v>
      </c>
      <c r="T182" s="43" t="str">
        <f aca="false">IF(M182&gt;=80,"Yes","No")</f>
        <v>No</v>
      </c>
    </row>
    <row r="183" customFormat="false" ht="15" hidden="false" customHeight="false" outlineLevel="0" collapsed="false">
      <c r="A183" s="34" t="s">
        <v>3138</v>
      </c>
      <c r="B183" s="35" t="s">
        <v>2477</v>
      </c>
      <c r="C183" s="34" t="s">
        <v>2762</v>
      </c>
      <c r="D183" s="42" t="n">
        <v>4</v>
      </c>
      <c r="E183" s="34" t="s">
        <v>2782</v>
      </c>
      <c r="F183" s="35" t="s">
        <v>2783</v>
      </c>
      <c r="G183" s="63" t="n">
        <v>44</v>
      </c>
      <c r="H183" s="35" t="s">
        <v>2775</v>
      </c>
      <c r="I183" s="63" t="n">
        <v>73</v>
      </c>
      <c r="J183" s="35" t="s">
        <v>2764</v>
      </c>
      <c r="K183" s="63" t="n">
        <v>90</v>
      </c>
      <c r="L183" s="63" t="n">
        <f aca="false">G183+I183+K183</f>
        <v>207</v>
      </c>
      <c r="M183" s="64" t="n">
        <f aca="false">L183/300*100</f>
        <v>69</v>
      </c>
      <c r="N183" s="34" t="str">
        <f aca="false">IF(M183&gt;=90,"A+",IF(M183&gt;=80,"A",IF(M183&gt;=70,"B+",IF(M183&gt;=60,"B",IF(M183&gt;=50,"C","F")))))</f>
        <v>B</v>
      </c>
      <c r="O183" s="65" t="n">
        <f aca="false">IF(M183&gt;=90,4,IF(M183&gt;=80,3.7,IF(M183&gt;=70,3.3,IF(M183&gt;=60,3,IF(M183&gt;=50,2,0)))))</f>
        <v>3</v>
      </c>
      <c r="P183" s="38" t="n">
        <v>0.87</v>
      </c>
      <c r="Q183" s="66" t="n">
        <v>93.5</v>
      </c>
      <c r="R183" s="66" t="n">
        <v>85.6</v>
      </c>
      <c r="S183" s="34" t="str">
        <f aca="false">IF(M183&gt;=40,"Pass","Fail")</f>
        <v>Pass</v>
      </c>
      <c r="T183" s="34" t="str">
        <f aca="false">IF(M183&gt;=80,"Yes","No")</f>
        <v>No</v>
      </c>
    </row>
    <row r="184" customFormat="false" ht="15" hidden="false" customHeight="false" outlineLevel="0" collapsed="false">
      <c r="A184" s="43" t="s">
        <v>3139</v>
      </c>
      <c r="B184" s="44" t="s">
        <v>3140</v>
      </c>
      <c r="C184" s="43" t="s">
        <v>2786</v>
      </c>
      <c r="D184" s="51" t="n">
        <v>6</v>
      </c>
      <c r="E184" s="43" t="s">
        <v>2763</v>
      </c>
      <c r="F184" s="44" t="s">
        <v>2770</v>
      </c>
      <c r="G184" s="67" t="n">
        <v>28</v>
      </c>
      <c r="H184" s="44" t="s">
        <v>2792</v>
      </c>
      <c r="I184" s="67" t="n">
        <v>81</v>
      </c>
      <c r="J184" s="44" t="s">
        <v>2791</v>
      </c>
      <c r="K184" s="67" t="n">
        <v>73</v>
      </c>
      <c r="L184" s="67" t="n">
        <f aca="false">G184+I184+K184</f>
        <v>182</v>
      </c>
      <c r="M184" s="68" t="n">
        <f aca="false">L184/300*100</f>
        <v>60.6666666666667</v>
      </c>
      <c r="N184" s="43" t="str">
        <f aca="false">IF(M184&gt;=90,"A+",IF(M184&gt;=80,"A",IF(M184&gt;=70,"B+",IF(M184&gt;=60,"B",IF(M184&gt;=50,"C","F")))))</f>
        <v>B</v>
      </c>
      <c r="O184" s="69" t="n">
        <f aca="false">IF(M184&gt;=90,4,IF(M184&gt;=80,3.7,IF(M184&gt;=70,3.3,IF(M184&gt;=60,3,IF(M184&gt;=50,2,0)))))</f>
        <v>3</v>
      </c>
      <c r="P184" s="47" t="n">
        <v>0.786</v>
      </c>
      <c r="Q184" s="70" t="n">
        <v>97.1</v>
      </c>
      <c r="R184" s="70" t="n">
        <v>87.5</v>
      </c>
      <c r="S184" s="43" t="str">
        <f aca="false">IF(M184&gt;=40,"Pass","Fail")</f>
        <v>Pass</v>
      </c>
      <c r="T184" s="43" t="str">
        <f aca="false">IF(M184&gt;=80,"Yes","No")</f>
        <v>No</v>
      </c>
    </row>
    <row r="185" customFormat="false" ht="15" hidden="false" customHeight="false" outlineLevel="0" collapsed="false">
      <c r="A185" s="34" t="s">
        <v>3141</v>
      </c>
      <c r="B185" s="35" t="s">
        <v>3142</v>
      </c>
      <c r="C185" s="34" t="s">
        <v>2781</v>
      </c>
      <c r="D185" s="42" t="n">
        <v>5</v>
      </c>
      <c r="E185" s="34" t="s">
        <v>2782</v>
      </c>
      <c r="F185" s="35" t="s">
        <v>2783</v>
      </c>
      <c r="G185" s="63" t="n">
        <v>92</v>
      </c>
      <c r="H185" s="35" t="s">
        <v>2771</v>
      </c>
      <c r="I185" s="63" t="n">
        <v>27</v>
      </c>
      <c r="J185" s="35" t="s">
        <v>2775</v>
      </c>
      <c r="K185" s="63" t="n">
        <v>44</v>
      </c>
      <c r="L185" s="63" t="n">
        <f aca="false">G185+I185+K185</f>
        <v>163</v>
      </c>
      <c r="M185" s="64" t="n">
        <f aca="false">L185/300*100</f>
        <v>54.3333333333333</v>
      </c>
      <c r="N185" s="34" t="str">
        <f aca="false">IF(M185&gt;=90,"A+",IF(M185&gt;=80,"A",IF(M185&gt;=70,"B+",IF(M185&gt;=60,"B",IF(M185&gt;=50,"C","F")))))</f>
        <v>C</v>
      </c>
      <c r="O185" s="65" t="n">
        <f aca="false">IF(M185&gt;=90,4,IF(M185&gt;=80,3.7,IF(M185&gt;=70,3.3,IF(M185&gt;=60,3,IF(M185&gt;=50,2,0)))))</f>
        <v>2</v>
      </c>
      <c r="P185" s="38" t="n">
        <v>0.883</v>
      </c>
      <c r="Q185" s="66" t="n">
        <v>63.8</v>
      </c>
      <c r="R185" s="66" t="n">
        <v>81.1</v>
      </c>
      <c r="S185" s="34" t="str">
        <f aca="false">IF(M185&gt;=40,"Pass","Fail")</f>
        <v>Pass</v>
      </c>
      <c r="T185" s="34" t="str">
        <f aca="false">IF(M185&gt;=80,"Yes","No")</f>
        <v>No</v>
      </c>
    </row>
    <row r="186" customFormat="false" ht="15" hidden="false" customHeight="false" outlineLevel="0" collapsed="false">
      <c r="A186" s="43" t="s">
        <v>3143</v>
      </c>
      <c r="B186" s="44" t="s">
        <v>3144</v>
      </c>
      <c r="C186" s="43" t="s">
        <v>2786</v>
      </c>
      <c r="D186" s="51" t="n">
        <v>2</v>
      </c>
      <c r="E186" s="43" t="s">
        <v>2774</v>
      </c>
      <c r="F186" s="44" t="s">
        <v>2770</v>
      </c>
      <c r="G186" s="67" t="n">
        <v>91</v>
      </c>
      <c r="H186" s="44" t="s">
        <v>2766</v>
      </c>
      <c r="I186" s="67" t="n">
        <v>69</v>
      </c>
      <c r="J186" s="44" t="s">
        <v>2791</v>
      </c>
      <c r="K186" s="67" t="n">
        <v>71</v>
      </c>
      <c r="L186" s="67" t="n">
        <f aca="false">G186+I186+K186</f>
        <v>231</v>
      </c>
      <c r="M186" s="68" t="n">
        <f aca="false">L186/300*100</f>
        <v>77</v>
      </c>
      <c r="N186" s="43" t="str">
        <f aca="false">IF(M186&gt;=90,"A+",IF(M186&gt;=80,"A",IF(M186&gt;=70,"B+",IF(M186&gt;=60,"B",IF(M186&gt;=50,"C","F")))))</f>
        <v>B+</v>
      </c>
      <c r="O186" s="69" t="n">
        <f aca="false">IF(M186&gt;=90,4,IF(M186&gt;=80,3.7,IF(M186&gt;=70,3.3,IF(M186&gt;=60,3,IF(M186&gt;=50,2,0)))))</f>
        <v>3.3</v>
      </c>
      <c r="P186" s="47" t="n">
        <v>0.823</v>
      </c>
      <c r="Q186" s="70" t="n">
        <v>52.4</v>
      </c>
      <c r="R186" s="70" t="n">
        <v>40.2</v>
      </c>
      <c r="S186" s="43" t="str">
        <f aca="false">IF(M186&gt;=40,"Pass","Fail")</f>
        <v>Pass</v>
      </c>
      <c r="T186" s="43" t="str">
        <f aca="false">IF(M186&gt;=80,"Yes","No")</f>
        <v>No</v>
      </c>
    </row>
    <row r="187" customFormat="false" ht="15" hidden="false" customHeight="false" outlineLevel="0" collapsed="false">
      <c r="A187" s="34" t="s">
        <v>3145</v>
      </c>
      <c r="B187" s="35" t="s">
        <v>3146</v>
      </c>
      <c r="C187" s="34" t="s">
        <v>2806</v>
      </c>
      <c r="D187" s="42" t="n">
        <v>4</v>
      </c>
      <c r="E187" s="34" t="s">
        <v>2782</v>
      </c>
      <c r="F187" s="35" t="s">
        <v>2775</v>
      </c>
      <c r="G187" s="63" t="n">
        <v>84</v>
      </c>
      <c r="H187" s="35" t="s">
        <v>2766</v>
      </c>
      <c r="I187" s="63" t="n">
        <v>87</v>
      </c>
      <c r="J187" s="35" t="s">
        <v>2770</v>
      </c>
      <c r="K187" s="63" t="n">
        <v>53</v>
      </c>
      <c r="L187" s="63" t="n">
        <f aca="false">G187+I187+K187</f>
        <v>224</v>
      </c>
      <c r="M187" s="64" t="n">
        <f aca="false">L187/300*100</f>
        <v>74.6666666666667</v>
      </c>
      <c r="N187" s="34" t="str">
        <f aca="false">IF(M187&gt;=90,"A+",IF(M187&gt;=80,"A",IF(M187&gt;=70,"B+",IF(M187&gt;=60,"B",IF(M187&gt;=50,"C","F")))))</f>
        <v>B+</v>
      </c>
      <c r="O187" s="65" t="n">
        <f aca="false">IF(M187&gt;=90,4,IF(M187&gt;=80,3.7,IF(M187&gt;=70,3.3,IF(M187&gt;=60,3,IF(M187&gt;=50,2,0)))))</f>
        <v>3.3</v>
      </c>
      <c r="P187" s="38" t="n">
        <v>0.687</v>
      </c>
      <c r="Q187" s="66" t="n">
        <v>53.2</v>
      </c>
      <c r="R187" s="66" t="n">
        <v>82.5</v>
      </c>
      <c r="S187" s="34" t="str">
        <f aca="false">IF(M187&gt;=40,"Pass","Fail")</f>
        <v>Pass</v>
      </c>
      <c r="T187" s="34" t="str">
        <f aca="false">IF(M187&gt;=80,"Yes","No")</f>
        <v>No</v>
      </c>
    </row>
    <row r="188" customFormat="false" ht="15" hidden="false" customHeight="false" outlineLevel="0" collapsed="false">
      <c r="A188" s="43" t="s">
        <v>3147</v>
      </c>
      <c r="B188" s="44" t="s">
        <v>3148</v>
      </c>
      <c r="C188" s="43" t="s">
        <v>2806</v>
      </c>
      <c r="D188" s="51" t="n">
        <v>2</v>
      </c>
      <c r="E188" s="43" t="s">
        <v>2774</v>
      </c>
      <c r="F188" s="44" t="s">
        <v>2765</v>
      </c>
      <c r="G188" s="67" t="n">
        <v>57</v>
      </c>
      <c r="H188" s="44" t="s">
        <v>2775</v>
      </c>
      <c r="I188" s="67" t="n">
        <v>25</v>
      </c>
      <c r="J188" s="44" t="s">
        <v>2764</v>
      </c>
      <c r="K188" s="67" t="n">
        <v>38</v>
      </c>
      <c r="L188" s="67" t="n">
        <f aca="false">G188+I188+K188</f>
        <v>120</v>
      </c>
      <c r="M188" s="68" t="n">
        <f aca="false">L188/300*100</f>
        <v>40</v>
      </c>
      <c r="N188" s="43" t="str">
        <f aca="false">IF(M188&gt;=90,"A+",IF(M188&gt;=80,"A",IF(M188&gt;=70,"B+",IF(M188&gt;=60,"B",IF(M188&gt;=50,"C","F")))))</f>
        <v>F</v>
      </c>
      <c r="O188" s="69" t="n">
        <f aca="false">IF(M188&gt;=90,4,IF(M188&gt;=80,3.7,IF(M188&gt;=70,3.3,IF(M188&gt;=60,3,IF(M188&gt;=50,2,0)))))</f>
        <v>0</v>
      </c>
      <c r="P188" s="47" t="n">
        <v>0.974</v>
      </c>
      <c r="Q188" s="70" t="n">
        <v>56.7</v>
      </c>
      <c r="R188" s="70" t="n">
        <v>48</v>
      </c>
      <c r="S188" s="43" t="str">
        <f aca="false">IF(M188&gt;=40,"Pass","Fail")</f>
        <v>Pass</v>
      </c>
      <c r="T188" s="43" t="str">
        <f aca="false">IF(M188&gt;=80,"Yes","No")</f>
        <v>No</v>
      </c>
    </row>
    <row r="189" customFormat="false" ht="15" hidden="false" customHeight="false" outlineLevel="0" collapsed="false">
      <c r="A189" s="34" t="s">
        <v>3149</v>
      </c>
      <c r="B189" s="35" t="s">
        <v>3150</v>
      </c>
      <c r="C189" s="34" t="s">
        <v>2786</v>
      </c>
      <c r="D189" s="42" t="n">
        <v>1</v>
      </c>
      <c r="E189" s="34" t="s">
        <v>2782</v>
      </c>
      <c r="F189" s="35" t="s">
        <v>2765</v>
      </c>
      <c r="G189" s="63" t="n">
        <v>20</v>
      </c>
      <c r="H189" s="35" t="s">
        <v>2764</v>
      </c>
      <c r="I189" s="63" t="n">
        <v>64</v>
      </c>
      <c r="J189" s="35" t="s">
        <v>2792</v>
      </c>
      <c r="K189" s="63" t="n">
        <v>100</v>
      </c>
      <c r="L189" s="63" t="n">
        <f aca="false">G189+I189+K189</f>
        <v>184</v>
      </c>
      <c r="M189" s="64" t="n">
        <f aca="false">L189/300*100</f>
        <v>61.3333333333333</v>
      </c>
      <c r="N189" s="34" t="str">
        <f aca="false">IF(M189&gt;=90,"A+",IF(M189&gt;=80,"A",IF(M189&gt;=70,"B+",IF(M189&gt;=60,"B",IF(M189&gt;=50,"C","F")))))</f>
        <v>B</v>
      </c>
      <c r="O189" s="65" t="n">
        <f aca="false">IF(M189&gt;=90,4,IF(M189&gt;=80,3.7,IF(M189&gt;=70,3.3,IF(M189&gt;=60,3,IF(M189&gt;=50,2,0)))))</f>
        <v>3</v>
      </c>
      <c r="P189" s="38" t="n">
        <v>0.822</v>
      </c>
      <c r="Q189" s="66" t="n">
        <v>62.1</v>
      </c>
      <c r="R189" s="66" t="n">
        <v>45</v>
      </c>
      <c r="S189" s="34" t="str">
        <f aca="false">IF(M189&gt;=40,"Pass","Fail")</f>
        <v>Pass</v>
      </c>
      <c r="T189" s="34" t="str">
        <f aca="false">IF(M189&gt;=80,"Yes","No")</f>
        <v>No</v>
      </c>
    </row>
    <row r="190" customFormat="false" ht="15" hidden="false" customHeight="false" outlineLevel="0" collapsed="false">
      <c r="A190" s="43" t="s">
        <v>3151</v>
      </c>
      <c r="B190" s="44" t="s">
        <v>3152</v>
      </c>
      <c r="C190" s="43" t="s">
        <v>2769</v>
      </c>
      <c r="D190" s="51" t="n">
        <v>5</v>
      </c>
      <c r="E190" s="43" t="s">
        <v>2782</v>
      </c>
      <c r="F190" s="44" t="s">
        <v>2783</v>
      </c>
      <c r="G190" s="67" t="n">
        <v>61</v>
      </c>
      <c r="H190" s="44" t="s">
        <v>2791</v>
      </c>
      <c r="I190" s="67" t="n">
        <v>27</v>
      </c>
      <c r="J190" s="44" t="s">
        <v>2771</v>
      </c>
      <c r="K190" s="67" t="n">
        <v>100</v>
      </c>
      <c r="L190" s="67" t="n">
        <f aca="false">G190+I190+K190</f>
        <v>188</v>
      </c>
      <c r="M190" s="68" t="n">
        <f aca="false">L190/300*100</f>
        <v>62.6666666666667</v>
      </c>
      <c r="N190" s="43" t="str">
        <f aca="false">IF(M190&gt;=90,"A+",IF(M190&gt;=80,"A",IF(M190&gt;=70,"B+",IF(M190&gt;=60,"B",IF(M190&gt;=50,"C","F")))))</f>
        <v>B</v>
      </c>
      <c r="O190" s="69" t="n">
        <f aca="false">IF(M190&gt;=90,4,IF(M190&gt;=80,3.7,IF(M190&gt;=70,3.3,IF(M190&gt;=60,3,IF(M190&gt;=50,2,0)))))</f>
        <v>3</v>
      </c>
      <c r="P190" s="47" t="n">
        <v>0.917</v>
      </c>
      <c r="Q190" s="70" t="n">
        <v>89.4</v>
      </c>
      <c r="R190" s="70" t="n">
        <v>53.2</v>
      </c>
      <c r="S190" s="43" t="str">
        <f aca="false">IF(M190&gt;=40,"Pass","Fail")</f>
        <v>Pass</v>
      </c>
      <c r="T190" s="43" t="str">
        <f aca="false">IF(M190&gt;=80,"Yes","No")</f>
        <v>No</v>
      </c>
    </row>
    <row r="191" customFormat="false" ht="15" hidden="false" customHeight="false" outlineLevel="0" collapsed="false">
      <c r="A191" s="34" t="s">
        <v>3153</v>
      </c>
      <c r="B191" s="35" t="s">
        <v>3154</v>
      </c>
      <c r="C191" s="34" t="s">
        <v>2803</v>
      </c>
      <c r="D191" s="42" t="n">
        <v>3</v>
      </c>
      <c r="E191" s="34" t="s">
        <v>2763</v>
      </c>
      <c r="F191" s="35" t="s">
        <v>2775</v>
      </c>
      <c r="G191" s="63" t="n">
        <v>68</v>
      </c>
      <c r="H191" s="35" t="s">
        <v>2766</v>
      </c>
      <c r="I191" s="63" t="n">
        <v>52</v>
      </c>
      <c r="J191" s="35" t="s">
        <v>2792</v>
      </c>
      <c r="K191" s="63" t="n">
        <v>100</v>
      </c>
      <c r="L191" s="63" t="n">
        <f aca="false">G191+I191+K191</f>
        <v>220</v>
      </c>
      <c r="M191" s="64" t="n">
        <f aca="false">L191/300*100</f>
        <v>73.3333333333333</v>
      </c>
      <c r="N191" s="34" t="str">
        <f aca="false">IF(M191&gt;=90,"A+",IF(M191&gt;=80,"A",IF(M191&gt;=70,"B+",IF(M191&gt;=60,"B",IF(M191&gt;=50,"C","F")))))</f>
        <v>B+</v>
      </c>
      <c r="O191" s="65" t="n">
        <f aca="false">IF(M191&gt;=90,4,IF(M191&gt;=80,3.7,IF(M191&gt;=70,3.3,IF(M191&gt;=60,3,IF(M191&gt;=50,2,0)))))</f>
        <v>3.3</v>
      </c>
      <c r="P191" s="38" t="n">
        <v>0.835</v>
      </c>
      <c r="Q191" s="66" t="n">
        <v>73.1</v>
      </c>
      <c r="R191" s="66" t="n">
        <v>89</v>
      </c>
      <c r="S191" s="34" t="str">
        <f aca="false">IF(M191&gt;=40,"Pass","Fail")</f>
        <v>Pass</v>
      </c>
      <c r="T191" s="34" t="str">
        <f aca="false">IF(M191&gt;=80,"Yes","No")</f>
        <v>No</v>
      </c>
    </row>
    <row r="192" customFormat="false" ht="15" hidden="false" customHeight="false" outlineLevel="0" collapsed="false">
      <c r="A192" s="43" t="s">
        <v>3155</v>
      </c>
      <c r="B192" s="44" t="s">
        <v>3156</v>
      </c>
      <c r="C192" s="43" t="s">
        <v>2781</v>
      </c>
      <c r="D192" s="51" t="n">
        <v>6</v>
      </c>
      <c r="E192" s="43" t="s">
        <v>2763</v>
      </c>
      <c r="F192" s="44" t="s">
        <v>2765</v>
      </c>
      <c r="G192" s="67" t="n">
        <v>77</v>
      </c>
      <c r="H192" s="44" t="s">
        <v>2791</v>
      </c>
      <c r="I192" s="67" t="n">
        <v>49</v>
      </c>
      <c r="J192" s="44" t="s">
        <v>2783</v>
      </c>
      <c r="K192" s="67" t="n">
        <v>75</v>
      </c>
      <c r="L192" s="67" t="n">
        <f aca="false">G192+I192+K192</f>
        <v>201</v>
      </c>
      <c r="M192" s="68" t="n">
        <f aca="false">L192/300*100</f>
        <v>67</v>
      </c>
      <c r="N192" s="43" t="str">
        <f aca="false">IF(M192&gt;=90,"A+",IF(M192&gt;=80,"A",IF(M192&gt;=70,"B+",IF(M192&gt;=60,"B",IF(M192&gt;=50,"C","F")))))</f>
        <v>B</v>
      </c>
      <c r="O192" s="69" t="n">
        <f aca="false">IF(M192&gt;=90,4,IF(M192&gt;=80,3.7,IF(M192&gt;=70,3.3,IF(M192&gt;=60,3,IF(M192&gt;=50,2,0)))))</f>
        <v>3</v>
      </c>
      <c r="P192" s="47" t="n">
        <v>0.716</v>
      </c>
      <c r="Q192" s="70" t="n">
        <v>94.1</v>
      </c>
      <c r="R192" s="70" t="n">
        <v>45.6</v>
      </c>
      <c r="S192" s="43" t="str">
        <f aca="false">IF(M192&gt;=40,"Pass","Fail")</f>
        <v>Pass</v>
      </c>
      <c r="T192" s="43" t="str">
        <f aca="false">IF(M192&gt;=80,"Yes","No")</f>
        <v>No</v>
      </c>
    </row>
    <row r="193" customFormat="false" ht="15" hidden="false" customHeight="false" outlineLevel="0" collapsed="false">
      <c r="A193" s="34" t="s">
        <v>3157</v>
      </c>
      <c r="B193" s="35" t="s">
        <v>3158</v>
      </c>
      <c r="C193" s="34" t="s">
        <v>2781</v>
      </c>
      <c r="D193" s="42" t="n">
        <v>8</v>
      </c>
      <c r="E193" s="34" t="s">
        <v>2774</v>
      </c>
      <c r="F193" s="35" t="s">
        <v>2783</v>
      </c>
      <c r="G193" s="63" t="n">
        <v>43</v>
      </c>
      <c r="H193" s="35" t="s">
        <v>2765</v>
      </c>
      <c r="I193" s="63" t="n">
        <v>56</v>
      </c>
      <c r="J193" s="35" t="s">
        <v>2770</v>
      </c>
      <c r="K193" s="63" t="n">
        <v>22</v>
      </c>
      <c r="L193" s="63" t="n">
        <f aca="false">G193+I193+K193</f>
        <v>121</v>
      </c>
      <c r="M193" s="64" t="n">
        <f aca="false">L193/300*100</f>
        <v>40.3333333333333</v>
      </c>
      <c r="N193" s="34" t="str">
        <f aca="false">IF(M193&gt;=90,"A+",IF(M193&gt;=80,"A",IF(M193&gt;=70,"B+",IF(M193&gt;=60,"B",IF(M193&gt;=50,"C","F")))))</f>
        <v>F</v>
      </c>
      <c r="O193" s="65" t="n">
        <f aca="false">IF(M193&gt;=90,4,IF(M193&gt;=80,3.7,IF(M193&gt;=70,3.3,IF(M193&gt;=60,3,IF(M193&gt;=50,2,0)))))</f>
        <v>0</v>
      </c>
      <c r="P193" s="38" t="n">
        <v>0.69</v>
      </c>
      <c r="Q193" s="66" t="n">
        <v>93.1</v>
      </c>
      <c r="R193" s="66" t="n">
        <v>89</v>
      </c>
      <c r="S193" s="34" t="str">
        <f aca="false">IF(M193&gt;=40,"Pass","Fail")</f>
        <v>Pass</v>
      </c>
      <c r="T193" s="34" t="str">
        <f aca="false">IF(M193&gt;=80,"Yes","No")</f>
        <v>No</v>
      </c>
    </row>
    <row r="194" customFormat="false" ht="15" hidden="false" customHeight="false" outlineLevel="0" collapsed="false">
      <c r="A194" s="43" t="s">
        <v>3159</v>
      </c>
      <c r="B194" s="44" t="s">
        <v>3160</v>
      </c>
      <c r="C194" s="43" t="s">
        <v>2769</v>
      </c>
      <c r="D194" s="51" t="n">
        <v>4</v>
      </c>
      <c r="E194" s="43" t="s">
        <v>2774</v>
      </c>
      <c r="F194" s="44" t="s">
        <v>2783</v>
      </c>
      <c r="G194" s="67" t="n">
        <v>51</v>
      </c>
      <c r="H194" s="44" t="s">
        <v>2792</v>
      </c>
      <c r="I194" s="67" t="n">
        <v>78</v>
      </c>
      <c r="J194" s="44" t="s">
        <v>2791</v>
      </c>
      <c r="K194" s="67" t="n">
        <v>71</v>
      </c>
      <c r="L194" s="67" t="n">
        <f aca="false">G194+I194+K194</f>
        <v>200</v>
      </c>
      <c r="M194" s="68" t="n">
        <f aca="false">L194/300*100</f>
        <v>66.6666666666667</v>
      </c>
      <c r="N194" s="43" t="str">
        <f aca="false">IF(M194&gt;=90,"A+",IF(M194&gt;=80,"A",IF(M194&gt;=70,"B+",IF(M194&gt;=60,"B",IF(M194&gt;=50,"C","F")))))</f>
        <v>B</v>
      </c>
      <c r="O194" s="69" t="n">
        <f aca="false">IF(M194&gt;=90,4,IF(M194&gt;=80,3.7,IF(M194&gt;=70,3.3,IF(M194&gt;=60,3,IF(M194&gt;=50,2,0)))))</f>
        <v>3</v>
      </c>
      <c r="P194" s="47" t="n">
        <v>0.595</v>
      </c>
      <c r="Q194" s="70" t="n">
        <v>71.6</v>
      </c>
      <c r="R194" s="70" t="n">
        <v>83.6</v>
      </c>
      <c r="S194" s="43" t="str">
        <f aca="false">IF(M194&gt;=40,"Pass","Fail")</f>
        <v>Pass</v>
      </c>
      <c r="T194" s="43" t="str">
        <f aca="false">IF(M194&gt;=80,"Yes","No")</f>
        <v>No</v>
      </c>
    </row>
    <row r="195" customFormat="false" ht="15" hidden="false" customHeight="false" outlineLevel="0" collapsed="false">
      <c r="A195" s="34" t="s">
        <v>3161</v>
      </c>
      <c r="B195" s="35" t="s">
        <v>3162</v>
      </c>
      <c r="C195" s="34" t="s">
        <v>2786</v>
      </c>
      <c r="D195" s="42" t="n">
        <v>1</v>
      </c>
      <c r="E195" s="34" t="s">
        <v>2782</v>
      </c>
      <c r="F195" s="35" t="s">
        <v>2792</v>
      </c>
      <c r="G195" s="63" t="n">
        <v>22</v>
      </c>
      <c r="H195" s="35" t="s">
        <v>2791</v>
      </c>
      <c r="I195" s="63" t="n">
        <v>34</v>
      </c>
      <c r="J195" s="35" t="s">
        <v>2766</v>
      </c>
      <c r="K195" s="63" t="n">
        <v>21</v>
      </c>
      <c r="L195" s="63" t="n">
        <f aca="false">G195+I195+K195</f>
        <v>77</v>
      </c>
      <c r="M195" s="64" t="n">
        <f aca="false">L195/300*100</f>
        <v>25.6666666666667</v>
      </c>
      <c r="N195" s="34" t="str">
        <f aca="false">IF(M195&gt;=90,"A+",IF(M195&gt;=80,"A",IF(M195&gt;=70,"B+",IF(M195&gt;=60,"B",IF(M195&gt;=50,"C","F")))))</f>
        <v>F</v>
      </c>
      <c r="O195" s="65" t="n">
        <f aca="false">IF(M195&gt;=90,4,IF(M195&gt;=80,3.7,IF(M195&gt;=70,3.3,IF(M195&gt;=60,3,IF(M195&gt;=50,2,0)))))</f>
        <v>0</v>
      </c>
      <c r="P195" s="38" t="n">
        <v>0.894</v>
      </c>
      <c r="Q195" s="66" t="n">
        <v>78.7</v>
      </c>
      <c r="R195" s="66" t="n">
        <v>42.6</v>
      </c>
      <c r="S195" s="34" t="str">
        <f aca="false">IF(M195&gt;=40,"Pass","Fail")</f>
        <v>Fail</v>
      </c>
      <c r="T195" s="34" t="str">
        <f aca="false">IF(M195&gt;=80,"Yes","No")</f>
        <v>No</v>
      </c>
    </row>
    <row r="196" customFormat="false" ht="15" hidden="false" customHeight="false" outlineLevel="0" collapsed="false">
      <c r="A196" s="43" t="s">
        <v>3163</v>
      </c>
      <c r="B196" s="44" t="s">
        <v>3164</v>
      </c>
      <c r="C196" s="43" t="s">
        <v>2781</v>
      </c>
      <c r="D196" s="51" t="n">
        <v>2</v>
      </c>
      <c r="E196" s="43" t="s">
        <v>2763</v>
      </c>
      <c r="F196" s="44" t="s">
        <v>2783</v>
      </c>
      <c r="G196" s="67" t="n">
        <v>33</v>
      </c>
      <c r="H196" s="44" t="s">
        <v>2775</v>
      </c>
      <c r="I196" s="67" t="n">
        <v>89</v>
      </c>
      <c r="J196" s="44" t="s">
        <v>2766</v>
      </c>
      <c r="K196" s="67" t="n">
        <v>63</v>
      </c>
      <c r="L196" s="67" t="n">
        <f aca="false">G196+I196+K196</f>
        <v>185</v>
      </c>
      <c r="M196" s="68" t="n">
        <f aca="false">L196/300*100</f>
        <v>61.6666666666667</v>
      </c>
      <c r="N196" s="43" t="str">
        <f aca="false">IF(M196&gt;=90,"A+",IF(M196&gt;=80,"A",IF(M196&gt;=70,"B+",IF(M196&gt;=60,"B",IF(M196&gt;=50,"C","F")))))</f>
        <v>B</v>
      </c>
      <c r="O196" s="69" t="n">
        <f aca="false">IF(M196&gt;=90,4,IF(M196&gt;=80,3.7,IF(M196&gt;=70,3.3,IF(M196&gt;=60,3,IF(M196&gt;=50,2,0)))))</f>
        <v>3</v>
      </c>
      <c r="P196" s="47" t="n">
        <v>0.934</v>
      </c>
      <c r="Q196" s="70" t="n">
        <v>45.1</v>
      </c>
      <c r="R196" s="70" t="n">
        <v>48.4</v>
      </c>
      <c r="S196" s="43" t="str">
        <f aca="false">IF(M196&gt;=40,"Pass","Fail")</f>
        <v>Pass</v>
      </c>
      <c r="T196" s="43" t="str">
        <f aca="false">IF(M196&gt;=80,"Yes","No")</f>
        <v>No</v>
      </c>
    </row>
    <row r="197" customFormat="false" ht="15" hidden="false" customHeight="false" outlineLevel="0" collapsed="false">
      <c r="A197" s="34" t="s">
        <v>3165</v>
      </c>
      <c r="B197" s="35" t="s">
        <v>3166</v>
      </c>
      <c r="C197" s="34" t="s">
        <v>2786</v>
      </c>
      <c r="D197" s="42" t="n">
        <v>8</v>
      </c>
      <c r="E197" s="34" t="s">
        <v>2774</v>
      </c>
      <c r="F197" s="35" t="s">
        <v>2771</v>
      </c>
      <c r="G197" s="63" t="n">
        <v>39</v>
      </c>
      <c r="H197" s="35" t="s">
        <v>2778</v>
      </c>
      <c r="I197" s="63" t="n">
        <v>51</v>
      </c>
      <c r="J197" s="35" t="s">
        <v>2770</v>
      </c>
      <c r="K197" s="63" t="n">
        <v>27</v>
      </c>
      <c r="L197" s="63" t="n">
        <f aca="false">G197+I197+K197</f>
        <v>117</v>
      </c>
      <c r="M197" s="64" t="n">
        <f aca="false">L197/300*100</f>
        <v>39</v>
      </c>
      <c r="N197" s="34" t="str">
        <f aca="false">IF(M197&gt;=90,"A+",IF(M197&gt;=80,"A",IF(M197&gt;=70,"B+",IF(M197&gt;=60,"B",IF(M197&gt;=50,"C","F")))))</f>
        <v>F</v>
      </c>
      <c r="O197" s="65" t="n">
        <f aca="false">IF(M197&gt;=90,4,IF(M197&gt;=80,3.7,IF(M197&gt;=70,3.3,IF(M197&gt;=60,3,IF(M197&gt;=50,2,0)))))</f>
        <v>0</v>
      </c>
      <c r="P197" s="38" t="n">
        <v>0.795</v>
      </c>
      <c r="Q197" s="66" t="n">
        <v>56</v>
      </c>
      <c r="R197" s="66" t="n">
        <v>72.6</v>
      </c>
      <c r="S197" s="34" t="str">
        <f aca="false">IF(M197&gt;=40,"Pass","Fail")</f>
        <v>Fail</v>
      </c>
      <c r="T197" s="34" t="str">
        <f aca="false">IF(M197&gt;=80,"Yes","No")</f>
        <v>No</v>
      </c>
    </row>
    <row r="198" customFormat="false" ht="15" hidden="false" customHeight="false" outlineLevel="0" collapsed="false">
      <c r="A198" s="43" t="s">
        <v>3167</v>
      </c>
      <c r="B198" s="44" t="s">
        <v>3168</v>
      </c>
      <c r="C198" s="43" t="s">
        <v>2851</v>
      </c>
      <c r="D198" s="51" t="n">
        <v>1</v>
      </c>
      <c r="E198" s="43" t="s">
        <v>2774</v>
      </c>
      <c r="F198" s="44" t="s">
        <v>2766</v>
      </c>
      <c r="G198" s="67" t="n">
        <v>85</v>
      </c>
      <c r="H198" s="44" t="s">
        <v>2771</v>
      </c>
      <c r="I198" s="67" t="n">
        <v>73</v>
      </c>
      <c r="J198" s="44" t="s">
        <v>2792</v>
      </c>
      <c r="K198" s="67" t="n">
        <v>38</v>
      </c>
      <c r="L198" s="67" t="n">
        <f aca="false">G198+I198+K198</f>
        <v>196</v>
      </c>
      <c r="M198" s="68" t="n">
        <f aca="false">L198/300*100</f>
        <v>65.3333333333333</v>
      </c>
      <c r="N198" s="43" t="str">
        <f aca="false">IF(M198&gt;=90,"A+",IF(M198&gt;=80,"A",IF(M198&gt;=70,"B+",IF(M198&gt;=60,"B",IF(M198&gt;=50,"C","F")))))</f>
        <v>B</v>
      </c>
      <c r="O198" s="69" t="n">
        <f aca="false">IF(M198&gt;=90,4,IF(M198&gt;=80,3.7,IF(M198&gt;=70,3.3,IF(M198&gt;=60,3,IF(M198&gt;=50,2,0)))))</f>
        <v>3</v>
      </c>
      <c r="P198" s="47" t="n">
        <v>0.551</v>
      </c>
      <c r="Q198" s="70" t="n">
        <v>53.5</v>
      </c>
      <c r="R198" s="70" t="n">
        <v>53.6</v>
      </c>
      <c r="S198" s="43" t="str">
        <f aca="false">IF(M198&gt;=40,"Pass","Fail")</f>
        <v>Pass</v>
      </c>
      <c r="T198" s="43" t="str">
        <f aca="false">IF(M198&gt;=80,"Yes","No")</f>
        <v>No</v>
      </c>
    </row>
    <row r="199" customFormat="false" ht="15" hidden="false" customHeight="false" outlineLevel="0" collapsed="false">
      <c r="A199" s="34" t="s">
        <v>3169</v>
      </c>
      <c r="B199" s="35" t="s">
        <v>3170</v>
      </c>
      <c r="C199" s="34" t="s">
        <v>2762</v>
      </c>
      <c r="D199" s="42" t="n">
        <v>3</v>
      </c>
      <c r="E199" s="34" t="s">
        <v>2763</v>
      </c>
      <c r="F199" s="35" t="s">
        <v>2771</v>
      </c>
      <c r="G199" s="63" t="n">
        <v>34</v>
      </c>
      <c r="H199" s="35" t="s">
        <v>2765</v>
      </c>
      <c r="I199" s="63" t="n">
        <v>82</v>
      </c>
      <c r="J199" s="35" t="s">
        <v>2791</v>
      </c>
      <c r="K199" s="63" t="n">
        <v>41</v>
      </c>
      <c r="L199" s="63" t="n">
        <f aca="false">G199+I199+K199</f>
        <v>157</v>
      </c>
      <c r="M199" s="64" t="n">
        <f aca="false">L199/300*100</f>
        <v>52.3333333333333</v>
      </c>
      <c r="N199" s="34" t="str">
        <f aca="false">IF(M199&gt;=90,"A+",IF(M199&gt;=80,"A",IF(M199&gt;=70,"B+",IF(M199&gt;=60,"B",IF(M199&gt;=50,"C","F")))))</f>
        <v>C</v>
      </c>
      <c r="O199" s="65" t="n">
        <f aca="false">IF(M199&gt;=90,4,IF(M199&gt;=80,3.7,IF(M199&gt;=70,3.3,IF(M199&gt;=60,3,IF(M199&gt;=50,2,0)))))</f>
        <v>2</v>
      </c>
      <c r="P199" s="38" t="n">
        <v>0.996</v>
      </c>
      <c r="Q199" s="66" t="n">
        <v>53.5</v>
      </c>
      <c r="R199" s="66" t="n">
        <v>97.4</v>
      </c>
      <c r="S199" s="34" t="str">
        <f aca="false">IF(M199&gt;=40,"Pass","Fail")</f>
        <v>Pass</v>
      </c>
      <c r="T199" s="34" t="str">
        <f aca="false">IF(M199&gt;=80,"Yes","No")</f>
        <v>No</v>
      </c>
    </row>
    <row r="200" customFormat="false" ht="15" hidden="false" customHeight="false" outlineLevel="0" collapsed="false">
      <c r="A200" s="43" t="s">
        <v>3171</v>
      </c>
      <c r="B200" s="44" t="s">
        <v>2223</v>
      </c>
      <c r="C200" s="43" t="s">
        <v>2803</v>
      </c>
      <c r="D200" s="51" t="n">
        <v>6</v>
      </c>
      <c r="E200" s="43" t="s">
        <v>2774</v>
      </c>
      <c r="F200" s="44" t="s">
        <v>2764</v>
      </c>
      <c r="G200" s="67" t="n">
        <v>66</v>
      </c>
      <c r="H200" s="44" t="s">
        <v>2778</v>
      </c>
      <c r="I200" s="67" t="n">
        <v>30</v>
      </c>
      <c r="J200" s="44" t="s">
        <v>2792</v>
      </c>
      <c r="K200" s="67" t="n">
        <v>25</v>
      </c>
      <c r="L200" s="67" t="n">
        <f aca="false">G200+I200+K200</f>
        <v>121</v>
      </c>
      <c r="M200" s="68" t="n">
        <f aca="false">L200/300*100</f>
        <v>40.3333333333333</v>
      </c>
      <c r="N200" s="43" t="str">
        <f aca="false">IF(M200&gt;=90,"A+",IF(M200&gt;=80,"A",IF(M200&gt;=70,"B+",IF(M200&gt;=60,"B",IF(M200&gt;=50,"C","F")))))</f>
        <v>F</v>
      </c>
      <c r="O200" s="69" t="n">
        <f aca="false">IF(M200&gt;=90,4,IF(M200&gt;=80,3.7,IF(M200&gt;=70,3.3,IF(M200&gt;=60,3,IF(M200&gt;=50,2,0)))))</f>
        <v>0</v>
      </c>
      <c r="P200" s="47" t="n">
        <v>0.822</v>
      </c>
      <c r="Q200" s="70" t="n">
        <v>50.7</v>
      </c>
      <c r="R200" s="70" t="n">
        <v>71.8</v>
      </c>
      <c r="S200" s="43" t="str">
        <f aca="false">IF(M200&gt;=40,"Pass","Fail")</f>
        <v>Pass</v>
      </c>
      <c r="T200" s="43" t="str">
        <f aca="false">IF(M200&gt;=80,"Yes","No")</f>
        <v>No</v>
      </c>
    </row>
    <row r="201" customFormat="false" ht="15" hidden="false" customHeight="false" outlineLevel="0" collapsed="false">
      <c r="A201" s="34" t="s">
        <v>3172</v>
      </c>
      <c r="B201" s="35" t="s">
        <v>3173</v>
      </c>
      <c r="C201" s="34" t="s">
        <v>2806</v>
      </c>
      <c r="D201" s="42" t="n">
        <v>3</v>
      </c>
      <c r="E201" s="34" t="s">
        <v>2782</v>
      </c>
      <c r="F201" s="35" t="s">
        <v>2791</v>
      </c>
      <c r="G201" s="63" t="n">
        <v>99</v>
      </c>
      <c r="H201" s="35" t="s">
        <v>2783</v>
      </c>
      <c r="I201" s="63" t="n">
        <v>56</v>
      </c>
      <c r="J201" s="35" t="s">
        <v>2771</v>
      </c>
      <c r="K201" s="63" t="n">
        <v>64</v>
      </c>
      <c r="L201" s="63" t="n">
        <f aca="false">G201+I201+K201</f>
        <v>219</v>
      </c>
      <c r="M201" s="64" t="n">
        <f aca="false">L201/300*100</f>
        <v>73</v>
      </c>
      <c r="N201" s="34" t="str">
        <f aca="false">IF(M201&gt;=90,"A+",IF(M201&gt;=80,"A",IF(M201&gt;=70,"B+",IF(M201&gt;=60,"B",IF(M201&gt;=50,"C","F")))))</f>
        <v>B+</v>
      </c>
      <c r="O201" s="65" t="n">
        <f aca="false">IF(M201&gt;=90,4,IF(M201&gt;=80,3.7,IF(M201&gt;=70,3.3,IF(M201&gt;=60,3,IF(M201&gt;=50,2,0)))))</f>
        <v>3.3</v>
      </c>
      <c r="P201" s="38" t="n">
        <v>0.944</v>
      </c>
      <c r="Q201" s="66" t="n">
        <v>56.3</v>
      </c>
      <c r="R201" s="66" t="n">
        <v>70</v>
      </c>
      <c r="S201" s="34" t="str">
        <f aca="false">IF(M201&gt;=40,"Pass","Fail")</f>
        <v>Pass</v>
      </c>
      <c r="T201" s="34" t="str">
        <f aca="false">IF(M201&gt;=80,"Yes","No")</f>
        <v>No</v>
      </c>
    </row>
    <row r="202" customFormat="false" ht="15" hidden="false" customHeight="false" outlineLevel="0" collapsed="false">
      <c r="A202" s="43" t="s">
        <v>3174</v>
      </c>
      <c r="B202" s="44" t="s">
        <v>3175</v>
      </c>
      <c r="C202" s="43" t="s">
        <v>2803</v>
      </c>
      <c r="D202" s="51" t="n">
        <v>5</v>
      </c>
      <c r="E202" s="43" t="s">
        <v>2782</v>
      </c>
      <c r="F202" s="44" t="s">
        <v>2792</v>
      </c>
      <c r="G202" s="67" t="n">
        <v>38</v>
      </c>
      <c r="H202" s="44" t="s">
        <v>2775</v>
      </c>
      <c r="I202" s="67" t="n">
        <v>60</v>
      </c>
      <c r="J202" s="44" t="s">
        <v>2783</v>
      </c>
      <c r="K202" s="67" t="n">
        <v>38</v>
      </c>
      <c r="L202" s="67" t="n">
        <f aca="false">G202+I202+K202</f>
        <v>136</v>
      </c>
      <c r="M202" s="68" t="n">
        <f aca="false">L202/300*100</f>
        <v>45.3333333333333</v>
      </c>
      <c r="N202" s="43" t="str">
        <f aca="false">IF(M202&gt;=90,"A+",IF(M202&gt;=80,"A",IF(M202&gt;=70,"B+",IF(M202&gt;=60,"B",IF(M202&gt;=50,"C","F")))))</f>
        <v>F</v>
      </c>
      <c r="O202" s="69" t="n">
        <f aca="false">IF(M202&gt;=90,4,IF(M202&gt;=80,3.7,IF(M202&gt;=70,3.3,IF(M202&gt;=60,3,IF(M202&gt;=50,2,0)))))</f>
        <v>0</v>
      </c>
      <c r="P202" s="47" t="n">
        <v>0.726</v>
      </c>
      <c r="Q202" s="70" t="n">
        <v>83.3</v>
      </c>
      <c r="R202" s="70" t="n">
        <v>87.1</v>
      </c>
      <c r="S202" s="43" t="str">
        <f aca="false">IF(M202&gt;=40,"Pass","Fail")</f>
        <v>Pass</v>
      </c>
      <c r="T202" s="43" t="str">
        <f aca="false">IF(M202&gt;=80,"Yes","No")</f>
        <v>No</v>
      </c>
    </row>
    <row r="203" customFormat="false" ht="15" hidden="false" customHeight="false" outlineLevel="0" collapsed="false">
      <c r="A203" s="34" t="s">
        <v>3176</v>
      </c>
      <c r="B203" s="35" t="s">
        <v>3177</v>
      </c>
      <c r="C203" s="34" t="s">
        <v>2762</v>
      </c>
      <c r="D203" s="42" t="n">
        <v>2</v>
      </c>
      <c r="E203" s="34" t="s">
        <v>2774</v>
      </c>
      <c r="F203" s="35" t="s">
        <v>2764</v>
      </c>
      <c r="G203" s="63" t="n">
        <v>38</v>
      </c>
      <c r="H203" s="35" t="s">
        <v>2791</v>
      </c>
      <c r="I203" s="63" t="n">
        <v>31</v>
      </c>
      <c r="J203" s="35" t="s">
        <v>2771</v>
      </c>
      <c r="K203" s="63" t="n">
        <v>61</v>
      </c>
      <c r="L203" s="63" t="n">
        <f aca="false">G203+I203+K203</f>
        <v>130</v>
      </c>
      <c r="M203" s="64" t="n">
        <f aca="false">L203/300*100</f>
        <v>43.3333333333333</v>
      </c>
      <c r="N203" s="34" t="str">
        <f aca="false">IF(M203&gt;=90,"A+",IF(M203&gt;=80,"A",IF(M203&gt;=70,"B+",IF(M203&gt;=60,"B",IF(M203&gt;=50,"C","F")))))</f>
        <v>F</v>
      </c>
      <c r="O203" s="65" t="n">
        <f aca="false">IF(M203&gt;=90,4,IF(M203&gt;=80,3.7,IF(M203&gt;=70,3.3,IF(M203&gt;=60,3,IF(M203&gt;=50,2,0)))))</f>
        <v>0</v>
      </c>
      <c r="P203" s="38" t="n">
        <v>0.998</v>
      </c>
      <c r="Q203" s="66" t="n">
        <v>50.9</v>
      </c>
      <c r="R203" s="66" t="n">
        <v>63.1</v>
      </c>
      <c r="S203" s="34" t="str">
        <f aca="false">IF(M203&gt;=40,"Pass","Fail")</f>
        <v>Pass</v>
      </c>
      <c r="T203" s="34" t="str">
        <f aca="false">IF(M203&gt;=80,"Yes","No")</f>
        <v>No</v>
      </c>
    </row>
    <row r="204" customFormat="false" ht="15" hidden="false" customHeight="false" outlineLevel="0" collapsed="false">
      <c r="A204" s="43" t="s">
        <v>3178</v>
      </c>
      <c r="B204" s="44" t="s">
        <v>3179</v>
      </c>
      <c r="C204" s="43" t="s">
        <v>2803</v>
      </c>
      <c r="D204" s="51" t="n">
        <v>8</v>
      </c>
      <c r="E204" s="43" t="s">
        <v>2763</v>
      </c>
      <c r="F204" s="44" t="s">
        <v>2770</v>
      </c>
      <c r="G204" s="67" t="n">
        <v>37</v>
      </c>
      <c r="H204" s="44" t="s">
        <v>2791</v>
      </c>
      <c r="I204" s="67" t="n">
        <v>51</v>
      </c>
      <c r="J204" s="44" t="s">
        <v>2778</v>
      </c>
      <c r="K204" s="67" t="n">
        <v>69</v>
      </c>
      <c r="L204" s="67" t="n">
        <f aca="false">G204+I204+K204</f>
        <v>157</v>
      </c>
      <c r="M204" s="68" t="n">
        <f aca="false">L204/300*100</f>
        <v>52.3333333333333</v>
      </c>
      <c r="N204" s="43" t="str">
        <f aca="false">IF(M204&gt;=90,"A+",IF(M204&gt;=80,"A",IF(M204&gt;=70,"B+",IF(M204&gt;=60,"B",IF(M204&gt;=50,"C","F")))))</f>
        <v>C</v>
      </c>
      <c r="O204" s="69" t="n">
        <f aca="false">IF(M204&gt;=90,4,IF(M204&gt;=80,3.7,IF(M204&gt;=70,3.3,IF(M204&gt;=60,3,IF(M204&gt;=50,2,0)))))</f>
        <v>2</v>
      </c>
      <c r="P204" s="47" t="n">
        <v>0.738</v>
      </c>
      <c r="Q204" s="70" t="n">
        <v>69.8</v>
      </c>
      <c r="R204" s="70" t="n">
        <v>72</v>
      </c>
      <c r="S204" s="43" t="str">
        <f aca="false">IF(M204&gt;=40,"Pass","Fail")</f>
        <v>Pass</v>
      </c>
      <c r="T204" s="43" t="str">
        <f aca="false">IF(M204&gt;=80,"Yes","No")</f>
        <v>No</v>
      </c>
    </row>
    <row r="205" customFormat="false" ht="15" hidden="false" customHeight="false" outlineLevel="0" collapsed="false">
      <c r="A205" s="34" t="s">
        <v>3180</v>
      </c>
      <c r="B205" s="35" t="s">
        <v>3181</v>
      </c>
      <c r="C205" s="34" t="s">
        <v>2806</v>
      </c>
      <c r="D205" s="42" t="n">
        <v>4</v>
      </c>
      <c r="E205" s="34" t="s">
        <v>2763</v>
      </c>
      <c r="F205" s="35" t="s">
        <v>2792</v>
      </c>
      <c r="G205" s="63" t="n">
        <v>31</v>
      </c>
      <c r="H205" s="35" t="s">
        <v>2791</v>
      </c>
      <c r="I205" s="63" t="n">
        <v>50</v>
      </c>
      <c r="J205" s="35" t="s">
        <v>2765</v>
      </c>
      <c r="K205" s="63" t="n">
        <v>66</v>
      </c>
      <c r="L205" s="63" t="n">
        <f aca="false">G205+I205+K205</f>
        <v>147</v>
      </c>
      <c r="M205" s="64" t="n">
        <f aca="false">L205/300*100</f>
        <v>49</v>
      </c>
      <c r="N205" s="34" t="str">
        <f aca="false">IF(M205&gt;=90,"A+",IF(M205&gt;=80,"A",IF(M205&gt;=70,"B+",IF(M205&gt;=60,"B",IF(M205&gt;=50,"C","F")))))</f>
        <v>F</v>
      </c>
      <c r="O205" s="65" t="n">
        <f aca="false">IF(M205&gt;=90,4,IF(M205&gt;=80,3.7,IF(M205&gt;=70,3.3,IF(M205&gt;=60,3,IF(M205&gt;=50,2,0)))))</f>
        <v>0</v>
      </c>
      <c r="P205" s="38" t="n">
        <v>0.551</v>
      </c>
      <c r="Q205" s="66" t="n">
        <v>99.6</v>
      </c>
      <c r="R205" s="66" t="n">
        <v>41</v>
      </c>
      <c r="S205" s="34" t="str">
        <f aca="false">IF(M205&gt;=40,"Pass","Fail")</f>
        <v>Pass</v>
      </c>
      <c r="T205" s="34" t="str">
        <f aca="false">IF(M205&gt;=80,"Yes","No")</f>
        <v>No</v>
      </c>
    </row>
    <row r="206" customFormat="false" ht="15" hidden="false" customHeight="false" outlineLevel="0" collapsed="false">
      <c r="A206" s="43" t="s">
        <v>3182</v>
      </c>
      <c r="B206" s="44" t="s">
        <v>3183</v>
      </c>
      <c r="C206" s="43" t="s">
        <v>2806</v>
      </c>
      <c r="D206" s="51" t="n">
        <v>8</v>
      </c>
      <c r="E206" s="43" t="s">
        <v>2774</v>
      </c>
      <c r="F206" s="44" t="s">
        <v>2792</v>
      </c>
      <c r="G206" s="67" t="n">
        <v>66</v>
      </c>
      <c r="H206" s="44" t="s">
        <v>2775</v>
      </c>
      <c r="I206" s="67" t="n">
        <v>37</v>
      </c>
      <c r="J206" s="44" t="s">
        <v>2778</v>
      </c>
      <c r="K206" s="67" t="n">
        <v>57</v>
      </c>
      <c r="L206" s="67" t="n">
        <f aca="false">G206+I206+K206</f>
        <v>160</v>
      </c>
      <c r="M206" s="68" t="n">
        <f aca="false">L206/300*100</f>
        <v>53.3333333333333</v>
      </c>
      <c r="N206" s="43" t="str">
        <f aca="false">IF(M206&gt;=90,"A+",IF(M206&gt;=80,"A",IF(M206&gt;=70,"B+",IF(M206&gt;=60,"B",IF(M206&gt;=50,"C","F")))))</f>
        <v>C</v>
      </c>
      <c r="O206" s="69" t="n">
        <f aca="false">IF(M206&gt;=90,4,IF(M206&gt;=80,3.7,IF(M206&gt;=70,3.3,IF(M206&gt;=60,3,IF(M206&gt;=50,2,0)))))</f>
        <v>2</v>
      </c>
      <c r="P206" s="47" t="n">
        <v>0.757</v>
      </c>
      <c r="Q206" s="70" t="n">
        <v>90.1</v>
      </c>
      <c r="R206" s="70" t="n">
        <v>73.1</v>
      </c>
      <c r="S206" s="43" t="str">
        <f aca="false">IF(M206&gt;=40,"Pass","Fail")</f>
        <v>Pass</v>
      </c>
      <c r="T206" s="43" t="str">
        <f aca="false">IF(M206&gt;=80,"Yes","No")</f>
        <v>No</v>
      </c>
    </row>
    <row r="207" customFormat="false" ht="15" hidden="false" customHeight="false" outlineLevel="0" collapsed="false">
      <c r="A207" s="34" t="s">
        <v>3184</v>
      </c>
      <c r="B207" s="35" t="s">
        <v>3185</v>
      </c>
      <c r="C207" s="34" t="s">
        <v>2762</v>
      </c>
      <c r="D207" s="42" t="n">
        <v>4</v>
      </c>
      <c r="E207" s="34" t="s">
        <v>2774</v>
      </c>
      <c r="F207" s="35" t="s">
        <v>2765</v>
      </c>
      <c r="G207" s="63" t="n">
        <v>35</v>
      </c>
      <c r="H207" s="35" t="s">
        <v>2775</v>
      </c>
      <c r="I207" s="63" t="n">
        <v>38</v>
      </c>
      <c r="J207" s="35" t="s">
        <v>2783</v>
      </c>
      <c r="K207" s="63" t="n">
        <v>68</v>
      </c>
      <c r="L207" s="63" t="n">
        <f aca="false">G207+I207+K207</f>
        <v>141</v>
      </c>
      <c r="M207" s="64" t="n">
        <f aca="false">L207/300*100</f>
        <v>47</v>
      </c>
      <c r="N207" s="34" t="str">
        <f aca="false">IF(M207&gt;=90,"A+",IF(M207&gt;=80,"A",IF(M207&gt;=70,"B+",IF(M207&gt;=60,"B",IF(M207&gt;=50,"C","F")))))</f>
        <v>F</v>
      </c>
      <c r="O207" s="65" t="n">
        <f aca="false">IF(M207&gt;=90,4,IF(M207&gt;=80,3.7,IF(M207&gt;=70,3.3,IF(M207&gt;=60,3,IF(M207&gt;=50,2,0)))))</f>
        <v>0</v>
      </c>
      <c r="P207" s="38" t="n">
        <v>0.88</v>
      </c>
      <c r="Q207" s="66" t="n">
        <v>81.8</v>
      </c>
      <c r="R207" s="66" t="n">
        <v>65.5</v>
      </c>
      <c r="S207" s="34" t="str">
        <f aca="false">IF(M207&gt;=40,"Pass","Fail")</f>
        <v>Pass</v>
      </c>
      <c r="T207" s="34" t="str">
        <f aca="false">IF(M207&gt;=80,"Yes","No")</f>
        <v>No</v>
      </c>
    </row>
    <row r="208" customFormat="false" ht="15" hidden="false" customHeight="false" outlineLevel="0" collapsed="false">
      <c r="A208" s="43" t="s">
        <v>3186</v>
      </c>
      <c r="B208" s="44" t="s">
        <v>3187</v>
      </c>
      <c r="C208" s="43" t="s">
        <v>2851</v>
      </c>
      <c r="D208" s="51" t="n">
        <v>2</v>
      </c>
      <c r="E208" s="43" t="s">
        <v>2782</v>
      </c>
      <c r="F208" s="44" t="s">
        <v>2764</v>
      </c>
      <c r="G208" s="67" t="n">
        <v>96</v>
      </c>
      <c r="H208" s="44" t="s">
        <v>2792</v>
      </c>
      <c r="I208" s="67" t="n">
        <v>40</v>
      </c>
      <c r="J208" s="44" t="s">
        <v>2770</v>
      </c>
      <c r="K208" s="67" t="n">
        <v>23</v>
      </c>
      <c r="L208" s="67" t="n">
        <f aca="false">G208+I208+K208</f>
        <v>159</v>
      </c>
      <c r="M208" s="68" t="n">
        <f aca="false">L208/300*100</f>
        <v>53</v>
      </c>
      <c r="N208" s="43" t="str">
        <f aca="false">IF(M208&gt;=90,"A+",IF(M208&gt;=80,"A",IF(M208&gt;=70,"B+",IF(M208&gt;=60,"B",IF(M208&gt;=50,"C","F")))))</f>
        <v>C</v>
      </c>
      <c r="O208" s="69" t="n">
        <f aca="false">IF(M208&gt;=90,4,IF(M208&gt;=80,3.7,IF(M208&gt;=70,3.3,IF(M208&gt;=60,3,IF(M208&gt;=50,2,0)))))</f>
        <v>2</v>
      </c>
      <c r="P208" s="47" t="n">
        <v>0.616</v>
      </c>
      <c r="Q208" s="70" t="n">
        <v>48.5</v>
      </c>
      <c r="R208" s="70" t="n">
        <v>54.7</v>
      </c>
      <c r="S208" s="43" t="str">
        <f aca="false">IF(M208&gt;=40,"Pass","Fail")</f>
        <v>Pass</v>
      </c>
      <c r="T208" s="43" t="str">
        <f aca="false">IF(M208&gt;=80,"Yes","No")</f>
        <v>No</v>
      </c>
    </row>
    <row r="209" customFormat="false" ht="15" hidden="false" customHeight="false" outlineLevel="0" collapsed="false">
      <c r="A209" s="34" t="s">
        <v>3188</v>
      </c>
      <c r="B209" s="35" t="s">
        <v>3189</v>
      </c>
      <c r="C209" s="34" t="s">
        <v>2851</v>
      </c>
      <c r="D209" s="42" t="n">
        <v>7</v>
      </c>
      <c r="E209" s="34" t="s">
        <v>2774</v>
      </c>
      <c r="F209" s="35" t="s">
        <v>2783</v>
      </c>
      <c r="G209" s="63" t="n">
        <v>87</v>
      </c>
      <c r="H209" s="35" t="s">
        <v>2770</v>
      </c>
      <c r="I209" s="63" t="n">
        <v>58</v>
      </c>
      <c r="J209" s="35" t="s">
        <v>2764</v>
      </c>
      <c r="K209" s="63" t="n">
        <v>80</v>
      </c>
      <c r="L209" s="63" t="n">
        <f aca="false">G209+I209+K209</f>
        <v>225</v>
      </c>
      <c r="M209" s="64" t="n">
        <f aca="false">L209/300*100</f>
        <v>75</v>
      </c>
      <c r="N209" s="34" t="str">
        <f aca="false">IF(M209&gt;=90,"A+",IF(M209&gt;=80,"A",IF(M209&gt;=70,"B+",IF(M209&gt;=60,"B",IF(M209&gt;=50,"C","F")))))</f>
        <v>B+</v>
      </c>
      <c r="O209" s="65" t="n">
        <f aca="false">IF(M209&gt;=90,4,IF(M209&gt;=80,3.7,IF(M209&gt;=70,3.3,IF(M209&gt;=60,3,IF(M209&gt;=50,2,0)))))</f>
        <v>3.3</v>
      </c>
      <c r="P209" s="38" t="n">
        <v>0.735</v>
      </c>
      <c r="Q209" s="66" t="n">
        <v>60.2</v>
      </c>
      <c r="R209" s="66" t="n">
        <v>86.9</v>
      </c>
      <c r="S209" s="34" t="str">
        <f aca="false">IF(M209&gt;=40,"Pass","Fail")</f>
        <v>Pass</v>
      </c>
      <c r="T209" s="34" t="str">
        <f aca="false">IF(M209&gt;=80,"Yes","No")</f>
        <v>No</v>
      </c>
    </row>
    <row r="210" customFormat="false" ht="15" hidden="false" customHeight="false" outlineLevel="0" collapsed="false">
      <c r="A210" s="43" t="s">
        <v>3190</v>
      </c>
      <c r="B210" s="44" t="s">
        <v>3191</v>
      </c>
      <c r="C210" s="43" t="s">
        <v>2769</v>
      </c>
      <c r="D210" s="51" t="n">
        <v>1</v>
      </c>
      <c r="E210" s="43" t="s">
        <v>2763</v>
      </c>
      <c r="F210" s="44" t="s">
        <v>2792</v>
      </c>
      <c r="G210" s="67" t="n">
        <v>24</v>
      </c>
      <c r="H210" s="44" t="s">
        <v>2783</v>
      </c>
      <c r="I210" s="67" t="n">
        <v>97</v>
      </c>
      <c r="J210" s="44" t="s">
        <v>2775</v>
      </c>
      <c r="K210" s="67" t="n">
        <v>42</v>
      </c>
      <c r="L210" s="67" t="n">
        <f aca="false">G210+I210+K210</f>
        <v>163</v>
      </c>
      <c r="M210" s="68" t="n">
        <f aca="false">L210/300*100</f>
        <v>54.3333333333333</v>
      </c>
      <c r="N210" s="43" t="str">
        <f aca="false">IF(M210&gt;=90,"A+",IF(M210&gt;=80,"A",IF(M210&gt;=70,"B+",IF(M210&gt;=60,"B",IF(M210&gt;=50,"C","F")))))</f>
        <v>C</v>
      </c>
      <c r="O210" s="69" t="n">
        <f aca="false">IF(M210&gt;=90,4,IF(M210&gt;=80,3.7,IF(M210&gt;=70,3.3,IF(M210&gt;=60,3,IF(M210&gt;=50,2,0)))))</f>
        <v>2</v>
      </c>
      <c r="P210" s="47" t="n">
        <v>0.776</v>
      </c>
      <c r="Q210" s="70" t="n">
        <v>40.7</v>
      </c>
      <c r="R210" s="70" t="n">
        <v>90</v>
      </c>
      <c r="S210" s="43" t="str">
        <f aca="false">IF(M210&gt;=40,"Pass","Fail")</f>
        <v>Pass</v>
      </c>
      <c r="T210" s="43" t="str">
        <f aca="false">IF(M210&gt;=80,"Yes","No")</f>
        <v>No</v>
      </c>
    </row>
    <row r="211" customFormat="false" ht="15" hidden="false" customHeight="false" outlineLevel="0" collapsed="false">
      <c r="A211" s="34" t="s">
        <v>3192</v>
      </c>
      <c r="B211" s="35" t="s">
        <v>3193</v>
      </c>
      <c r="C211" s="34" t="s">
        <v>2769</v>
      </c>
      <c r="D211" s="42" t="n">
        <v>8</v>
      </c>
      <c r="E211" s="34" t="s">
        <v>2782</v>
      </c>
      <c r="F211" s="35" t="s">
        <v>2771</v>
      </c>
      <c r="G211" s="63" t="n">
        <v>49</v>
      </c>
      <c r="H211" s="35" t="s">
        <v>2766</v>
      </c>
      <c r="I211" s="63" t="n">
        <v>74</v>
      </c>
      <c r="J211" s="35" t="s">
        <v>2764</v>
      </c>
      <c r="K211" s="63" t="n">
        <v>40</v>
      </c>
      <c r="L211" s="63" t="n">
        <f aca="false">G211+I211+K211</f>
        <v>163</v>
      </c>
      <c r="M211" s="64" t="n">
        <f aca="false">L211/300*100</f>
        <v>54.3333333333333</v>
      </c>
      <c r="N211" s="34" t="str">
        <f aca="false">IF(M211&gt;=90,"A+",IF(M211&gt;=80,"A",IF(M211&gt;=70,"B+",IF(M211&gt;=60,"B",IF(M211&gt;=50,"C","F")))))</f>
        <v>C</v>
      </c>
      <c r="O211" s="65" t="n">
        <f aca="false">IF(M211&gt;=90,4,IF(M211&gt;=80,3.7,IF(M211&gt;=70,3.3,IF(M211&gt;=60,3,IF(M211&gt;=50,2,0)))))</f>
        <v>2</v>
      </c>
      <c r="P211" s="38" t="n">
        <v>0.672</v>
      </c>
      <c r="Q211" s="66" t="n">
        <v>45.5</v>
      </c>
      <c r="R211" s="66" t="n">
        <v>62.7</v>
      </c>
      <c r="S211" s="34" t="str">
        <f aca="false">IF(M211&gt;=40,"Pass","Fail")</f>
        <v>Pass</v>
      </c>
      <c r="T211" s="34" t="str">
        <f aca="false">IF(M211&gt;=80,"Yes","No")</f>
        <v>No</v>
      </c>
    </row>
    <row r="212" customFormat="false" ht="15" hidden="false" customHeight="false" outlineLevel="0" collapsed="false">
      <c r="A212" s="43" t="s">
        <v>3194</v>
      </c>
      <c r="B212" s="44" t="s">
        <v>3195</v>
      </c>
      <c r="C212" s="43" t="s">
        <v>2781</v>
      </c>
      <c r="D212" s="51" t="n">
        <v>4</v>
      </c>
      <c r="E212" s="43" t="s">
        <v>2763</v>
      </c>
      <c r="F212" s="44" t="s">
        <v>2764</v>
      </c>
      <c r="G212" s="67" t="n">
        <v>70</v>
      </c>
      <c r="H212" s="44" t="s">
        <v>2775</v>
      </c>
      <c r="I212" s="67" t="n">
        <v>43</v>
      </c>
      <c r="J212" s="44" t="s">
        <v>2765</v>
      </c>
      <c r="K212" s="67" t="n">
        <v>91</v>
      </c>
      <c r="L212" s="67" t="n">
        <f aca="false">G212+I212+K212</f>
        <v>204</v>
      </c>
      <c r="M212" s="68" t="n">
        <f aca="false">L212/300*100</f>
        <v>68</v>
      </c>
      <c r="N212" s="43" t="str">
        <f aca="false">IF(M212&gt;=90,"A+",IF(M212&gt;=80,"A",IF(M212&gt;=70,"B+",IF(M212&gt;=60,"B",IF(M212&gt;=50,"C","F")))))</f>
        <v>B</v>
      </c>
      <c r="O212" s="69" t="n">
        <f aca="false">IF(M212&gt;=90,4,IF(M212&gt;=80,3.7,IF(M212&gt;=70,3.3,IF(M212&gt;=60,3,IF(M212&gt;=50,2,0)))))</f>
        <v>3</v>
      </c>
      <c r="P212" s="47" t="n">
        <v>0.822</v>
      </c>
      <c r="Q212" s="70" t="n">
        <v>44.6</v>
      </c>
      <c r="R212" s="70" t="n">
        <v>81.5</v>
      </c>
      <c r="S212" s="43" t="str">
        <f aca="false">IF(M212&gt;=40,"Pass","Fail")</f>
        <v>Pass</v>
      </c>
      <c r="T212" s="43" t="str">
        <f aca="false">IF(M212&gt;=80,"Yes","No")</f>
        <v>No</v>
      </c>
    </row>
    <row r="213" customFormat="false" ht="15" hidden="false" customHeight="false" outlineLevel="0" collapsed="false">
      <c r="A213" s="34" t="s">
        <v>3196</v>
      </c>
      <c r="B213" s="35" t="s">
        <v>3197</v>
      </c>
      <c r="C213" s="34" t="s">
        <v>2762</v>
      </c>
      <c r="D213" s="42" t="n">
        <v>6</v>
      </c>
      <c r="E213" s="34" t="s">
        <v>2782</v>
      </c>
      <c r="F213" s="35" t="s">
        <v>2791</v>
      </c>
      <c r="G213" s="63" t="n">
        <v>26</v>
      </c>
      <c r="H213" s="35" t="s">
        <v>2764</v>
      </c>
      <c r="I213" s="63" t="n">
        <v>67</v>
      </c>
      <c r="J213" s="35" t="s">
        <v>2783</v>
      </c>
      <c r="K213" s="63" t="n">
        <v>74</v>
      </c>
      <c r="L213" s="63" t="n">
        <f aca="false">G213+I213+K213</f>
        <v>167</v>
      </c>
      <c r="M213" s="64" t="n">
        <f aca="false">L213/300*100</f>
        <v>55.6666666666667</v>
      </c>
      <c r="N213" s="34" t="str">
        <f aca="false">IF(M213&gt;=90,"A+",IF(M213&gt;=80,"A",IF(M213&gt;=70,"B+",IF(M213&gt;=60,"B",IF(M213&gt;=50,"C","F")))))</f>
        <v>C</v>
      </c>
      <c r="O213" s="65" t="n">
        <f aca="false">IF(M213&gt;=90,4,IF(M213&gt;=80,3.7,IF(M213&gt;=70,3.3,IF(M213&gt;=60,3,IF(M213&gt;=50,2,0)))))</f>
        <v>2</v>
      </c>
      <c r="P213" s="38" t="n">
        <v>0.638</v>
      </c>
      <c r="Q213" s="66" t="n">
        <v>46.5</v>
      </c>
      <c r="R213" s="66" t="n">
        <v>44.7</v>
      </c>
      <c r="S213" s="34" t="str">
        <f aca="false">IF(M213&gt;=40,"Pass","Fail")</f>
        <v>Pass</v>
      </c>
      <c r="T213" s="34" t="str">
        <f aca="false">IF(M213&gt;=80,"Yes","No")</f>
        <v>No</v>
      </c>
    </row>
    <row r="214" customFormat="false" ht="15" hidden="false" customHeight="false" outlineLevel="0" collapsed="false">
      <c r="A214" s="43" t="s">
        <v>3198</v>
      </c>
      <c r="B214" s="44" t="s">
        <v>3199</v>
      </c>
      <c r="C214" s="43" t="s">
        <v>2806</v>
      </c>
      <c r="D214" s="51" t="n">
        <v>6</v>
      </c>
      <c r="E214" s="43" t="s">
        <v>2774</v>
      </c>
      <c r="F214" s="44" t="s">
        <v>2765</v>
      </c>
      <c r="G214" s="67" t="n">
        <v>89</v>
      </c>
      <c r="H214" s="44" t="s">
        <v>2771</v>
      </c>
      <c r="I214" s="67" t="n">
        <v>33</v>
      </c>
      <c r="J214" s="44" t="s">
        <v>2783</v>
      </c>
      <c r="K214" s="67" t="n">
        <v>28</v>
      </c>
      <c r="L214" s="67" t="n">
        <f aca="false">G214+I214+K214</f>
        <v>150</v>
      </c>
      <c r="M214" s="68" t="n">
        <f aca="false">L214/300*100</f>
        <v>50</v>
      </c>
      <c r="N214" s="43" t="str">
        <f aca="false">IF(M214&gt;=90,"A+",IF(M214&gt;=80,"A",IF(M214&gt;=70,"B+",IF(M214&gt;=60,"B",IF(M214&gt;=50,"C","F")))))</f>
        <v>C</v>
      </c>
      <c r="O214" s="69" t="n">
        <f aca="false">IF(M214&gt;=90,4,IF(M214&gt;=80,3.7,IF(M214&gt;=70,3.3,IF(M214&gt;=60,3,IF(M214&gt;=50,2,0)))))</f>
        <v>2</v>
      </c>
      <c r="P214" s="47" t="n">
        <v>0.645</v>
      </c>
      <c r="Q214" s="70" t="n">
        <v>40.7</v>
      </c>
      <c r="R214" s="70" t="n">
        <v>94.6</v>
      </c>
      <c r="S214" s="43" t="str">
        <f aca="false">IF(M214&gt;=40,"Pass","Fail")</f>
        <v>Pass</v>
      </c>
      <c r="T214" s="43" t="str">
        <f aca="false">IF(M214&gt;=80,"Yes","No")</f>
        <v>No</v>
      </c>
    </row>
    <row r="215" customFormat="false" ht="15" hidden="false" customHeight="false" outlineLevel="0" collapsed="false">
      <c r="A215" s="34" t="s">
        <v>3200</v>
      </c>
      <c r="B215" s="35" t="s">
        <v>3201</v>
      </c>
      <c r="C215" s="34" t="s">
        <v>2781</v>
      </c>
      <c r="D215" s="42" t="n">
        <v>4</v>
      </c>
      <c r="E215" s="34" t="s">
        <v>2782</v>
      </c>
      <c r="F215" s="35" t="s">
        <v>2775</v>
      </c>
      <c r="G215" s="63" t="n">
        <v>30</v>
      </c>
      <c r="H215" s="35" t="s">
        <v>2765</v>
      </c>
      <c r="I215" s="63" t="n">
        <v>92</v>
      </c>
      <c r="J215" s="35" t="s">
        <v>2771</v>
      </c>
      <c r="K215" s="63" t="n">
        <v>92</v>
      </c>
      <c r="L215" s="63" t="n">
        <f aca="false">G215+I215+K215</f>
        <v>214</v>
      </c>
      <c r="M215" s="64" t="n">
        <f aca="false">L215/300*100</f>
        <v>71.3333333333333</v>
      </c>
      <c r="N215" s="34" t="str">
        <f aca="false">IF(M215&gt;=90,"A+",IF(M215&gt;=80,"A",IF(M215&gt;=70,"B+",IF(M215&gt;=60,"B",IF(M215&gt;=50,"C","F")))))</f>
        <v>B+</v>
      </c>
      <c r="O215" s="65" t="n">
        <f aca="false">IF(M215&gt;=90,4,IF(M215&gt;=80,3.7,IF(M215&gt;=70,3.3,IF(M215&gt;=60,3,IF(M215&gt;=50,2,0)))))</f>
        <v>3.3</v>
      </c>
      <c r="P215" s="38" t="n">
        <v>0.57</v>
      </c>
      <c r="Q215" s="66" t="n">
        <v>99.2</v>
      </c>
      <c r="R215" s="66" t="n">
        <v>69</v>
      </c>
      <c r="S215" s="34" t="str">
        <f aca="false">IF(M215&gt;=40,"Pass","Fail")</f>
        <v>Pass</v>
      </c>
      <c r="T215" s="34" t="str">
        <f aca="false">IF(M215&gt;=80,"Yes","No")</f>
        <v>No</v>
      </c>
    </row>
    <row r="216" customFormat="false" ht="15" hidden="false" customHeight="false" outlineLevel="0" collapsed="false">
      <c r="A216" s="43" t="s">
        <v>3202</v>
      </c>
      <c r="B216" s="44" t="s">
        <v>3203</v>
      </c>
      <c r="C216" s="43" t="s">
        <v>2851</v>
      </c>
      <c r="D216" s="51" t="n">
        <v>6</v>
      </c>
      <c r="E216" s="43" t="s">
        <v>2774</v>
      </c>
      <c r="F216" s="44" t="s">
        <v>2771</v>
      </c>
      <c r="G216" s="67" t="n">
        <v>56</v>
      </c>
      <c r="H216" s="44" t="s">
        <v>2775</v>
      </c>
      <c r="I216" s="67" t="n">
        <v>70</v>
      </c>
      <c r="J216" s="44" t="s">
        <v>2778</v>
      </c>
      <c r="K216" s="67" t="n">
        <v>84</v>
      </c>
      <c r="L216" s="67" t="n">
        <f aca="false">G216+I216+K216</f>
        <v>210</v>
      </c>
      <c r="M216" s="68" t="n">
        <f aca="false">L216/300*100</f>
        <v>70</v>
      </c>
      <c r="N216" s="43" t="str">
        <f aca="false">IF(M216&gt;=90,"A+",IF(M216&gt;=80,"A",IF(M216&gt;=70,"B+",IF(M216&gt;=60,"B",IF(M216&gt;=50,"C","F")))))</f>
        <v>B+</v>
      </c>
      <c r="O216" s="69" t="n">
        <f aca="false">IF(M216&gt;=90,4,IF(M216&gt;=80,3.7,IF(M216&gt;=70,3.3,IF(M216&gt;=60,3,IF(M216&gt;=50,2,0)))))</f>
        <v>3.3</v>
      </c>
      <c r="P216" s="47" t="n">
        <v>0.638</v>
      </c>
      <c r="Q216" s="70" t="n">
        <v>85.1</v>
      </c>
      <c r="R216" s="70" t="n">
        <v>83.5</v>
      </c>
      <c r="S216" s="43" t="str">
        <f aca="false">IF(M216&gt;=40,"Pass","Fail")</f>
        <v>Pass</v>
      </c>
      <c r="T216" s="43" t="str">
        <f aca="false">IF(M216&gt;=80,"Yes","No")</f>
        <v>No</v>
      </c>
    </row>
    <row r="217" customFormat="false" ht="15" hidden="false" customHeight="false" outlineLevel="0" collapsed="false">
      <c r="A217" s="34" t="s">
        <v>3204</v>
      </c>
      <c r="B217" s="35" t="s">
        <v>3205</v>
      </c>
      <c r="C217" s="34" t="s">
        <v>2781</v>
      </c>
      <c r="D217" s="42" t="n">
        <v>2</v>
      </c>
      <c r="E217" s="34" t="s">
        <v>2763</v>
      </c>
      <c r="F217" s="35" t="s">
        <v>2791</v>
      </c>
      <c r="G217" s="63" t="n">
        <v>84</v>
      </c>
      <c r="H217" s="35" t="s">
        <v>2766</v>
      </c>
      <c r="I217" s="63" t="n">
        <v>39</v>
      </c>
      <c r="J217" s="35" t="s">
        <v>2792</v>
      </c>
      <c r="K217" s="63" t="n">
        <v>23</v>
      </c>
      <c r="L217" s="63" t="n">
        <f aca="false">G217+I217+K217</f>
        <v>146</v>
      </c>
      <c r="M217" s="64" t="n">
        <f aca="false">L217/300*100</f>
        <v>48.6666666666667</v>
      </c>
      <c r="N217" s="34" t="str">
        <f aca="false">IF(M217&gt;=90,"A+",IF(M217&gt;=80,"A",IF(M217&gt;=70,"B+",IF(M217&gt;=60,"B",IF(M217&gt;=50,"C","F")))))</f>
        <v>F</v>
      </c>
      <c r="O217" s="65" t="n">
        <f aca="false">IF(M217&gt;=90,4,IF(M217&gt;=80,3.7,IF(M217&gt;=70,3.3,IF(M217&gt;=60,3,IF(M217&gt;=50,2,0)))))</f>
        <v>0</v>
      </c>
      <c r="P217" s="38" t="n">
        <v>0.814</v>
      </c>
      <c r="Q217" s="66" t="n">
        <v>62.9</v>
      </c>
      <c r="R217" s="66" t="n">
        <v>75.2</v>
      </c>
      <c r="S217" s="34" t="str">
        <f aca="false">IF(M217&gt;=40,"Pass","Fail")</f>
        <v>Pass</v>
      </c>
      <c r="T217" s="34" t="str">
        <f aca="false">IF(M217&gt;=80,"Yes","No")</f>
        <v>No</v>
      </c>
    </row>
    <row r="218" customFormat="false" ht="15" hidden="false" customHeight="false" outlineLevel="0" collapsed="false">
      <c r="A218" s="43" t="s">
        <v>3206</v>
      </c>
      <c r="B218" s="44" t="s">
        <v>3207</v>
      </c>
      <c r="C218" s="43" t="s">
        <v>2786</v>
      </c>
      <c r="D218" s="51" t="n">
        <v>1</v>
      </c>
      <c r="E218" s="43" t="s">
        <v>2763</v>
      </c>
      <c r="F218" s="44" t="s">
        <v>2783</v>
      </c>
      <c r="G218" s="67" t="n">
        <v>30</v>
      </c>
      <c r="H218" s="44" t="s">
        <v>2764</v>
      </c>
      <c r="I218" s="67" t="n">
        <v>100</v>
      </c>
      <c r="J218" s="44" t="s">
        <v>2770</v>
      </c>
      <c r="K218" s="67" t="n">
        <v>31</v>
      </c>
      <c r="L218" s="67" t="n">
        <f aca="false">G218+I218+K218</f>
        <v>161</v>
      </c>
      <c r="M218" s="68" t="n">
        <f aca="false">L218/300*100</f>
        <v>53.6666666666667</v>
      </c>
      <c r="N218" s="43" t="str">
        <f aca="false">IF(M218&gt;=90,"A+",IF(M218&gt;=80,"A",IF(M218&gt;=70,"B+",IF(M218&gt;=60,"B",IF(M218&gt;=50,"C","F")))))</f>
        <v>C</v>
      </c>
      <c r="O218" s="69" t="n">
        <f aca="false">IF(M218&gt;=90,4,IF(M218&gt;=80,3.7,IF(M218&gt;=70,3.3,IF(M218&gt;=60,3,IF(M218&gt;=50,2,0)))))</f>
        <v>2</v>
      </c>
      <c r="P218" s="47" t="n">
        <v>0.979</v>
      </c>
      <c r="Q218" s="70" t="n">
        <v>53.9</v>
      </c>
      <c r="R218" s="70" t="n">
        <v>52.9</v>
      </c>
      <c r="S218" s="43" t="str">
        <f aca="false">IF(M218&gt;=40,"Pass","Fail")</f>
        <v>Pass</v>
      </c>
      <c r="T218" s="43" t="str">
        <f aca="false">IF(M218&gt;=80,"Yes","No")</f>
        <v>No</v>
      </c>
    </row>
    <row r="219" customFormat="false" ht="15" hidden="false" customHeight="false" outlineLevel="0" collapsed="false">
      <c r="A219" s="34" t="s">
        <v>3208</v>
      </c>
      <c r="B219" s="35" t="s">
        <v>3209</v>
      </c>
      <c r="C219" s="34" t="s">
        <v>2769</v>
      </c>
      <c r="D219" s="42" t="n">
        <v>3</v>
      </c>
      <c r="E219" s="34" t="s">
        <v>2782</v>
      </c>
      <c r="F219" s="35" t="s">
        <v>2783</v>
      </c>
      <c r="G219" s="63" t="n">
        <v>77</v>
      </c>
      <c r="H219" s="35" t="s">
        <v>2766</v>
      </c>
      <c r="I219" s="63" t="n">
        <v>36</v>
      </c>
      <c r="J219" s="35" t="s">
        <v>2778</v>
      </c>
      <c r="K219" s="63" t="n">
        <v>63</v>
      </c>
      <c r="L219" s="63" t="n">
        <f aca="false">G219+I219+K219</f>
        <v>176</v>
      </c>
      <c r="M219" s="64" t="n">
        <f aca="false">L219/300*100</f>
        <v>58.6666666666667</v>
      </c>
      <c r="N219" s="34" t="str">
        <f aca="false">IF(M219&gt;=90,"A+",IF(M219&gt;=80,"A",IF(M219&gt;=70,"B+",IF(M219&gt;=60,"B",IF(M219&gt;=50,"C","F")))))</f>
        <v>C</v>
      </c>
      <c r="O219" s="65" t="n">
        <f aca="false">IF(M219&gt;=90,4,IF(M219&gt;=80,3.7,IF(M219&gt;=70,3.3,IF(M219&gt;=60,3,IF(M219&gt;=50,2,0)))))</f>
        <v>2</v>
      </c>
      <c r="P219" s="38" t="n">
        <v>0.681</v>
      </c>
      <c r="Q219" s="66" t="n">
        <v>77.4</v>
      </c>
      <c r="R219" s="66" t="n">
        <v>96.4</v>
      </c>
      <c r="S219" s="34" t="str">
        <f aca="false">IF(M219&gt;=40,"Pass","Fail")</f>
        <v>Pass</v>
      </c>
      <c r="T219" s="34" t="str">
        <f aca="false">IF(M219&gt;=80,"Yes","No")</f>
        <v>No</v>
      </c>
    </row>
    <row r="220" customFormat="false" ht="15" hidden="false" customHeight="false" outlineLevel="0" collapsed="false">
      <c r="A220" s="43" t="s">
        <v>3210</v>
      </c>
      <c r="B220" s="44" t="s">
        <v>3211</v>
      </c>
      <c r="C220" s="43" t="s">
        <v>2851</v>
      </c>
      <c r="D220" s="51" t="n">
        <v>7</v>
      </c>
      <c r="E220" s="43" t="s">
        <v>2774</v>
      </c>
      <c r="F220" s="44" t="s">
        <v>2765</v>
      </c>
      <c r="G220" s="67" t="n">
        <v>92</v>
      </c>
      <c r="H220" s="44" t="s">
        <v>2792</v>
      </c>
      <c r="I220" s="67" t="n">
        <v>100</v>
      </c>
      <c r="J220" s="44" t="s">
        <v>2783</v>
      </c>
      <c r="K220" s="67" t="n">
        <v>83</v>
      </c>
      <c r="L220" s="67" t="n">
        <f aca="false">G220+I220+K220</f>
        <v>275</v>
      </c>
      <c r="M220" s="68" t="n">
        <f aca="false">L220/300*100</f>
        <v>91.6666666666667</v>
      </c>
      <c r="N220" s="43" t="str">
        <f aca="false">IF(M220&gt;=90,"A+",IF(M220&gt;=80,"A",IF(M220&gt;=70,"B+",IF(M220&gt;=60,"B",IF(M220&gt;=50,"C","F")))))</f>
        <v>A+</v>
      </c>
      <c r="O220" s="69" t="n">
        <f aca="false">IF(M220&gt;=90,4,IF(M220&gt;=80,3.7,IF(M220&gt;=70,3.3,IF(M220&gt;=60,3,IF(M220&gt;=50,2,0)))))</f>
        <v>4</v>
      </c>
      <c r="P220" s="47" t="n">
        <v>0.594</v>
      </c>
      <c r="Q220" s="70" t="n">
        <v>40.9</v>
      </c>
      <c r="R220" s="70" t="n">
        <v>86</v>
      </c>
      <c r="S220" s="43" t="str">
        <f aca="false">IF(M220&gt;=40,"Pass","Fail")</f>
        <v>Pass</v>
      </c>
      <c r="T220" s="43" t="str">
        <f aca="false">IF(M220&gt;=80,"Yes","No")</f>
        <v>Yes</v>
      </c>
    </row>
    <row r="221" customFormat="false" ht="15" hidden="false" customHeight="false" outlineLevel="0" collapsed="false">
      <c r="A221" s="34" t="s">
        <v>3212</v>
      </c>
      <c r="B221" s="35" t="s">
        <v>3213</v>
      </c>
      <c r="C221" s="34" t="s">
        <v>2803</v>
      </c>
      <c r="D221" s="42" t="n">
        <v>2</v>
      </c>
      <c r="E221" s="34" t="s">
        <v>2763</v>
      </c>
      <c r="F221" s="35" t="s">
        <v>2792</v>
      </c>
      <c r="G221" s="63" t="n">
        <v>41</v>
      </c>
      <c r="H221" s="35" t="s">
        <v>2770</v>
      </c>
      <c r="I221" s="63" t="n">
        <v>57</v>
      </c>
      <c r="J221" s="35" t="s">
        <v>2778</v>
      </c>
      <c r="K221" s="63" t="n">
        <v>40</v>
      </c>
      <c r="L221" s="63" t="n">
        <f aca="false">G221+I221+K221</f>
        <v>138</v>
      </c>
      <c r="M221" s="64" t="n">
        <f aca="false">L221/300*100</f>
        <v>46</v>
      </c>
      <c r="N221" s="34" t="str">
        <f aca="false">IF(M221&gt;=90,"A+",IF(M221&gt;=80,"A",IF(M221&gt;=70,"B+",IF(M221&gt;=60,"B",IF(M221&gt;=50,"C","F")))))</f>
        <v>F</v>
      </c>
      <c r="O221" s="65" t="n">
        <f aca="false">IF(M221&gt;=90,4,IF(M221&gt;=80,3.7,IF(M221&gt;=70,3.3,IF(M221&gt;=60,3,IF(M221&gt;=50,2,0)))))</f>
        <v>0</v>
      </c>
      <c r="P221" s="38" t="n">
        <v>0.581</v>
      </c>
      <c r="Q221" s="66" t="n">
        <v>74.6</v>
      </c>
      <c r="R221" s="66" t="n">
        <v>61.2</v>
      </c>
      <c r="S221" s="34" t="str">
        <f aca="false">IF(M221&gt;=40,"Pass","Fail")</f>
        <v>Pass</v>
      </c>
      <c r="T221" s="34" t="str">
        <f aca="false">IF(M221&gt;=80,"Yes","No")</f>
        <v>No</v>
      </c>
    </row>
    <row r="222" customFormat="false" ht="15" hidden="false" customHeight="false" outlineLevel="0" collapsed="false">
      <c r="A222" s="43" t="s">
        <v>3214</v>
      </c>
      <c r="B222" s="44" t="s">
        <v>3215</v>
      </c>
      <c r="C222" s="43" t="s">
        <v>2851</v>
      </c>
      <c r="D222" s="51" t="n">
        <v>3</v>
      </c>
      <c r="E222" s="43" t="s">
        <v>2782</v>
      </c>
      <c r="F222" s="44" t="s">
        <v>2770</v>
      </c>
      <c r="G222" s="67" t="n">
        <v>52</v>
      </c>
      <c r="H222" s="44" t="s">
        <v>2771</v>
      </c>
      <c r="I222" s="67" t="n">
        <v>76</v>
      </c>
      <c r="J222" s="44" t="s">
        <v>2764</v>
      </c>
      <c r="K222" s="67" t="n">
        <v>37</v>
      </c>
      <c r="L222" s="67" t="n">
        <f aca="false">G222+I222+K222</f>
        <v>165</v>
      </c>
      <c r="M222" s="68" t="n">
        <f aca="false">L222/300*100</f>
        <v>55</v>
      </c>
      <c r="N222" s="43" t="str">
        <f aca="false">IF(M222&gt;=90,"A+",IF(M222&gt;=80,"A",IF(M222&gt;=70,"B+",IF(M222&gt;=60,"B",IF(M222&gt;=50,"C","F")))))</f>
        <v>C</v>
      </c>
      <c r="O222" s="69" t="n">
        <f aca="false">IF(M222&gt;=90,4,IF(M222&gt;=80,3.7,IF(M222&gt;=70,3.3,IF(M222&gt;=60,3,IF(M222&gt;=50,2,0)))))</f>
        <v>2</v>
      </c>
      <c r="P222" s="47" t="n">
        <v>0.973</v>
      </c>
      <c r="Q222" s="70" t="n">
        <v>98.3</v>
      </c>
      <c r="R222" s="70" t="n">
        <v>69.3</v>
      </c>
      <c r="S222" s="43" t="str">
        <f aca="false">IF(M222&gt;=40,"Pass","Fail")</f>
        <v>Pass</v>
      </c>
      <c r="T222" s="43" t="str">
        <f aca="false">IF(M222&gt;=80,"Yes","No")</f>
        <v>No</v>
      </c>
    </row>
    <row r="223" customFormat="false" ht="15" hidden="false" customHeight="false" outlineLevel="0" collapsed="false">
      <c r="A223" s="34" t="s">
        <v>3216</v>
      </c>
      <c r="B223" s="35" t="s">
        <v>3217</v>
      </c>
      <c r="C223" s="34" t="s">
        <v>2803</v>
      </c>
      <c r="D223" s="42" t="n">
        <v>5</v>
      </c>
      <c r="E223" s="34" t="s">
        <v>2763</v>
      </c>
      <c r="F223" s="35" t="s">
        <v>2791</v>
      </c>
      <c r="G223" s="63" t="n">
        <v>66</v>
      </c>
      <c r="H223" s="35" t="s">
        <v>2783</v>
      </c>
      <c r="I223" s="63" t="n">
        <v>85</v>
      </c>
      <c r="J223" s="35" t="s">
        <v>2770</v>
      </c>
      <c r="K223" s="63" t="n">
        <v>99</v>
      </c>
      <c r="L223" s="63" t="n">
        <f aca="false">G223+I223+K223</f>
        <v>250</v>
      </c>
      <c r="M223" s="64" t="n">
        <f aca="false">L223/300*100</f>
        <v>83.3333333333333</v>
      </c>
      <c r="N223" s="34" t="str">
        <f aca="false">IF(M223&gt;=90,"A+",IF(M223&gt;=80,"A",IF(M223&gt;=70,"B+",IF(M223&gt;=60,"B",IF(M223&gt;=50,"C","F")))))</f>
        <v>A</v>
      </c>
      <c r="O223" s="65" t="n">
        <f aca="false">IF(M223&gt;=90,4,IF(M223&gt;=80,3.7,IF(M223&gt;=70,3.3,IF(M223&gt;=60,3,IF(M223&gt;=50,2,0)))))</f>
        <v>3.7</v>
      </c>
      <c r="P223" s="38" t="n">
        <v>0.978</v>
      </c>
      <c r="Q223" s="66" t="n">
        <v>62.4</v>
      </c>
      <c r="R223" s="66" t="n">
        <v>80.9</v>
      </c>
      <c r="S223" s="34" t="str">
        <f aca="false">IF(M223&gt;=40,"Pass","Fail")</f>
        <v>Pass</v>
      </c>
      <c r="T223" s="34" t="str">
        <f aca="false">IF(M223&gt;=80,"Yes","No")</f>
        <v>Yes</v>
      </c>
    </row>
    <row r="224" customFormat="false" ht="15" hidden="false" customHeight="false" outlineLevel="0" collapsed="false">
      <c r="A224" s="43" t="s">
        <v>3218</v>
      </c>
      <c r="B224" s="44" t="s">
        <v>3219</v>
      </c>
      <c r="C224" s="43" t="s">
        <v>2806</v>
      </c>
      <c r="D224" s="51" t="n">
        <v>8</v>
      </c>
      <c r="E224" s="43" t="s">
        <v>2763</v>
      </c>
      <c r="F224" s="44" t="s">
        <v>2775</v>
      </c>
      <c r="G224" s="67" t="n">
        <v>91</v>
      </c>
      <c r="H224" s="44" t="s">
        <v>2764</v>
      </c>
      <c r="I224" s="67" t="n">
        <v>21</v>
      </c>
      <c r="J224" s="44" t="s">
        <v>2765</v>
      </c>
      <c r="K224" s="67" t="n">
        <v>39</v>
      </c>
      <c r="L224" s="67" t="n">
        <f aca="false">G224+I224+K224</f>
        <v>151</v>
      </c>
      <c r="M224" s="68" t="n">
        <f aca="false">L224/300*100</f>
        <v>50.3333333333333</v>
      </c>
      <c r="N224" s="43" t="str">
        <f aca="false">IF(M224&gt;=90,"A+",IF(M224&gt;=80,"A",IF(M224&gt;=70,"B+",IF(M224&gt;=60,"B",IF(M224&gt;=50,"C","F")))))</f>
        <v>C</v>
      </c>
      <c r="O224" s="69" t="n">
        <f aca="false">IF(M224&gt;=90,4,IF(M224&gt;=80,3.7,IF(M224&gt;=70,3.3,IF(M224&gt;=60,3,IF(M224&gt;=50,2,0)))))</f>
        <v>2</v>
      </c>
      <c r="P224" s="47" t="n">
        <v>0.934</v>
      </c>
      <c r="Q224" s="70" t="n">
        <v>57.4</v>
      </c>
      <c r="R224" s="70" t="n">
        <v>49.5</v>
      </c>
      <c r="S224" s="43" t="str">
        <f aca="false">IF(M224&gt;=40,"Pass","Fail")</f>
        <v>Pass</v>
      </c>
      <c r="T224" s="43" t="str">
        <f aca="false">IF(M224&gt;=80,"Yes","No")</f>
        <v>No</v>
      </c>
    </row>
    <row r="225" customFormat="false" ht="15" hidden="false" customHeight="false" outlineLevel="0" collapsed="false">
      <c r="A225" s="34" t="s">
        <v>3220</v>
      </c>
      <c r="B225" s="35" t="s">
        <v>3221</v>
      </c>
      <c r="C225" s="34" t="s">
        <v>2762</v>
      </c>
      <c r="D225" s="42" t="n">
        <v>2</v>
      </c>
      <c r="E225" s="34" t="s">
        <v>2774</v>
      </c>
      <c r="F225" s="35" t="s">
        <v>2791</v>
      </c>
      <c r="G225" s="63" t="n">
        <v>64</v>
      </c>
      <c r="H225" s="35" t="s">
        <v>2770</v>
      </c>
      <c r="I225" s="63" t="n">
        <v>79</v>
      </c>
      <c r="J225" s="35" t="s">
        <v>2792</v>
      </c>
      <c r="K225" s="63" t="n">
        <v>79</v>
      </c>
      <c r="L225" s="63" t="n">
        <f aca="false">G225+I225+K225</f>
        <v>222</v>
      </c>
      <c r="M225" s="64" t="n">
        <f aca="false">L225/300*100</f>
        <v>74</v>
      </c>
      <c r="N225" s="34" t="str">
        <f aca="false">IF(M225&gt;=90,"A+",IF(M225&gt;=80,"A",IF(M225&gt;=70,"B+",IF(M225&gt;=60,"B",IF(M225&gt;=50,"C","F")))))</f>
        <v>B+</v>
      </c>
      <c r="O225" s="65" t="n">
        <f aca="false">IF(M225&gt;=90,4,IF(M225&gt;=80,3.7,IF(M225&gt;=70,3.3,IF(M225&gt;=60,3,IF(M225&gt;=50,2,0)))))</f>
        <v>3.3</v>
      </c>
      <c r="P225" s="38" t="n">
        <v>0.839</v>
      </c>
      <c r="Q225" s="66" t="n">
        <v>94</v>
      </c>
      <c r="R225" s="66" t="n">
        <v>67.9</v>
      </c>
      <c r="S225" s="34" t="str">
        <f aca="false">IF(M225&gt;=40,"Pass","Fail")</f>
        <v>Pass</v>
      </c>
      <c r="T225" s="34" t="str">
        <f aca="false">IF(M225&gt;=80,"Yes","No")</f>
        <v>No</v>
      </c>
    </row>
    <row r="226" customFormat="false" ht="15" hidden="false" customHeight="false" outlineLevel="0" collapsed="false">
      <c r="A226" s="43" t="s">
        <v>3222</v>
      </c>
      <c r="B226" s="44" t="s">
        <v>3223</v>
      </c>
      <c r="C226" s="43" t="s">
        <v>2851</v>
      </c>
      <c r="D226" s="51" t="n">
        <v>3</v>
      </c>
      <c r="E226" s="43" t="s">
        <v>2782</v>
      </c>
      <c r="F226" s="44" t="s">
        <v>2792</v>
      </c>
      <c r="G226" s="67" t="n">
        <v>45</v>
      </c>
      <c r="H226" s="44" t="s">
        <v>2791</v>
      </c>
      <c r="I226" s="67" t="n">
        <v>71</v>
      </c>
      <c r="J226" s="44" t="s">
        <v>2766</v>
      </c>
      <c r="K226" s="67" t="n">
        <v>62</v>
      </c>
      <c r="L226" s="67" t="n">
        <f aca="false">G226+I226+K226</f>
        <v>178</v>
      </c>
      <c r="M226" s="68" t="n">
        <f aca="false">L226/300*100</f>
        <v>59.3333333333333</v>
      </c>
      <c r="N226" s="43" t="str">
        <f aca="false">IF(M226&gt;=90,"A+",IF(M226&gt;=80,"A",IF(M226&gt;=70,"B+",IF(M226&gt;=60,"B",IF(M226&gt;=50,"C","F")))))</f>
        <v>C</v>
      </c>
      <c r="O226" s="69" t="n">
        <f aca="false">IF(M226&gt;=90,4,IF(M226&gt;=80,3.7,IF(M226&gt;=70,3.3,IF(M226&gt;=60,3,IF(M226&gt;=50,2,0)))))</f>
        <v>2</v>
      </c>
      <c r="P226" s="47" t="n">
        <v>0.579</v>
      </c>
      <c r="Q226" s="70" t="n">
        <v>60.5</v>
      </c>
      <c r="R226" s="70" t="n">
        <v>76.3</v>
      </c>
      <c r="S226" s="43" t="str">
        <f aca="false">IF(M226&gt;=40,"Pass","Fail")</f>
        <v>Pass</v>
      </c>
      <c r="T226" s="43" t="str">
        <f aca="false">IF(M226&gt;=80,"Yes","No")</f>
        <v>No</v>
      </c>
    </row>
    <row r="227" customFormat="false" ht="15" hidden="false" customHeight="false" outlineLevel="0" collapsed="false">
      <c r="A227" s="34" t="s">
        <v>3224</v>
      </c>
      <c r="B227" s="35" t="s">
        <v>3225</v>
      </c>
      <c r="C227" s="34" t="s">
        <v>2781</v>
      </c>
      <c r="D227" s="42" t="n">
        <v>8</v>
      </c>
      <c r="E227" s="34" t="s">
        <v>2774</v>
      </c>
      <c r="F227" s="35" t="s">
        <v>2771</v>
      </c>
      <c r="G227" s="63" t="n">
        <v>89</v>
      </c>
      <c r="H227" s="35" t="s">
        <v>2770</v>
      </c>
      <c r="I227" s="63" t="n">
        <v>39</v>
      </c>
      <c r="J227" s="35" t="s">
        <v>2775</v>
      </c>
      <c r="K227" s="63" t="n">
        <v>80</v>
      </c>
      <c r="L227" s="63" t="n">
        <f aca="false">G227+I227+K227</f>
        <v>208</v>
      </c>
      <c r="M227" s="64" t="n">
        <f aca="false">L227/300*100</f>
        <v>69.3333333333333</v>
      </c>
      <c r="N227" s="34" t="str">
        <f aca="false">IF(M227&gt;=90,"A+",IF(M227&gt;=80,"A",IF(M227&gt;=70,"B+",IF(M227&gt;=60,"B",IF(M227&gt;=50,"C","F")))))</f>
        <v>B</v>
      </c>
      <c r="O227" s="65" t="n">
        <f aca="false">IF(M227&gt;=90,4,IF(M227&gt;=80,3.7,IF(M227&gt;=70,3.3,IF(M227&gt;=60,3,IF(M227&gt;=50,2,0)))))</f>
        <v>3</v>
      </c>
      <c r="P227" s="38" t="n">
        <v>0.615</v>
      </c>
      <c r="Q227" s="66" t="n">
        <v>52.8</v>
      </c>
      <c r="R227" s="66" t="n">
        <v>74.1</v>
      </c>
      <c r="S227" s="34" t="str">
        <f aca="false">IF(M227&gt;=40,"Pass","Fail")</f>
        <v>Pass</v>
      </c>
      <c r="T227" s="34" t="str">
        <f aca="false">IF(M227&gt;=80,"Yes","No")</f>
        <v>No</v>
      </c>
    </row>
    <row r="228" customFormat="false" ht="15" hidden="false" customHeight="false" outlineLevel="0" collapsed="false">
      <c r="A228" s="43" t="s">
        <v>3226</v>
      </c>
      <c r="B228" s="44" t="s">
        <v>3227</v>
      </c>
      <c r="C228" s="43" t="s">
        <v>2806</v>
      </c>
      <c r="D228" s="51" t="n">
        <v>7</v>
      </c>
      <c r="E228" s="43" t="s">
        <v>2774</v>
      </c>
      <c r="F228" s="44" t="s">
        <v>2778</v>
      </c>
      <c r="G228" s="67" t="n">
        <v>47</v>
      </c>
      <c r="H228" s="44" t="s">
        <v>2791</v>
      </c>
      <c r="I228" s="67" t="n">
        <v>26</v>
      </c>
      <c r="J228" s="44" t="s">
        <v>2770</v>
      </c>
      <c r="K228" s="67" t="n">
        <v>47</v>
      </c>
      <c r="L228" s="67" t="n">
        <f aca="false">G228+I228+K228</f>
        <v>120</v>
      </c>
      <c r="M228" s="68" t="n">
        <f aca="false">L228/300*100</f>
        <v>40</v>
      </c>
      <c r="N228" s="43" t="str">
        <f aca="false">IF(M228&gt;=90,"A+",IF(M228&gt;=80,"A",IF(M228&gt;=70,"B+",IF(M228&gt;=60,"B",IF(M228&gt;=50,"C","F")))))</f>
        <v>F</v>
      </c>
      <c r="O228" s="69" t="n">
        <f aca="false">IF(M228&gt;=90,4,IF(M228&gt;=80,3.7,IF(M228&gt;=70,3.3,IF(M228&gt;=60,3,IF(M228&gt;=50,2,0)))))</f>
        <v>0</v>
      </c>
      <c r="P228" s="47" t="n">
        <v>0.941</v>
      </c>
      <c r="Q228" s="70" t="n">
        <v>97.2</v>
      </c>
      <c r="R228" s="70" t="n">
        <v>81</v>
      </c>
      <c r="S228" s="43" t="str">
        <f aca="false">IF(M228&gt;=40,"Pass","Fail")</f>
        <v>Pass</v>
      </c>
      <c r="T228" s="43" t="str">
        <f aca="false">IF(M228&gt;=80,"Yes","No")</f>
        <v>No</v>
      </c>
    </row>
    <row r="229" customFormat="false" ht="15" hidden="false" customHeight="false" outlineLevel="0" collapsed="false">
      <c r="A229" s="34" t="s">
        <v>3228</v>
      </c>
      <c r="B229" s="35" t="s">
        <v>3229</v>
      </c>
      <c r="C229" s="34" t="s">
        <v>2803</v>
      </c>
      <c r="D229" s="42" t="n">
        <v>5</v>
      </c>
      <c r="E229" s="34" t="s">
        <v>2782</v>
      </c>
      <c r="F229" s="35" t="s">
        <v>2783</v>
      </c>
      <c r="G229" s="63" t="n">
        <v>28</v>
      </c>
      <c r="H229" s="35" t="s">
        <v>2792</v>
      </c>
      <c r="I229" s="63" t="n">
        <v>55</v>
      </c>
      <c r="J229" s="35" t="s">
        <v>2764</v>
      </c>
      <c r="K229" s="63" t="n">
        <v>71</v>
      </c>
      <c r="L229" s="63" t="n">
        <f aca="false">G229+I229+K229</f>
        <v>154</v>
      </c>
      <c r="M229" s="64" t="n">
        <f aca="false">L229/300*100</f>
        <v>51.3333333333333</v>
      </c>
      <c r="N229" s="34" t="str">
        <f aca="false">IF(M229&gt;=90,"A+",IF(M229&gt;=80,"A",IF(M229&gt;=70,"B+",IF(M229&gt;=60,"B",IF(M229&gt;=50,"C","F")))))</f>
        <v>C</v>
      </c>
      <c r="O229" s="65" t="n">
        <f aca="false">IF(M229&gt;=90,4,IF(M229&gt;=80,3.7,IF(M229&gt;=70,3.3,IF(M229&gt;=60,3,IF(M229&gt;=50,2,0)))))</f>
        <v>2</v>
      </c>
      <c r="P229" s="38" t="n">
        <v>0.587</v>
      </c>
      <c r="Q229" s="66" t="n">
        <v>92.4</v>
      </c>
      <c r="R229" s="66" t="n">
        <v>67.1</v>
      </c>
      <c r="S229" s="34" t="str">
        <f aca="false">IF(M229&gt;=40,"Pass","Fail")</f>
        <v>Pass</v>
      </c>
      <c r="T229" s="34" t="str">
        <f aca="false">IF(M229&gt;=80,"Yes","No")</f>
        <v>No</v>
      </c>
    </row>
    <row r="230" customFormat="false" ht="15" hidden="false" customHeight="false" outlineLevel="0" collapsed="false">
      <c r="A230" s="43" t="s">
        <v>3230</v>
      </c>
      <c r="B230" s="44" t="s">
        <v>3231</v>
      </c>
      <c r="C230" s="43" t="s">
        <v>2762</v>
      </c>
      <c r="D230" s="51" t="n">
        <v>4</v>
      </c>
      <c r="E230" s="43" t="s">
        <v>2782</v>
      </c>
      <c r="F230" s="44" t="s">
        <v>2771</v>
      </c>
      <c r="G230" s="67" t="n">
        <v>31</v>
      </c>
      <c r="H230" s="44" t="s">
        <v>2783</v>
      </c>
      <c r="I230" s="67" t="n">
        <v>74</v>
      </c>
      <c r="J230" s="44" t="s">
        <v>2775</v>
      </c>
      <c r="K230" s="67" t="n">
        <v>63</v>
      </c>
      <c r="L230" s="67" t="n">
        <f aca="false">G230+I230+K230</f>
        <v>168</v>
      </c>
      <c r="M230" s="68" t="n">
        <f aca="false">L230/300*100</f>
        <v>56</v>
      </c>
      <c r="N230" s="43" t="str">
        <f aca="false">IF(M230&gt;=90,"A+",IF(M230&gt;=80,"A",IF(M230&gt;=70,"B+",IF(M230&gt;=60,"B",IF(M230&gt;=50,"C","F")))))</f>
        <v>C</v>
      </c>
      <c r="O230" s="69" t="n">
        <f aca="false">IF(M230&gt;=90,4,IF(M230&gt;=80,3.7,IF(M230&gt;=70,3.3,IF(M230&gt;=60,3,IF(M230&gt;=50,2,0)))))</f>
        <v>2</v>
      </c>
      <c r="P230" s="47" t="n">
        <v>0.984</v>
      </c>
      <c r="Q230" s="70" t="n">
        <v>57.8</v>
      </c>
      <c r="R230" s="70" t="n">
        <v>51.9</v>
      </c>
      <c r="S230" s="43" t="str">
        <f aca="false">IF(M230&gt;=40,"Pass","Fail")</f>
        <v>Pass</v>
      </c>
      <c r="T230" s="43" t="str">
        <f aca="false">IF(M230&gt;=80,"Yes","No")</f>
        <v>No</v>
      </c>
    </row>
    <row r="231" customFormat="false" ht="15" hidden="false" customHeight="false" outlineLevel="0" collapsed="false">
      <c r="A231" s="34" t="s">
        <v>3232</v>
      </c>
      <c r="B231" s="35" t="s">
        <v>3233</v>
      </c>
      <c r="C231" s="34" t="s">
        <v>2762</v>
      </c>
      <c r="D231" s="42" t="n">
        <v>8</v>
      </c>
      <c r="E231" s="34" t="s">
        <v>2763</v>
      </c>
      <c r="F231" s="35" t="s">
        <v>2766</v>
      </c>
      <c r="G231" s="63" t="n">
        <v>65</v>
      </c>
      <c r="H231" s="35" t="s">
        <v>2783</v>
      </c>
      <c r="I231" s="63" t="n">
        <v>93</v>
      </c>
      <c r="J231" s="35" t="s">
        <v>2791</v>
      </c>
      <c r="K231" s="63" t="n">
        <v>69</v>
      </c>
      <c r="L231" s="63" t="n">
        <f aca="false">G231+I231+K231</f>
        <v>227</v>
      </c>
      <c r="M231" s="64" t="n">
        <f aca="false">L231/300*100</f>
        <v>75.6666666666667</v>
      </c>
      <c r="N231" s="34" t="str">
        <f aca="false">IF(M231&gt;=90,"A+",IF(M231&gt;=80,"A",IF(M231&gt;=70,"B+",IF(M231&gt;=60,"B",IF(M231&gt;=50,"C","F")))))</f>
        <v>B+</v>
      </c>
      <c r="O231" s="65" t="n">
        <f aca="false">IF(M231&gt;=90,4,IF(M231&gt;=80,3.7,IF(M231&gt;=70,3.3,IF(M231&gt;=60,3,IF(M231&gt;=50,2,0)))))</f>
        <v>3.3</v>
      </c>
      <c r="P231" s="38" t="n">
        <v>0.92</v>
      </c>
      <c r="Q231" s="66" t="n">
        <v>73.7</v>
      </c>
      <c r="R231" s="66" t="n">
        <v>93.6</v>
      </c>
      <c r="S231" s="34" t="str">
        <f aca="false">IF(M231&gt;=40,"Pass","Fail")</f>
        <v>Pass</v>
      </c>
      <c r="T231" s="34" t="str">
        <f aca="false">IF(M231&gt;=80,"Yes","No")</f>
        <v>No</v>
      </c>
    </row>
    <row r="232" customFormat="false" ht="15" hidden="false" customHeight="false" outlineLevel="0" collapsed="false">
      <c r="A232" s="43" t="s">
        <v>3234</v>
      </c>
      <c r="B232" s="44" t="s">
        <v>3235</v>
      </c>
      <c r="C232" s="43" t="s">
        <v>2781</v>
      </c>
      <c r="D232" s="51" t="n">
        <v>2</v>
      </c>
      <c r="E232" s="43" t="s">
        <v>2782</v>
      </c>
      <c r="F232" s="44" t="s">
        <v>2764</v>
      </c>
      <c r="G232" s="67" t="n">
        <v>60</v>
      </c>
      <c r="H232" s="44" t="s">
        <v>2783</v>
      </c>
      <c r="I232" s="67" t="n">
        <v>21</v>
      </c>
      <c r="J232" s="44" t="s">
        <v>2778</v>
      </c>
      <c r="K232" s="67" t="n">
        <v>39</v>
      </c>
      <c r="L232" s="67" t="n">
        <f aca="false">G232+I232+K232</f>
        <v>120</v>
      </c>
      <c r="M232" s="68" t="n">
        <f aca="false">L232/300*100</f>
        <v>40</v>
      </c>
      <c r="N232" s="43" t="str">
        <f aca="false">IF(M232&gt;=90,"A+",IF(M232&gt;=80,"A",IF(M232&gt;=70,"B+",IF(M232&gt;=60,"B",IF(M232&gt;=50,"C","F")))))</f>
        <v>F</v>
      </c>
      <c r="O232" s="69" t="n">
        <f aca="false">IF(M232&gt;=90,4,IF(M232&gt;=80,3.7,IF(M232&gt;=70,3.3,IF(M232&gt;=60,3,IF(M232&gt;=50,2,0)))))</f>
        <v>0</v>
      </c>
      <c r="P232" s="47" t="n">
        <v>0.953</v>
      </c>
      <c r="Q232" s="70" t="n">
        <v>96</v>
      </c>
      <c r="R232" s="70" t="n">
        <v>70</v>
      </c>
      <c r="S232" s="43" t="str">
        <f aca="false">IF(M232&gt;=40,"Pass","Fail")</f>
        <v>Pass</v>
      </c>
      <c r="T232" s="43" t="str">
        <f aca="false">IF(M232&gt;=80,"Yes","No")</f>
        <v>No</v>
      </c>
    </row>
    <row r="233" customFormat="false" ht="15" hidden="false" customHeight="false" outlineLevel="0" collapsed="false">
      <c r="A233" s="34" t="s">
        <v>3236</v>
      </c>
      <c r="B233" s="35" t="s">
        <v>3237</v>
      </c>
      <c r="C233" s="34" t="s">
        <v>2803</v>
      </c>
      <c r="D233" s="42" t="n">
        <v>2</v>
      </c>
      <c r="E233" s="34" t="s">
        <v>2782</v>
      </c>
      <c r="F233" s="35" t="s">
        <v>2791</v>
      </c>
      <c r="G233" s="63" t="n">
        <v>77</v>
      </c>
      <c r="H233" s="35" t="s">
        <v>2771</v>
      </c>
      <c r="I233" s="63" t="n">
        <v>36</v>
      </c>
      <c r="J233" s="35" t="s">
        <v>2775</v>
      </c>
      <c r="K233" s="63" t="n">
        <v>77</v>
      </c>
      <c r="L233" s="63" t="n">
        <f aca="false">G233+I233+K233</f>
        <v>190</v>
      </c>
      <c r="M233" s="64" t="n">
        <f aca="false">L233/300*100</f>
        <v>63.3333333333333</v>
      </c>
      <c r="N233" s="34" t="str">
        <f aca="false">IF(M233&gt;=90,"A+",IF(M233&gt;=80,"A",IF(M233&gt;=70,"B+",IF(M233&gt;=60,"B",IF(M233&gt;=50,"C","F")))))</f>
        <v>B</v>
      </c>
      <c r="O233" s="65" t="n">
        <f aca="false">IF(M233&gt;=90,4,IF(M233&gt;=80,3.7,IF(M233&gt;=70,3.3,IF(M233&gt;=60,3,IF(M233&gt;=50,2,0)))))</f>
        <v>3</v>
      </c>
      <c r="P233" s="38" t="n">
        <v>0.838</v>
      </c>
      <c r="Q233" s="66" t="n">
        <v>74.7</v>
      </c>
      <c r="R233" s="66" t="n">
        <v>42.2</v>
      </c>
      <c r="S233" s="34" t="str">
        <f aca="false">IF(M233&gt;=40,"Pass","Fail")</f>
        <v>Pass</v>
      </c>
      <c r="T233" s="34" t="str">
        <f aca="false">IF(M233&gt;=80,"Yes","No")</f>
        <v>No</v>
      </c>
    </row>
    <row r="234" customFormat="false" ht="15" hidden="false" customHeight="false" outlineLevel="0" collapsed="false">
      <c r="A234" s="43" t="s">
        <v>3238</v>
      </c>
      <c r="B234" s="44" t="s">
        <v>3239</v>
      </c>
      <c r="C234" s="43" t="s">
        <v>2769</v>
      </c>
      <c r="D234" s="51" t="n">
        <v>4</v>
      </c>
      <c r="E234" s="43" t="s">
        <v>2763</v>
      </c>
      <c r="F234" s="44" t="s">
        <v>2766</v>
      </c>
      <c r="G234" s="67" t="n">
        <v>47</v>
      </c>
      <c r="H234" s="44" t="s">
        <v>2783</v>
      </c>
      <c r="I234" s="67" t="n">
        <v>64</v>
      </c>
      <c r="J234" s="44" t="s">
        <v>2791</v>
      </c>
      <c r="K234" s="67" t="n">
        <v>46</v>
      </c>
      <c r="L234" s="67" t="n">
        <f aca="false">G234+I234+K234</f>
        <v>157</v>
      </c>
      <c r="M234" s="68" t="n">
        <f aca="false">L234/300*100</f>
        <v>52.3333333333333</v>
      </c>
      <c r="N234" s="43" t="str">
        <f aca="false">IF(M234&gt;=90,"A+",IF(M234&gt;=80,"A",IF(M234&gt;=70,"B+",IF(M234&gt;=60,"B",IF(M234&gt;=50,"C","F")))))</f>
        <v>C</v>
      </c>
      <c r="O234" s="69" t="n">
        <f aca="false">IF(M234&gt;=90,4,IF(M234&gt;=80,3.7,IF(M234&gt;=70,3.3,IF(M234&gt;=60,3,IF(M234&gt;=50,2,0)))))</f>
        <v>2</v>
      </c>
      <c r="P234" s="47" t="n">
        <v>0.979</v>
      </c>
      <c r="Q234" s="70" t="n">
        <v>98.3</v>
      </c>
      <c r="R234" s="70" t="n">
        <v>74.6</v>
      </c>
      <c r="S234" s="43" t="str">
        <f aca="false">IF(M234&gt;=40,"Pass","Fail")</f>
        <v>Pass</v>
      </c>
      <c r="T234" s="43" t="str">
        <f aca="false">IF(M234&gt;=80,"Yes","No")</f>
        <v>No</v>
      </c>
    </row>
    <row r="235" customFormat="false" ht="15" hidden="false" customHeight="false" outlineLevel="0" collapsed="false">
      <c r="A235" s="34" t="s">
        <v>3240</v>
      </c>
      <c r="B235" s="35" t="s">
        <v>3241</v>
      </c>
      <c r="C235" s="34" t="s">
        <v>2851</v>
      </c>
      <c r="D235" s="42" t="n">
        <v>6</v>
      </c>
      <c r="E235" s="34" t="s">
        <v>2763</v>
      </c>
      <c r="F235" s="35" t="s">
        <v>2775</v>
      </c>
      <c r="G235" s="63" t="n">
        <v>84</v>
      </c>
      <c r="H235" s="35" t="s">
        <v>2771</v>
      </c>
      <c r="I235" s="63" t="n">
        <v>35</v>
      </c>
      <c r="J235" s="35" t="s">
        <v>2766</v>
      </c>
      <c r="K235" s="63" t="n">
        <v>83</v>
      </c>
      <c r="L235" s="63" t="n">
        <f aca="false">G235+I235+K235</f>
        <v>202</v>
      </c>
      <c r="M235" s="64" t="n">
        <f aca="false">L235/300*100</f>
        <v>67.3333333333333</v>
      </c>
      <c r="N235" s="34" t="str">
        <f aca="false">IF(M235&gt;=90,"A+",IF(M235&gt;=80,"A",IF(M235&gt;=70,"B+",IF(M235&gt;=60,"B",IF(M235&gt;=50,"C","F")))))</f>
        <v>B</v>
      </c>
      <c r="O235" s="65" t="n">
        <f aca="false">IF(M235&gt;=90,4,IF(M235&gt;=80,3.7,IF(M235&gt;=70,3.3,IF(M235&gt;=60,3,IF(M235&gt;=50,2,0)))))</f>
        <v>3</v>
      </c>
      <c r="P235" s="38" t="n">
        <v>0.842</v>
      </c>
      <c r="Q235" s="66" t="n">
        <v>67.4</v>
      </c>
      <c r="R235" s="66" t="n">
        <v>64.6</v>
      </c>
      <c r="S235" s="34" t="str">
        <f aca="false">IF(M235&gt;=40,"Pass","Fail")</f>
        <v>Pass</v>
      </c>
      <c r="T235" s="34" t="str">
        <f aca="false">IF(M235&gt;=80,"Yes","No")</f>
        <v>No</v>
      </c>
    </row>
    <row r="236" customFormat="false" ht="15" hidden="false" customHeight="false" outlineLevel="0" collapsed="false">
      <c r="A236" s="43" t="s">
        <v>3242</v>
      </c>
      <c r="B236" s="44" t="s">
        <v>3243</v>
      </c>
      <c r="C236" s="43" t="s">
        <v>2803</v>
      </c>
      <c r="D236" s="51" t="n">
        <v>7</v>
      </c>
      <c r="E236" s="43" t="s">
        <v>2782</v>
      </c>
      <c r="F236" s="44" t="s">
        <v>2778</v>
      </c>
      <c r="G236" s="67" t="n">
        <v>78</v>
      </c>
      <c r="H236" s="44" t="s">
        <v>2792</v>
      </c>
      <c r="I236" s="67" t="n">
        <v>74</v>
      </c>
      <c r="J236" s="44" t="s">
        <v>2783</v>
      </c>
      <c r="K236" s="67" t="n">
        <v>67</v>
      </c>
      <c r="L236" s="67" t="n">
        <f aca="false">G236+I236+K236</f>
        <v>219</v>
      </c>
      <c r="M236" s="68" t="n">
        <f aca="false">L236/300*100</f>
        <v>73</v>
      </c>
      <c r="N236" s="43" t="str">
        <f aca="false">IF(M236&gt;=90,"A+",IF(M236&gt;=80,"A",IF(M236&gt;=70,"B+",IF(M236&gt;=60,"B",IF(M236&gt;=50,"C","F")))))</f>
        <v>B+</v>
      </c>
      <c r="O236" s="69" t="n">
        <f aca="false">IF(M236&gt;=90,4,IF(M236&gt;=80,3.7,IF(M236&gt;=70,3.3,IF(M236&gt;=60,3,IF(M236&gt;=50,2,0)))))</f>
        <v>3.3</v>
      </c>
      <c r="P236" s="47" t="n">
        <v>0.63</v>
      </c>
      <c r="Q236" s="70" t="n">
        <v>75.7</v>
      </c>
      <c r="R236" s="70" t="n">
        <v>72.6</v>
      </c>
      <c r="S236" s="43" t="str">
        <f aca="false">IF(M236&gt;=40,"Pass","Fail")</f>
        <v>Pass</v>
      </c>
      <c r="T236" s="43" t="str">
        <f aca="false">IF(M236&gt;=80,"Yes","No")</f>
        <v>No</v>
      </c>
    </row>
    <row r="237" customFormat="false" ht="15" hidden="false" customHeight="false" outlineLevel="0" collapsed="false">
      <c r="A237" s="34" t="s">
        <v>3244</v>
      </c>
      <c r="B237" s="35" t="s">
        <v>3245</v>
      </c>
      <c r="C237" s="34" t="s">
        <v>2762</v>
      </c>
      <c r="D237" s="42" t="n">
        <v>5</v>
      </c>
      <c r="E237" s="34" t="s">
        <v>2782</v>
      </c>
      <c r="F237" s="35" t="s">
        <v>2791</v>
      </c>
      <c r="G237" s="63" t="n">
        <v>31</v>
      </c>
      <c r="H237" s="35" t="s">
        <v>2771</v>
      </c>
      <c r="I237" s="63" t="n">
        <v>33</v>
      </c>
      <c r="J237" s="35" t="s">
        <v>2792</v>
      </c>
      <c r="K237" s="63" t="n">
        <v>31</v>
      </c>
      <c r="L237" s="63" t="n">
        <f aca="false">G237+I237+K237</f>
        <v>95</v>
      </c>
      <c r="M237" s="64" t="n">
        <f aca="false">L237/300*100</f>
        <v>31.6666666666667</v>
      </c>
      <c r="N237" s="34" t="str">
        <f aca="false">IF(M237&gt;=90,"A+",IF(M237&gt;=80,"A",IF(M237&gt;=70,"B+",IF(M237&gt;=60,"B",IF(M237&gt;=50,"C","F")))))</f>
        <v>F</v>
      </c>
      <c r="O237" s="65" t="n">
        <f aca="false">IF(M237&gt;=90,4,IF(M237&gt;=80,3.7,IF(M237&gt;=70,3.3,IF(M237&gt;=60,3,IF(M237&gt;=50,2,0)))))</f>
        <v>0</v>
      </c>
      <c r="P237" s="38" t="n">
        <v>0.842</v>
      </c>
      <c r="Q237" s="66" t="n">
        <v>77</v>
      </c>
      <c r="R237" s="66" t="n">
        <v>64.7</v>
      </c>
      <c r="S237" s="34" t="str">
        <f aca="false">IF(M237&gt;=40,"Pass","Fail")</f>
        <v>Fail</v>
      </c>
      <c r="T237" s="34" t="str">
        <f aca="false">IF(M237&gt;=80,"Yes","No")</f>
        <v>No</v>
      </c>
    </row>
    <row r="238" customFormat="false" ht="15" hidden="false" customHeight="false" outlineLevel="0" collapsed="false">
      <c r="A238" s="43" t="s">
        <v>3246</v>
      </c>
      <c r="B238" s="44" t="s">
        <v>3247</v>
      </c>
      <c r="C238" s="43" t="s">
        <v>2762</v>
      </c>
      <c r="D238" s="51" t="n">
        <v>2</v>
      </c>
      <c r="E238" s="43" t="s">
        <v>2782</v>
      </c>
      <c r="F238" s="44" t="s">
        <v>2770</v>
      </c>
      <c r="G238" s="67" t="n">
        <v>57</v>
      </c>
      <c r="H238" s="44" t="s">
        <v>2766</v>
      </c>
      <c r="I238" s="67" t="n">
        <v>73</v>
      </c>
      <c r="J238" s="44" t="s">
        <v>2775</v>
      </c>
      <c r="K238" s="67" t="n">
        <v>47</v>
      </c>
      <c r="L238" s="67" t="n">
        <f aca="false">G238+I238+K238</f>
        <v>177</v>
      </c>
      <c r="M238" s="68" t="n">
        <f aca="false">L238/300*100</f>
        <v>59</v>
      </c>
      <c r="N238" s="43" t="str">
        <f aca="false">IF(M238&gt;=90,"A+",IF(M238&gt;=80,"A",IF(M238&gt;=70,"B+",IF(M238&gt;=60,"B",IF(M238&gt;=50,"C","F")))))</f>
        <v>C</v>
      </c>
      <c r="O238" s="69" t="n">
        <f aca="false">IF(M238&gt;=90,4,IF(M238&gt;=80,3.7,IF(M238&gt;=70,3.3,IF(M238&gt;=60,3,IF(M238&gt;=50,2,0)))))</f>
        <v>2</v>
      </c>
      <c r="P238" s="47" t="n">
        <v>0.65</v>
      </c>
      <c r="Q238" s="70" t="n">
        <v>67.3</v>
      </c>
      <c r="R238" s="70" t="n">
        <v>62.9</v>
      </c>
      <c r="S238" s="43" t="str">
        <f aca="false">IF(M238&gt;=40,"Pass","Fail")</f>
        <v>Pass</v>
      </c>
      <c r="T238" s="43" t="str">
        <f aca="false">IF(M238&gt;=80,"Yes","No")</f>
        <v>No</v>
      </c>
    </row>
    <row r="239" customFormat="false" ht="15" hidden="false" customHeight="false" outlineLevel="0" collapsed="false">
      <c r="A239" s="34" t="s">
        <v>3248</v>
      </c>
      <c r="B239" s="35" t="s">
        <v>3249</v>
      </c>
      <c r="C239" s="34" t="s">
        <v>2781</v>
      </c>
      <c r="D239" s="42" t="n">
        <v>8</v>
      </c>
      <c r="E239" s="34" t="s">
        <v>2774</v>
      </c>
      <c r="F239" s="35" t="s">
        <v>2778</v>
      </c>
      <c r="G239" s="63" t="n">
        <v>70</v>
      </c>
      <c r="H239" s="35" t="s">
        <v>2770</v>
      </c>
      <c r="I239" s="63" t="n">
        <v>20</v>
      </c>
      <c r="J239" s="35" t="s">
        <v>2791</v>
      </c>
      <c r="K239" s="63" t="n">
        <v>67</v>
      </c>
      <c r="L239" s="63" t="n">
        <f aca="false">G239+I239+K239</f>
        <v>157</v>
      </c>
      <c r="M239" s="64" t="n">
        <f aca="false">L239/300*100</f>
        <v>52.3333333333333</v>
      </c>
      <c r="N239" s="34" t="str">
        <f aca="false">IF(M239&gt;=90,"A+",IF(M239&gt;=80,"A",IF(M239&gt;=70,"B+",IF(M239&gt;=60,"B",IF(M239&gt;=50,"C","F")))))</f>
        <v>C</v>
      </c>
      <c r="O239" s="65" t="n">
        <f aca="false">IF(M239&gt;=90,4,IF(M239&gt;=80,3.7,IF(M239&gt;=70,3.3,IF(M239&gt;=60,3,IF(M239&gt;=50,2,0)))))</f>
        <v>2</v>
      </c>
      <c r="P239" s="38" t="n">
        <v>0.902</v>
      </c>
      <c r="Q239" s="66" t="n">
        <v>70.5</v>
      </c>
      <c r="R239" s="66" t="n">
        <v>56.1</v>
      </c>
      <c r="S239" s="34" t="str">
        <f aca="false">IF(M239&gt;=40,"Pass","Fail")</f>
        <v>Pass</v>
      </c>
      <c r="T239" s="34" t="str">
        <f aca="false">IF(M239&gt;=80,"Yes","No")</f>
        <v>No</v>
      </c>
    </row>
    <row r="240" customFormat="false" ht="15" hidden="false" customHeight="false" outlineLevel="0" collapsed="false">
      <c r="A240" s="43" t="s">
        <v>3250</v>
      </c>
      <c r="B240" s="44" t="s">
        <v>3251</v>
      </c>
      <c r="C240" s="43" t="s">
        <v>2769</v>
      </c>
      <c r="D240" s="51" t="n">
        <v>5</v>
      </c>
      <c r="E240" s="43" t="s">
        <v>2763</v>
      </c>
      <c r="F240" s="44" t="s">
        <v>2791</v>
      </c>
      <c r="G240" s="67" t="n">
        <v>73</v>
      </c>
      <c r="H240" s="44" t="s">
        <v>2765</v>
      </c>
      <c r="I240" s="67" t="n">
        <v>24</v>
      </c>
      <c r="J240" s="44" t="s">
        <v>2775</v>
      </c>
      <c r="K240" s="67" t="n">
        <v>21</v>
      </c>
      <c r="L240" s="67" t="n">
        <f aca="false">G240+I240+K240</f>
        <v>118</v>
      </c>
      <c r="M240" s="68" t="n">
        <f aca="false">L240/300*100</f>
        <v>39.3333333333333</v>
      </c>
      <c r="N240" s="43" t="str">
        <f aca="false">IF(M240&gt;=90,"A+",IF(M240&gt;=80,"A",IF(M240&gt;=70,"B+",IF(M240&gt;=60,"B",IF(M240&gt;=50,"C","F")))))</f>
        <v>F</v>
      </c>
      <c r="O240" s="69" t="n">
        <f aca="false">IF(M240&gt;=90,4,IF(M240&gt;=80,3.7,IF(M240&gt;=70,3.3,IF(M240&gt;=60,3,IF(M240&gt;=50,2,0)))))</f>
        <v>0</v>
      </c>
      <c r="P240" s="47" t="n">
        <v>0.562</v>
      </c>
      <c r="Q240" s="70" t="n">
        <v>87.4</v>
      </c>
      <c r="R240" s="70" t="n">
        <v>90.4</v>
      </c>
      <c r="S240" s="43" t="str">
        <f aca="false">IF(M240&gt;=40,"Pass","Fail")</f>
        <v>Fail</v>
      </c>
      <c r="T240" s="43" t="str">
        <f aca="false">IF(M240&gt;=80,"Yes","No")</f>
        <v>No</v>
      </c>
    </row>
    <row r="241" customFormat="false" ht="15" hidden="false" customHeight="false" outlineLevel="0" collapsed="false">
      <c r="A241" s="34" t="s">
        <v>3252</v>
      </c>
      <c r="B241" s="35" t="s">
        <v>3253</v>
      </c>
      <c r="C241" s="34" t="s">
        <v>2806</v>
      </c>
      <c r="D241" s="42" t="n">
        <v>6</v>
      </c>
      <c r="E241" s="34" t="s">
        <v>2763</v>
      </c>
      <c r="F241" s="35" t="s">
        <v>2783</v>
      </c>
      <c r="G241" s="63" t="n">
        <v>91</v>
      </c>
      <c r="H241" s="35" t="s">
        <v>2791</v>
      </c>
      <c r="I241" s="63" t="n">
        <v>70</v>
      </c>
      <c r="J241" s="35" t="s">
        <v>2765</v>
      </c>
      <c r="K241" s="63" t="n">
        <v>44</v>
      </c>
      <c r="L241" s="63" t="n">
        <f aca="false">G241+I241+K241</f>
        <v>205</v>
      </c>
      <c r="M241" s="64" t="n">
        <f aca="false">L241/300*100</f>
        <v>68.3333333333333</v>
      </c>
      <c r="N241" s="34" t="str">
        <f aca="false">IF(M241&gt;=90,"A+",IF(M241&gt;=80,"A",IF(M241&gt;=70,"B+",IF(M241&gt;=60,"B",IF(M241&gt;=50,"C","F")))))</f>
        <v>B</v>
      </c>
      <c r="O241" s="65" t="n">
        <f aca="false">IF(M241&gt;=90,4,IF(M241&gt;=80,3.7,IF(M241&gt;=70,3.3,IF(M241&gt;=60,3,IF(M241&gt;=50,2,0)))))</f>
        <v>3</v>
      </c>
      <c r="P241" s="38" t="n">
        <v>0.827</v>
      </c>
      <c r="Q241" s="66" t="n">
        <v>63.6</v>
      </c>
      <c r="R241" s="66" t="n">
        <v>43.1</v>
      </c>
      <c r="S241" s="34" t="str">
        <f aca="false">IF(M241&gt;=40,"Pass","Fail")</f>
        <v>Pass</v>
      </c>
      <c r="T241" s="34" t="str">
        <f aca="false">IF(M241&gt;=80,"Yes","No")</f>
        <v>No</v>
      </c>
    </row>
    <row r="242" customFormat="false" ht="15" hidden="false" customHeight="false" outlineLevel="0" collapsed="false">
      <c r="A242" s="43" t="s">
        <v>3254</v>
      </c>
      <c r="B242" s="44" t="s">
        <v>3255</v>
      </c>
      <c r="C242" s="43" t="s">
        <v>2806</v>
      </c>
      <c r="D242" s="51" t="n">
        <v>7</v>
      </c>
      <c r="E242" s="43" t="s">
        <v>2774</v>
      </c>
      <c r="F242" s="44" t="s">
        <v>2791</v>
      </c>
      <c r="G242" s="67" t="n">
        <v>60</v>
      </c>
      <c r="H242" s="44" t="s">
        <v>2783</v>
      </c>
      <c r="I242" s="67" t="n">
        <v>86</v>
      </c>
      <c r="J242" s="44" t="s">
        <v>2764</v>
      </c>
      <c r="K242" s="67" t="n">
        <v>40</v>
      </c>
      <c r="L242" s="67" t="n">
        <f aca="false">G242+I242+K242</f>
        <v>186</v>
      </c>
      <c r="M242" s="68" t="n">
        <f aca="false">L242/300*100</f>
        <v>62</v>
      </c>
      <c r="N242" s="43" t="str">
        <f aca="false">IF(M242&gt;=90,"A+",IF(M242&gt;=80,"A",IF(M242&gt;=70,"B+",IF(M242&gt;=60,"B",IF(M242&gt;=50,"C","F")))))</f>
        <v>B</v>
      </c>
      <c r="O242" s="69" t="n">
        <f aca="false">IF(M242&gt;=90,4,IF(M242&gt;=80,3.7,IF(M242&gt;=70,3.3,IF(M242&gt;=60,3,IF(M242&gt;=50,2,0)))))</f>
        <v>3</v>
      </c>
      <c r="P242" s="47" t="n">
        <v>0.747</v>
      </c>
      <c r="Q242" s="70" t="n">
        <v>46</v>
      </c>
      <c r="R242" s="70" t="n">
        <v>88.1</v>
      </c>
      <c r="S242" s="43" t="str">
        <f aca="false">IF(M242&gt;=40,"Pass","Fail")</f>
        <v>Pass</v>
      </c>
      <c r="T242" s="43" t="str">
        <f aca="false">IF(M242&gt;=80,"Yes","No")</f>
        <v>No</v>
      </c>
    </row>
    <row r="243" customFormat="false" ht="15" hidden="false" customHeight="false" outlineLevel="0" collapsed="false">
      <c r="A243" s="34" t="s">
        <v>3256</v>
      </c>
      <c r="B243" s="35" t="s">
        <v>3257</v>
      </c>
      <c r="C243" s="34" t="s">
        <v>2806</v>
      </c>
      <c r="D243" s="42" t="n">
        <v>2</v>
      </c>
      <c r="E243" s="34" t="s">
        <v>2782</v>
      </c>
      <c r="F243" s="35" t="s">
        <v>2764</v>
      </c>
      <c r="G243" s="63" t="n">
        <v>90</v>
      </c>
      <c r="H243" s="35" t="s">
        <v>2791</v>
      </c>
      <c r="I243" s="63" t="n">
        <v>40</v>
      </c>
      <c r="J243" s="35" t="s">
        <v>2771</v>
      </c>
      <c r="K243" s="63" t="n">
        <v>61</v>
      </c>
      <c r="L243" s="63" t="n">
        <f aca="false">G243+I243+K243</f>
        <v>191</v>
      </c>
      <c r="M243" s="64" t="n">
        <f aca="false">L243/300*100</f>
        <v>63.6666666666667</v>
      </c>
      <c r="N243" s="34" t="str">
        <f aca="false">IF(M243&gt;=90,"A+",IF(M243&gt;=80,"A",IF(M243&gt;=70,"B+",IF(M243&gt;=60,"B",IF(M243&gt;=50,"C","F")))))</f>
        <v>B</v>
      </c>
      <c r="O243" s="65" t="n">
        <f aca="false">IF(M243&gt;=90,4,IF(M243&gt;=80,3.7,IF(M243&gt;=70,3.3,IF(M243&gt;=60,3,IF(M243&gt;=50,2,0)))))</f>
        <v>3</v>
      </c>
      <c r="P243" s="38" t="n">
        <v>0.642</v>
      </c>
      <c r="Q243" s="66" t="n">
        <v>45.6</v>
      </c>
      <c r="R243" s="66" t="n">
        <v>66.2</v>
      </c>
      <c r="S243" s="34" t="str">
        <f aca="false">IF(M243&gt;=40,"Pass","Fail")</f>
        <v>Pass</v>
      </c>
      <c r="T243" s="34" t="str">
        <f aca="false">IF(M243&gt;=80,"Yes","No")</f>
        <v>No</v>
      </c>
    </row>
    <row r="244" customFormat="false" ht="15" hidden="false" customHeight="false" outlineLevel="0" collapsed="false">
      <c r="A244" s="43" t="s">
        <v>3258</v>
      </c>
      <c r="B244" s="44" t="s">
        <v>3259</v>
      </c>
      <c r="C244" s="43" t="s">
        <v>2769</v>
      </c>
      <c r="D244" s="51" t="n">
        <v>3</v>
      </c>
      <c r="E244" s="43" t="s">
        <v>2774</v>
      </c>
      <c r="F244" s="44" t="s">
        <v>2764</v>
      </c>
      <c r="G244" s="67" t="n">
        <v>93</v>
      </c>
      <c r="H244" s="44" t="s">
        <v>2766</v>
      </c>
      <c r="I244" s="67" t="n">
        <v>68</v>
      </c>
      <c r="J244" s="44" t="s">
        <v>2792</v>
      </c>
      <c r="K244" s="67" t="n">
        <v>23</v>
      </c>
      <c r="L244" s="67" t="n">
        <f aca="false">G244+I244+K244</f>
        <v>184</v>
      </c>
      <c r="M244" s="68" t="n">
        <f aca="false">L244/300*100</f>
        <v>61.3333333333333</v>
      </c>
      <c r="N244" s="43" t="str">
        <f aca="false">IF(M244&gt;=90,"A+",IF(M244&gt;=80,"A",IF(M244&gt;=70,"B+",IF(M244&gt;=60,"B",IF(M244&gt;=50,"C","F")))))</f>
        <v>B</v>
      </c>
      <c r="O244" s="69" t="n">
        <f aca="false">IF(M244&gt;=90,4,IF(M244&gt;=80,3.7,IF(M244&gt;=70,3.3,IF(M244&gt;=60,3,IF(M244&gt;=50,2,0)))))</f>
        <v>3</v>
      </c>
      <c r="P244" s="47" t="n">
        <v>0.884</v>
      </c>
      <c r="Q244" s="70" t="n">
        <v>47.8</v>
      </c>
      <c r="R244" s="70" t="n">
        <v>67.2</v>
      </c>
      <c r="S244" s="43" t="str">
        <f aca="false">IF(M244&gt;=40,"Pass","Fail")</f>
        <v>Pass</v>
      </c>
      <c r="T244" s="43" t="str">
        <f aca="false">IF(M244&gt;=80,"Yes","No")</f>
        <v>No</v>
      </c>
    </row>
    <row r="245" customFormat="false" ht="15" hidden="false" customHeight="false" outlineLevel="0" collapsed="false">
      <c r="A245" s="34" t="s">
        <v>3260</v>
      </c>
      <c r="B245" s="35" t="s">
        <v>3261</v>
      </c>
      <c r="C245" s="34" t="s">
        <v>2769</v>
      </c>
      <c r="D245" s="42" t="n">
        <v>6</v>
      </c>
      <c r="E245" s="34" t="s">
        <v>2774</v>
      </c>
      <c r="F245" s="35" t="s">
        <v>2765</v>
      </c>
      <c r="G245" s="63" t="n">
        <v>44</v>
      </c>
      <c r="H245" s="35" t="s">
        <v>2764</v>
      </c>
      <c r="I245" s="63" t="n">
        <v>88</v>
      </c>
      <c r="J245" s="35" t="s">
        <v>2771</v>
      </c>
      <c r="K245" s="63" t="n">
        <v>51</v>
      </c>
      <c r="L245" s="63" t="n">
        <f aca="false">G245+I245+K245</f>
        <v>183</v>
      </c>
      <c r="M245" s="64" t="n">
        <f aca="false">L245/300*100</f>
        <v>61</v>
      </c>
      <c r="N245" s="34" t="str">
        <f aca="false">IF(M245&gt;=90,"A+",IF(M245&gt;=80,"A",IF(M245&gt;=70,"B+",IF(M245&gt;=60,"B",IF(M245&gt;=50,"C","F")))))</f>
        <v>B</v>
      </c>
      <c r="O245" s="65" t="n">
        <f aca="false">IF(M245&gt;=90,4,IF(M245&gt;=80,3.7,IF(M245&gt;=70,3.3,IF(M245&gt;=60,3,IF(M245&gt;=50,2,0)))))</f>
        <v>3</v>
      </c>
      <c r="P245" s="38" t="n">
        <v>0.877</v>
      </c>
      <c r="Q245" s="66" t="n">
        <v>88.4</v>
      </c>
      <c r="R245" s="66" t="n">
        <v>62.7</v>
      </c>
      <c r="S245" s="34" t="str">
        <f aca="false">IF(M245&gt;=40,"Pass","Fail")</f>
        <v>Pass</v>
      </c>
      <c r="T245" s="34" t="str">
        <f aca="false">IF(M245&gt;=80,"Yes","No")</f>
        <v>No</v>
      </c>
    </row>
    <row r="246" customFormat="false" ht="15" hidden="false" customHeight="false" outlineLevel="0" collapsed="false">
      <c r="A246" s="43" t="s">
        <v>3262</v>
      </c>
      <c r="B246" s="44" t="s">
        <v>3263</v>
      </c>
      <c r="C246" s="43" t="s">
        <v>2803</v>
      </c>
      <c r="D246" s="51" t="n">
        <v>1</v>
      </c>
      <c r="E246" s="43" t="s">
        <v>2763</v>
      </c>
      <c r="F246" s="44" t="s">
        <v>2792</v>
      </c>
      <c r="G246" s="67" t="n">
        <v>94</v>
      </c>
      <c r="H246" s="44" t="s">
        <v>2783</v>
      </c>
      <c r="I246" s="67" t="n">
        <v>33</v>
      </c>
      <c r="J246" s="44" t="s">
        <v>2775</v>
      </c>
      <c r="K246" s="67" t="n">
        <v>34</v>
      </c>
      <c r="L246" s="67" t="n">
        <f aca="false">G246+I246+K246</f>
        <v>161</v>
      </c>
      <c r="M246" s="68" t="n">
        <f aca="false">L246/300*100</f>
        <v>53.6666666666667</v>
      </c>
      <c r="N246" s="43" t="str">
        <f aca="false">IF(M246&gt;=90,"A+",IF(M246&gt;=80,"A",IF(M246&gt;=70,"B+",IF(M246&gt;=60,"B",IF(M246&gt;=50,"C","F")))))</f>
        <v>C</v>
      </c>
      <c r="O246" s="69" t="n">
        <f aca="false">IF(M246&gt;=90,4,IF(M246&gt;=80,3.7,IF(M246&gt;=70,3.3,IF(M246&gt;=60,3,IF(M246&gt;=50,2,0)))))</f>
        <v>2</v>
      </c>
      <c r="P246" s="47" t="n">
        <v>0.757</v>
      </c>
      <c r="Q246" s="70" t="n">
        <v>75.8</v>
      </c>
      <c r="R246" s="70" t="n">
        <v>46.4</v>
      </c>
      <c r="S246" s="43" t="str">
        <f aca="false">IF(M246&gt;=40,"Pass","Fail")</f>
        <v>Pass</v>
      </c>
      <c r="T246" s="43" t="str">
        <f aca="false">IF(M246&gt;=80,"Yes","No")</f>
        <v>No</v>
      </c>
    </row>
    <row r="247" customFormat="false" ht="15" hidden="false" customHeight="false" outlineLevel="0" collapsed="false">
      <c r="A247" s="34" t="s">
        <v>3264</v>
      </c>
      <c r="B247" s="35" t="s">
        <v>3265</v>
      </c>
      <c r="C247" s="34" t="s">
        <v>2803</v>
      </c>
      <c r="D247" s="42" t="n">
        <v>5</v>
      </c>
      <c r="E247" s="34" t="s">
        <v>2774</v>
      </c>
      <c r="F247" s="35" t="s">
        <v>2792</v>
      </c>
      <c r="G247" s="63" t="n">
        <v>66</v>
      </c>
      <c r="H247" s="35" t="s">
        <v>2764</v>
      </c>
      <c r="I247" s="63" t="n">
        <v>46</v>
      </c>
      <c r="J247" s="35" t="s">
        <v>2770</v>
      </c>
      <c r="K247" s="63" t="n">
        <v>70</v>
      </c>
      <c r="L247" s="63" t="n">
        <f aca="false">G247+I247+K247</f>
        <v>182</v>
      </c>
      <c r="M247" s="64" t="n">
        <f aca="false">L247/300*100</f>
        <v>60.6666666666667</v>
      </c>
      <c r="N247" s="34" t="str">
        <f aca="false">IF(M247&gt;=90,"A+",IF(M247&gt;=80,"A",IF(M247&gt;=70,"B+",IF(M247&gt;=60,"B",IF(M247&gt;=50,"C","F")))))</f>
        <v>B</v>
      </c>
      <c r="O247" s="65" t="n">
        <f aca="false">IF(M247&gt;=90,4,IF(M247&gt;=80,3.7,IF(M247&gt;=70,3.3,IF(M247&gt;=60,3,IF(M247&gt;=50,2,0)))))</f>
        <v>3</v>
      </c>
      <c r="P247" s="38" t="n">
        <v>0.595</v>
      </c>
      <c r="Q247" s="66" t="n">
        <v>87.7</v>
      </c>
      <c r="R247" s="66" t="n">
        <v>64.8</v>
      </c>
      <c r="S247" s="34" t="str">
        <f aca="false">IF(M247&gt;=40,"Pass","Fail")</f>
        <v>Pass</v>
      </c>
      <c r="T247" s="34" t="str">
        <f aca="false">IF(M247&gt;=80,"Yes","No")</f>
        <v>No</v>
      </c>
    </row>
    <row r="248" customFormat="false" ht="15" hidden="false" customHeight="false" outlineLevel="0" collapsed="false">
      <c r="A248" s="43" t="s">
        <v>3266</v>
      </c>
      <c r="B248" s="44" t="s">
        <v>3267</v>
      </c>
      <c r="C248" s="43" t="s">
        <v>2762</v>
      </c>
      <c r="D248" s="51" t="n">
        <v>2</v>
      </c>
      <c r="E248" s="43" t="s">
        <v>2774</v>
      </c>
      <c r="F248" s="44" t="s">
        <v>2791</v>
      </c>
      <c r="G248" s="67" t="n">
        <v>77</v>
      </c>
      <c r="H248" s="44" t="s">
        <v>2764</v>
      </c>
      <c r="I248" s="67" t="n">
        <v>40</v>
      </c>
      <c r="J248" s="44" t="s">
        <v>2778</v>
      </c>
      <c r="K248" s="67" t="n">
        <v>43</v>
      </c>
      <c r="L248" s="67" t="n">
        <f aca="false">G248+I248+K248</f>
        <v>160</v>
      </c>
      <c r="M248" s="68" t="n">
        <f aca="false">L248/300*100</f>
        <v>53.3333333333333</v>
      </c>
      <c r="N248" s="43" t="str">
        <f aca="false">IF(M248&gt;=90,"A+",IF(M248&gt;=80,"A",IF(M248&gt;=70,"B+",IF(M248&gt;=60,"B",IF(M248&gt;=50,"C","F")))))</f>
        <v>C</v>
      </c>
      <c r="O248" s="69" t="n">
        <f aca="false">IF(M248&gt;=90,4,IF(M248&gt;=80,3.7,IF(M248&gt;=70,3.3,IF(M248&gt;=60,3,IF(M248&gt;=50,2,0)))))</f>
        <v>2</v>
      </c>
      <c r="P248" s="47" t="n">
        <v>0.684</v>
      </c>
      <c r="Q248" s="70" t="n">
        <v>94.2</v>
      </c>
      <c r="R248" s="70" t="n">
        <v>79.6</v>
      </c>
      <c r="S248" s="43" t="str">
        <f aca="false">IF(M248&gt;=40,"Pass","Fail")</f>
        <v>Pass</v>
      </c>
      <c r="T248" s="43" t="str">
        <f aca="false">IF(M248&gt;=80,"Yes","No")</f>
        <v>No</v>
      </c>
    </row>
    <row r="249" customFormat="false" ht="15" hidden="false" customHeight="false" outlineLevel="0" collapsed="false">
      <c r="A249" s="34" t="s">
        <v>3268</v>
      </c>
      <c r="B249" s="35" t="s">
        <v>3269</v>
      </c>
      <c r="C249" s="34" t="s">
        <v>2769</v>
      </c>
      <c r="D249" s="42" t="n">
        <v>1</v>
      </c>
      <c r="E249" s="34" t="s">
        <v>2774</v>
      </c>
      <c r="F249" s="35" t="s">
        <v>2778</v>
      </c>
      <c r="G249" s="63" t="n">
        <v>98</v>
      </c>
      <c r="H249" s="35" t="s">
        <v>2764</v>
      </c>
      <c r="I249" s="63" t="n">
        <v>96</v>
      </c>
      <c r="J249" s="35" t="s">
        <v>2770</v>
      </c>
      <c r="K249" s="63" t="n">
        <v>89</v>
      </c>
      <c r="L249" s="63" t="n">
        <f aca="false">G249+I249+K249</f>
        <v>283</v>
      </c>
      <c r="M249" s="64" t="n">
        <f aca="false">L249/300*100</f>
        <v>94.3333333333333</v>
      </c>
      <c r="N249" s="34" t="str">
        <f aca="false">IF(M249&gt;=90,"A+",IF(M249&gt;=80,"A",IF(M249&gt;=70,"B+",IF(M249&gt;=60,"B",IF(M249&gt;=50,"C","F")))))</f>
        <v>A+</v>
      </c>
      <c r="O249" s="65" t="n">
        <f aca="false">IF(M249&gt;=90,4,IF(M249&gt;=80,3.7,IF(M249&gt;=70,3.3,IF(M249&gt;=60,3,IF(M249&gt;=50,2,0)))))</f>
        <v>4</v>
      </c>
      <c r="P249" s="38" t="n">
        <v>0.552</v>
      </c>
      <c r="Q249" s="66" t="n">
        <v>71.3</v>
      </c>
      <c r="R249" s="66" t="n">
        <v>55.3</v>
      </c>
      <c r="S249" s="34" t="str">
        <f aca="false">IF(M249&gt;=40,"Pass","Fail")</f>
        <v>Pass</v>
      </c>
      <c r="T249" s="34" t="str">
        <f aca="false">IF(M249&gt;=80,"Yes","No")</f>
        <v>Yes</v>
      </c>
    </row>
    <row r="250" customFormat="false" ht="15" hidden="false" customHeight="false" outlineLevel="0" collapsed="false">
      <c r="A250" s="43" t="s">
        <v>3270</v>
      </c>
      <c r="B250" s="44" t="s">
        <v>3271</v>
      </c>
      <c r="C250" s="43" t="s">
        <v>2851</v>
      </c>
      <c r="D250" s="51" t="n">
        <v>4</v>
      </c>
      <c r="E250" s="43" t="s">
        <v>2782</v>
      </c>
      <c r="F250" s="44" t="s">
        <v>2775</v>
      </c>
      <c r="G250" s="67" t="n">
        <v>86</v>
      </c>
      <c r="H250" s="44" t="s">
        <v>2766</v>
      </c>
      <c r="I250" s="67" t="n">
        <v>85</v>
      </c>
      <c r="J250" s="44" t="s">
        <v>2764</v>
      </c>
      <c r="K250" s="67" t="n">
        <v>39</v>
      </c>
      <c r="L250" s="67" t="n">
        <f aca="false">G250+I250+K250</f>
        <v>210</v>
      </c>
      <c r="M250" s="68" t="n">
        <f aca="false">L250/300*100</f>
        <v>70</v>
      </c>
      <c r="N250" s="43" t="str">
        <f aca="false">IF(M250&gt;=90,"A+",IF(M250&gt;=80,"A",IF(M250&gt;=70,"B+",IF(M250&gt;=60,"B",IF(M250&gt;=50,"C","F")))))</f>
        <v>B+</v>
      </c>
      <c r="O250" s="69" t="n">
        <f aca="false">IF(M250&gt;=90,4,IF(M250&gt;=80,3.7,IF(M250&gt;=70,3.3,IF(M250&gt;=60,3,IF(M250&gt;=50,2,0)))))</f>
        <v>3.3</v>
      </c>
      <c r="P250" s="47" t="n">
        <v>0.647</v>
      </c>
      <c r="Q250" s="70" t="n">
        <v>61.9</v>
      </c>
      <c r="R250" s="70" t="n">
        <v>93.9</v>
      </c>
      <c r="S250" s="43" t="str">
        <f aca="false">IF(M250&gt;=40,"Pass","Fail")</f>
        <v>Pass</v>
      </c>
      <c r="T250" s="43" t="str">
        <f aca="false">IF(M250&gt;=80,"Yes","No")</f>
        <v>No</v>
      </c>
    </row>
    <row r="251" customFormat="false" ht="15" hidden="false" customHeight="false" outlineLevel="0" collapsed="false">
      <c r="A251" s="34" t="s">
        <v>3272</v>
      </c>
      <c r="B251" s="35" t="s">
        <v>3273</v>
      </c>
      <c r="C251" s="34" t="s">
        <v>2851</v>
      </c>
      <c r="D251" s="42" t="n">
        <v>6</v>
      </c>
      <c r="E251" s="34" t="s">
        <v>2774</v>
      </c>
      <c r="F251" s="35" t="s">
        <v>2765</v>
      </c>
      <c r="G251" s="63" t="n">
        <v>54</v>
      </c>
      <c r="H251" s="35" t="s">
        <v>2792</v>
      </c>
      <c r="I251" s="63" t="n">
        <v>55</v>
      </c>
      <c r="J251" s="35" t="s">
        <v>2783</v>
      </c>
      <c r="K251" s="63" t="n">
        <v>81</v>
      </c>
      <c r="L251" s="63" t="n">
        <f aca="false">G251+I251+K251</f>
        <v>190</v>
      </c>
      <c r="M251" s="64" t="n">
        <f aca="false">L251/300*100</f>
        <v>63.3333333333333</v>
      </c>
      <c r="N251" s="34" t="str">
        <f aca="false">IF(M251&gt;=90,"A+",IF(M251&gt;=80,"A",IF(M251&gt;=70,"B+",IF(M251&gt;=60,"B",IF(M251&gt;=50,"C","F")))))</f>
        <v>B</v>
      </c>
      <c r="O251" s="65" t="n">
        <f aca="false">IF(M251&gt;=90,4,IF(M251&gt;=80,3.7,IF(M251&gt;=70,3.3,IF(M251&gt;=60,3,IF(M251&gt;=50,2,0)))))</f>
        <v>3</v>
      </c>
      <c r="P251" s="38" t="n">
        <v>0.64</v>
      </c>
      <c r="Q251" s="66" t="n">
        <v>45.5</v>
      </c>
      <c r="R251" s="66" t="n">
        <v>82.5</v>
      </c>
      <c r="S251" s="34" t="str">
        <f aca="false">IF(M251&gt;=40,"Pass","Fail")</f>
        <v>Pass</v>
      </c>
      <c r="T251" s="34" t="str">
        <f aca="false">IF(M251&gt;=80,"Yes","No")</f>
        <v>No</v>
      </c>
    </row>
    <row r="252" customFormat="false" ht="15" hidden="false" customHeight="false" outlineLevel="0" collapsed="false">
      <c r="A252" s="43" t="s">
        <v>3274</v>
      </c>
      <c r="B252" s="44" t="s">
        <v>3275</v>
      </c>
      <c r="C252" s="43" t="s">
        <v>2769</v>
      </c>
      <c r="D252" s="51" t="n">
        <v>5</v>
      </c>
      <c r="E252" s="43" t="s">
        <v>2763</v>
      </c>
      <c r="F252" s="44" t="s">
        <v>2770</v>
      </c>
      <c r="G252" s="67" t="n">
        <v>44</v>
      </c>
      <c r="H252" s="44" t="s">
        <v>2791</v>
      </c>
      <c r="I252" s="67" t="n">
        <v>52</v>
      </c>
      <c r="J252" s="44" t="s">
        <v>2766</v>
      </c>
      <c r="K252" s="67" t="n">
        <v>42</v>
      </c>
      <c r="L252" s="67" t="n">
        <f aca="false">G252+I252+K252</f>
        <v>138</v>
      </c>
      <c r="M252" s="68" t="n">
        <f aca="false">L252/300*100</f>
        <v>46</v>
      </c>
      <c r="N252" s="43" t="str">
        <f aca="false">IF(M252&gt;=90,"A+",IF(M252&gt;=80,"A",IF(M252&gt;=70,"B+",IF(M252&gt;=60,"B",IF(M252&gt;=50,"C","F")))))</f>
        <v>F</v>
      </c>
      <c r="O252" s="69" t="n">
        <f aca="false">IF(M252&gt;=90,4,IF(M252&gt;=80,3.7,IF(M252&gt;=70,3.3,IF(M252&gt;=60,3,IF(M252&gt;=50,2,0)))))</f>
        <v>0</v>
      </c>
      <c r="P252" s="47" t="n">
        <v>0.639</v>
      </c>
      <c r="Q252" s="70" t="n">
        <v>90.8</v>
      </c>
      <c r="R252" s="70" t="n">
        <v>83</v>
      </c>
      <c r="S252" s="43" t="str">
        <f aca="false">IF(M252&gt;=40,"Pass","Fail")</f>
        <v>Pass</v>
      </c>
      <c r="T252" s="43" t="str">
        <f aca="false">IF(M252&gt;=80,"Yes","No")</f>
        <v>No</v>
      </c>
    </row>
    <row r="253" customFormat="false" ht="15" hidden="false" customHeight="false" outlineLevel="0" collapsed="false">
      <c r="A253" s="34" t="s">
        <v>3276</v>
      </c>
      <c r="B253" s="35" t="s">
        <v>3277</v>
      </c>
      <c r="C253" s="34" t="s">
        <v>2762</v>
      </c>
      <c r="D253" s="42" t="n">
        <v>2</v>
      </c>
      <c r="E253" s="34" t="s">
        <v>2782</v>
      </c>
      <c r="F253" s="35" t="s">
        <v>2764</v>
      </c>
      <c r="G253" s="63" t="n">
        <v>46</v>
      </c>
      <c r="H253" s="35" t="s">
        <v>2771</v>
      </c>
      <c r="I253" s="63" t="n">
        <v>82</v>
      </c>
      <c r="J253" s="35" t="s">
        <v>2783</v>
      </c>
      <c r="K253" s="63" t="n">
        <v>75</v>
      </c>
      <c r="L253" s="63" t="n">
        <f aca="false">G253+I253+K253</f>
        <v>203</v>
      </c>
      <c r="M253" s="64" t="n">
        <f aca="false">L253/300*100</f>
        <v>67.6666666666667</v>
      </c>
      <c r="N253" s="34" t="str">
        <f aca="false">IF(M253&gt;=90,"A+",IF(M253&gt;=80,"A",IF(M253&gt;=70,"B+",IF(M253&gt;=60,"B",IF(M253&gt;=50,"C","F")))))</f>
        <v>B</v>
      </c>
      <c r="O253" s="65" t="n">
        <f aca="false">IF(M253&gt;=90,4,IF(M253&gt;=80,3.7,IF(M253&gt;=70,3.3,IF(M253&gt;=60,3,IF(M253&gt;=50,2,0)))))</f>
        <v>3</v>
      </c>
      <c r="P253" s="38" t="n">
        <v>0.947</v>
      </c>
      <c r="Q253" s="66" t="n">
        <v>65.4</v>
      </c>
      <c r="R253" s="66" t="n">
        <v>84.8</v>
      </c>
      <c r="S253" s="34" t="str">
        <f aca="false">IF(M253&gt;=40,"Pass","Fail")</f>
        <v>Pass</v>
      </c>
      <c r="T253" s="34" t="str">
        <f aca="false">IF(M253&gt;=80,"Yes","No")</f>
        <v>No</v>
      </c>
    </row>
    <row r="254" customFormat="false" ht="15" hidden="false" customHeight="false" outlineLevel="0" collapsed="false">
      <c r="A254" s="43" t="s">
        <v>3278</v>
      </c>
      <c r="B254" s="44" t="s">
        <v>3279</v>
      </c>
      <c r="C254" s="43" t="s">
        <v>2786</v>
      </c>
      <c r="D254" s="51" t="n">
        <v>6</v>
      </c>
      <c r="E254" s="43" t="s">
        <v>2782</v>
      </c>
      <c r="F254" s="44" t="s">
        <v>2792</v>
      </c>
      <c r="G254" s="67" t="n">
        <v>45</v>
      </c>
      <c r="H254" s="44" t="s">
        <v>2791</v>
      </c>
      <c r="I254" s="67" t="n">
        <v>92</v>
      </c>
      <c r="J254" s="44" t="s">
        <v>2766</v>
      </c>
      <c r="K254" s="67" t="n">
        <v>65</v>
      </c>
      <c r="L254" s="67" t="n">
        <f aca="false">G254+I254+K254</f>
        <v>202</v>
      </c>
      <c r="M254" s="68" t="n">
        <f aca="false">L254/300*100</f>
        <v>67.3333333333333</v>
      </c>
      <c r="N254" s="43" t="str">
        <f aca="false">IF(M254&gt;=90,"A+",IF(M254&gt;=80,"A",IF(M254&gt;=70,"B+",IF(M254&gt;=60,"B",IF(M254&gt;=50,"C","F")))))</f>
        <v>B</v>
      </c>
      <c r="O254" s="69" t="n">
        <f aca="false">IF(M254&gt;=90,4,IF(M254&gt;=80,3.7,IF(M254&gt;=70,3.3,IF(M254&gt;=60,3,IF(M254&gt;=50,2,0)))))</f>
        <v>3</v>
      </c>
      <c r="P254" s="47" t="n">
        <v>0.718</v>
      </c>
      <c r="Q254" s="70" t="n">
        <v>78</v>
      </c>
      <c r="R254" s="70" t="n">
        <v>43.9</v>
      </c>
      <c r="S254" s="43" t="str">
        <f aca="false">IF(M254&gt;=40,"Pass","Fail")</f>
        <v>Pass</v>
      </c>
      <c r="T254" s="43" t="str">
        <f aca="false">IF(M254&gt;=80,"Yes","No")</f>
        <v>No</v>
      </c>
    </row>
    <row r="255" customFormat="false" ht="15" hidden="false" customHeight="false" outlineLevel="0" collapsed="false">
      <c r="A255" s="34" t="s">
        <v>3280</v>
      </c>
      <c r="B255" s="35" t="s">
        <v>3281</v>
      </c>
      <c r="C255" s="34" t="s">
        <v>2781</v>
      </c>
      <c r="D255" s="42" t="n">
        <v>1</v>
      </c>
      <c r="E255" s="34" t="s">
        <v>2782</v>
      </c>
      <c r="F255" s="35" t="s">
        <v>2771</v>
      </c>
      <c r="G255" s="63" t="n">
        <v>97</v>
      </c>
      <c r="H255" s="35" t="s">
        <v>2791</v>
      </c>
      <c r="I255" s="63" t="n">
        <v>87</v>
      </c>
      <c r="J255" s="35" t="s">
        <v>2764</v>
      </c>
      <c r="K255" s="63" t="n">
        <v>65</v>
      </c>
      <c r="L255" s="63" t="n">
        <f aca="false">G255+I255+K255</f>
        <v>249</v>
      </c>
      <c r="M255" s="64" t="n">
        <f aca="false">L255/300*100</f>
        <v>83</v>
      </c>
      <c r="N255" s="34" t="str">
        <f aca="false">IF(M255&gt;=90,"A+",IF(M255&gt;=80,"A",IF(M255&gt;=70,"B+",IF(M255&gt;=60,"B",IF(M255&gt;=50,"C","F")))))</f>
        <v>A</v>
      </c>
      <c r="O255" s="65" t="n">
        <f aca="false">IF(M255&gt;=90,4,IF(M255&gt;=80,3.7,IF(M255&gt;=70,3.3,IF(M255&gt;=60,3,IF(M255&gt;=50,2,0)))))</f>
        <v>3.7</v>
      </c>
      <c r="P255" s="38" t="n">
        <v>0.729</v>
      </c>
      <c r="Q255" s="66" t="n">
        <v>46.9</v>
      </c>
      <c r="R255" s="66" t="n">
        <v>88.5</v>
      </c>
      <c r="S255" s="34" t="str">
        <f aca="false">IF(M255&gt;=40,"Pass","Fail")</f>
        <v>Pass</v>
      </c>
      <c r="T255" s="34" t="str">
        <f aca="false">IF(M255&gt;=80,"Yes","No")</f>
        <v>Yes</v>
      </c>
    </row>
    <row r="256" customFormat="false" ht="15" hidden="false" customHeight="false" outlineLevel="0" collapsed="false">
      <c r="A256" s="43" t="s">
        <v>3282</v>
      </c>
      <c r="B256" s="44" t="s">
        <v>863</v>
      </c>
      <c r="C256" s="43" t="s">
        <v>2762</v>
      </c>
      <c r="D256" s="51" t="n">
        <v>3</v>
      </c>
      <c r="E256" s="43" t="s">
        <v>2763</v>
      </c>
      <c r="F256" s="44" t="s">
        <v>2765</v>
      </c>
      <c r="G256" s="67" t="n">
        <v>67</v>
      </c>
      <c r="H256" s="44" t="s">
        <v>2792</v>
      </c>
      <c r="I256" s="67" t="n">
        <v>67</v>
      </c>
      <c r="J256" s="44" t="s">
        <v>2764</v>
      </c>
      <c r="K256" s="67" t="n">
        <v>38</v>
      </c>
      <c r="L256" s="67" t="n">
        <f aca="false">G256+I256+K256</f>
        <v>172</v>
      </c>
      <c r="M256" s="68" t="n">
        <f aca="false">L256/300*100</f>
        <v>57.3333333333333</v>
      </c>
      <c r="N256" s="43" t="str">
        <f aca="false">IF(M256&gt;=90,"A+",IF(M256&gt;=80,"A",IF(M256&gt;=70,"B+",IF(M256&gt;=60,"B",IF(M256&gt;=50,"C","F")))))</f>
        <v>C</v>
      </c>
      <c r="O256" s="69" t="n">
        <f aca="false">IF(M256&gt;=90,4,IF(M256&gt;=80,3.7,IF(M256&gt;=70,3.3,IF(M256&gt;=60,3,IF(M256&gt;=50,2,0)))))</f>
        <v>2</v>
      </c>
      <c r="P256" s="47" t="n">
        <v>0.901</v>
      </c>
      <c r="Q256" s="70" t="n">
        <v>47.3</v>
      </c>
      <c r="R256" s="70" t="n">
        <v>59.1</v>
      </c>
      <c r="S256" s="43" t="str">
        <f aca="false">IF(M256&gt;=40,"Pass","Fail")</f>
        <v>Pass</v>
      </c>
      <c r="T256" s="43" t="str">
        <f aca="false">IF(M256&gt;=80,"Yes","No")</f>
        <v>No</v>
      </c>
    </row>
    <row r="257" customFormat="false" ht="15" hidden="false" customHeight="false" outlineLevel="0" collapsed="false">
      <c r="A257" s="34" t="s">
        <v>3283</v>
      </c>
      <c r="B257" s="35" t="s">
        <v>3284</v>
      </c>
      <c r="C257" s="34" t="s">
        <v>2851</v>
      </c>
      <c r="D257" s="42" t="n">
        <v>6</v>
      </c>
      <c r="E257" s="34" t="s">
        <v>2774</v>
      </c>
      <c r="F257" s="35" t="s">
        <v>2770</v>
      </c>
      <c r="G257" s="63" t="n">
        <v>91</v>
      </c>
      <c r="H257" s="35" t="s">
        <v>2778</v>
      </c>
      <c r="I257" s="63" t="n">
        <v>28</v>
      </c>
      <c r="J257" s="35" t="s">
        <v>2765</v>
      </c>
      <c r="K257" s="63" t="n">
        <v>69</v>
      </c>
      <c r="L257" s="63" t="n">
        <f aca="false">G257+I257+K257</f>
        <v>188</v>
      </c>
      <c r="M257" s="64" t="n">
        <f aca="false">L257/300*100</f>
        <v>62.6666666666667</v>
      </c>
      <c r="N257" s="34" t="str">
        <f aca="false">IF(M257&gt;=90,"A+",IF(M257&gt;=80,"A",IF(M257&gt;=70,"B+",IF(M257&gt;=60,"B",IF(M257&gt;=50,"C","F")))))</f>
        <v>B</v>
      </c>
      <c r="O257" s="65" t="n">
        <f aca="false">IF(M257&gt;=90,4,IF(M257&gt;=80,3.7,IF(M257&gt;=70,3.3,IF(M257&gt;=60,3,IF(M257&gt;=50,2,0)))))</f>
        <v>3</v>
      </c>
      <c r="P257" s="38" t="n">
        <v>0.678</v>
      </c>
      <c r="Q257" s="66" t="n">
        <v>52.7</v>
      </c>
      <c r="R257" s="66" t="n">
        <v>53</v>
      </c>
      <c r="S257" s="34" t="str">
        <f aca="false">IF(M257&gt;=40,"Pass","Fail")</f>
        <v>Pass</v>
      </c>
      <c r="T257" s="34" t="str">
        <f aca="false">IF(M257&gt;=80,"Yes","No")</f>
        <v>No</v>
      </c>
    </row>
    <row r="258" customFormat="false" ht="15" hidden="false" customHeight="false" outlineLevel="0" collapsed="false">
      <c r="A258" s="43" t="s">
        <v>3285</v>
      </c>
      <c r="B258" s="44" t="s">
        <v>3286</v>
      </c>
      <c r="C258" s="43" t="s">
        <v>2806</v>
      </c>
      <c r="D258" s="51" t="n">
        <v>5</v>
      </c>
      <c r="E258" s="43" t="s">
        <v>2782</v>
      </c>
      <c r="F258" s="44" t="s">
        <v>2764</v>
      </c>
      <c r="G258" s="67" t="n">
        <v>75</v>
      </c>
      <c r="H258" s="44" t="s">
        <v>2792</v>
      </c>
      <c r="I258" s="67" t="n">
        <v>60</v>
      </c>
      <c r="J258" s="44" t="s">
        <v>2791</v>
      </c>
      <c r="K258" s="67" t="n">
        <v>60</v>
      </c>
      <c r="L258" s="67" t="n">
        <f aca="false">G258+I258+K258</f>
        <v>195</v>
      </c>
      <c r="M258" s="68" t="n">
        <f aca="false">L258/300*100</f>
        <v>65</v>
      </c>
      <c r="N258" s="43" t="str">
        <f aca="false">IF(M258&gt;=90,"A+",IF(M258&gt;=80,"A",IF(M258&gt;=70,"B+",IF(M258&gt;=60,"B",IF(M258&gt;=50,"C","F")))))</f>
        <v>B</v>
      </c>
      <c r="O258" s="69" t="n">
        <f aca="false">IF(M258&gt;=90,4,IF(M258&gt;=80,3.7,IF(M258&gt;=70,3.3,IF(M258&gt;=60,3,IF(M258&gt;=50,2,0)))))</f>
        <v>3</v>
      </c>
      <c r="P258" s="47" t="n">
        <v>0.639</v>
      </c>
      <c r="Q258" s="70" t="n">
        <v>43</v>
      </c>
      <c r="R258" s="70" t="n">
        <v>69.6</v>
      </c>
      <c r="S258" s="43" t="str">
        <f aca="false">IF(M258&gt;=40,"Pass","Fail")</f>
        <v>Pass</v>
      </c>
      <c r="T258" s="43" t="str">
        <f aca="false">IF(M258&gt;=80,"Yes","No")</f>
        <v>No</v>
      </c>
    </row>
    <row r="259" customFormat="false" ht="15" hidden="false" customHeight="false" outlineLevel="0" collapsed="false">
      <c r="A259" s="34" t="s">
        <v>3287</v>
      </c>
      <c r="B259" s="35" t="s">
        <v>3288</v>
      </c>
      <c r="C259" s="34" t="s">
        <v>2851</v>
      </c>
      <c r="D259" s="42" t="n">
        <v>5</v>
      </c>
      <c r="E259" s="34" t="s">
        <v>2763</v>
      </c>
      <c r="F259" s="35" t="s">
        <v>2792</v>
      </c>
      <c r="G259" s="63" t="n">
        <v>41</v>
      </c>
      <c r="H259" s="35" t="s">
        <v>2764</v>
      </c>
      <c r="I259" s="63" t="n">
        <v>96</v>
      </c>
      <c r="J259" s="35" t="s">
        <v>2770</v>
      </c>
      <c r="K259" s="63" t="n">
        <v>61</v>
      </c>
      <c r="L259" s="63" t="n">
        <f aca="false">G259+I259+K259</f>
        <v>198</v>
      </c>
      <c r="M259" s="64" t="n">
        <f aca="false">L259/300*100</f>
        <v>66</v>
      </c>
      <c r="N259" s="34" t="str">
        <f aca="false">IF(M259&gt;=90,"A+",IF(M259&gt;=80,"A",IF(M259&gt;=70,"B+",IF(M259&gt;=60,"B",IF(M259&gt;=50,"C","F")))))</f>
        <v>B</v>
      </c>
      <c r="O259" s="65" t="n">
        <f aca="false">IF(M259&gt;=90,4,IF(M259&gt;=80,3.7,IF(M259&gt;=70,3.3,IF(M259&gt;=60,3,IF(M259&gt;=50,2,0)))))</f>
        <v>3</v>
      </c>
      <c r="P259" s="38" t="n">
        <v>0.816</v>
      </c>
      <c r="Q259" s="66" t="n">
        <v>54.2</v>
      </c>
      <c r="R259" s="66" t="n">
        <v>41.3</v>
      </c>
      <c r="S259" s="34" t="str">
        <f aca="false">IF(M259&gt;=40,"Pass","Fail")</f>
        <v>Pass</v>
      </c>
      <c r="T259" s="34" t="str">
        <f aca="false">IF(M259&gt;=80,"Yes","No")</f>
        <v>No</v>
      </c>
    </row>
    <row r="260" customFormat="false" ht="15" hidden="false" customHeight="false" outlineLevel="0" collapsed="false">
      <c r="A260" s="43" t="s">
        <v>3289</v>
      </c>
      <c r="B260" s="44" t="s">
        <v>3290</v>
      </c>
      <c r="C260" s="43" t="s">
        <v>2851</v>
      </c>
      <c r="D260" s="51" t="n">
        <v>1</v>
      </c>
      <c r="E260" s="43" t="s">
        <v>2763</v>
      </c>
      <c r="F260" s="44" t="s">
        <v>2771</v>
      </c>
      <c r="G260" s="67" t="n">
        <v>24</v>
      </c>
      <c r="H260" s="44" t="s">
        <v>2783</v>
      </c>
      <c r="I260" s="67" t="n">
        <v>88</v>
      </c>
      <c r="J260" s="44" t="s">
        <v>2791</v>
      </c>
      <c r="K260" s="67" t="n">
        <v>87</v>
      </c>
      <c r="L260" s="67" t="n">
        <f aca="false">G260+I260+K260</f>
        <v>199</v>
      </c>
      <c r="M260" s="68" t="n">
        <f aca="false">L260/300*100</f>
        <v>66.3333333333333</v>
      </c>
      <c r="N260" s="43" t="str">
        <f aca="false">IF(M260&gt;=90,"A+",IF(M260&gt;=80,"A",IF(M260&gt;=70,"B+",IF(M260&gt;=60,"B",IF(M260&gt;=50,"C","F")))))</f>
        <v>B</v>
      </c>
      <c r="O260" s="69" t="n">
        <f aca="false">IF(M260&gt;=90,4,IF(M260&gt;=80,3.7,IF(M260&gt;=70,3.3,IF(M260&gt;=60,3,IF(M260&gt;=50,2,0)))))</f>
        <v>3</v>
      </c>
      <c r="P260" s="47" t="n">
        <v>0.568</v>
      </c>
      <c r="Q260" s="70" t="n">
        <v>78.7</v>
      </c>
      <c r="R260" s="70" t="n">
        <v>44.2</v>
      </c>
      <c r="S260" s="43" t="str">
        <f aca="false">IF(M260&gt;=40,"Pass","Fail")</f>
        <v>Pass</v>
      </c>
      <c r="T260" s="43" t="str">
        <f aca="false">IF(M260&gt;=80,"Yes","No")</f>
        <v>No</v>
      </c>
    </row>
    <row r="261" customFormat="false" ht="15" hidden="false" customHeight="false" outlineLevel="0" collapsed="false">
      <c r="A261" s="34" t="s">
        <v>3291</v>
      </c>
      <c r="B261" s="35" t="s">
        <v>3292</v>
      </c>
      <c r="C261" s="34" t="s">
        <v>2851</v>
      </c>
      <c r="D261" s="42" t="n">
        <v>7</v>
      </c>
      <c r="E261" s="34" t="s">
        <v>2782</v>
      </c>
      <c r="F261" s="35" t="s">
        <v>2771</v>
      </c>
      <c r="G261" s="63" t="n">
        <v>64</v>
      </c>
      <c r="H261" s="35" t="s">
        <v>2764</v>
      </c>
      <c r="I261" s="63" t="n">
        <v>71</v>
      </c>
      <c r="J261" s="35" t="s">
        <v>2778</v>
      </c>
      <c r="K261" s="63" t="n">
        <v>30</v>
      </c>
      <c r="L261" s="63" t="n">
        <f aca="false">G261+I261+K261</f>
        <v>165</v>
      </c>
      <c r="M261" s="64" t="n">
        <f aca="false">L261/300*100</f>
        <v>55</v>
      </c>
      <c r="N261" s="34" t="str">
        <f aca="false">IF(M261&gt;=90,"A+",IF(M261&gt;=80,"A",IF(M261&gt;=70,"B+",IF(M261&gt;=60,"B",IF(M261&gt;=50,"C","F")))))</f>
        <v>C</v>
      </c>
      <c r="O261" s="65" t="n">
        <f aca="false">IF(M261&gt;=90,4,IF(M261&gt;=80,3.7,IF(M261&gt;=70,3.3,IF(M261&gt;=60,3,IF(M261&gt;=50,2,0)))))</f>
        <v>2</v>
      </c>
      <c r="P261" s="38" t="n">
        <v>0.8</v>
      </c>
      <c r="Q261" s="66" t="n">
        <v>58.8</v>
      </c>
      <c r="R261" s="66" t="n">
        <v>76.7</v>
      </c>
      <c r="S261" s="34" t="str">
        <f aca="false">IF(M261&gt;=40,"Pass","Fail")</f>
        <v>Pass</v>
      </c>
      <c r="T261" s="34" t="str">
        <f aca="false">IF(M261&gt;=80,"Yes","No")</f>
        <v>No</v>
      </c>
    </row>
    <row r="262" customFormat="false" ht="15" hidden="false" customHeight="false" outlineLevel="0" collapsed="false">
      <c r="A262" s="43" t="s">
        <v>3293</v>
      </c>
      <c r="B262" s="44" t="s">
        <v>3294</v>
      </c>
      <c r="C262" s="43" t="s">
        <v>2762</v>
      </c>
      <c r="D262" s="51" t="n">
        <v>5</v>
      </c>
      <c r="E262" s="43" t="s">
        <v>2782</v>
      </c>
      <c r="F262" s="44" t="s">
        <v>2770</v>
      </c>
      <c r="G262" s="67" t="n">
        <v>67</v>
      </c>
      <c r="H262" s="44" t="s">
        <v>2764</v>
      </c>
      <c r="I262" s="67" t="n">
        <v>99</v>
      </c>
      <c r="J262" s="44" t="s">
        <v>2792</v>
      </c>
      <c r="K262" s="67" t="n">
        <v>33</v>
      </c>
      <c r="L262" s="67" t="n">
        <f aca="false">G262+I262+K262</f>
        <v>199</v>
      </c>
      <c r="M262" s="68" t="n">
        <f aca="false">L262/300*100</f>
        <v>66.3333333333333</v>
      </c>
      <c r="N262" s="43" t="str">
        <f aca="false">IF(M262&gt;=90,"A+",IF(M262&gt;=80,"A",IF(M262&gt;=70,"B+",IF(M262&gt;=60,"B",IF(M262&gt;=50,"C","F")))))</f>
        <v>B</v>
      </c>
      <c r="O262" s="69" t="n">
        <f aca="false">IF(M262&gt;=90,4,IF(M262&gt;=80,3.7,IF(M262&gt;=70,3.3,IF(M262&gt;=60,3,IF(M262&gt;=50,2,0)))))</f>
        <v>3</v>
      </c>
      <c r="P262" s="47" t="n">
        <v>0.563</v>
      </c>
      <c r="Q262" s="70" t="n">
        <v>42.9</v>
      </c>
      <c r="R262" s="70" t="n">
        <v>40.6</v>
      </c>
      <c r="S262" s="43" t="str">
        <f aca="false">IF(M262&gt;=40,"Pass","Fail")</f>
        <v>Pass</v>
      </c>
      <c r="T262" s="43" t="str">
        <f aca="false">IF(M262&gt;=80,"Yes","No")</f>
        <v>No</v>
      </c>
    </row>
    <row r="263" customFormat="false" ht="15" hidden="false" customHeight="false" outlineLevel="0" collapsed="false">
      <c r="A263" s="34" t="s">
        <v>3295</v>
      </c>
      <c r="B263" s="35" t="s">
        <v>3296</v>
      </c>
      <c r="C263" s="34" t="s">
        <v>2851</v>
      </c>
      <c r="D263" s="42" t="n">
        <v>6</v>
      </c>
      <c r="E263" s="34" t="s">
        <v>2782</v>
      </c>
      <c r="F263" s="35" t="s">
        <v>2791</v>
      </c>
      <c r="G263" s="63" t="n">
        <v>31</v>
      </c>
      <c r="H263" s="35" t="s">
        <v>2765</v>
      </c>
      <c r="I263" s="63" t="n">
        <v>44</v>
      </c>
      <c r="J263" s="35" t="s">
        <v>2783</v>
      </c>
      <c r="K263" s="63" t="n">
        <v>67</v>
      </c>
      <c r="L263" s="63" t="n">
        <f aca="false">G263+I263+K263</f>
        <v>142</v>
      </c>
      <c r="M263" s="64" t="n">
        <f aca="false">L263/300*100</f>
        <v>47.3333333333333</v>
      </c>
      <c r="N263" s="34" t="str">
        <f aca="false">IF(M263&gt;=90,"A+",IF(M263&gt;=80,"A",IF(M263&gt;=70,"B+",IF(M263&gt;=60,"B",IF(M263&gt;=50,"C","F")))))</f>
        <v>F</v>
      </c>
      <c r="O263" s="65" t="n">
        <f aca="false">IF(M263&gt;=90,4,IF(M263&gt;=80,3.7,IF(M263&gt;=70,3.3,IF(M263&gt;=60,3,IF(M263&gt;=50,2,0)))))</f>
        <v>0</v>
      </c>
      <c r="P263" s="38" t="n">
        <v>0.917</v>
      </c>
      <c r="Q263" s="66" t="n">
        <v>72.3</v>
      </c>
      <c r="R263" s="66" t="n">
        <v>40.3</v>
      </c>
      <c r="S263" s="34" t="str">
        <f aca="false">IF(M263&gt;=40,"Pass","Fail")</f>
        <v>Pass</v>
      </c>
      <c r="T263" s="34" t="str">
        <f aca="false">IF(M263&gt;=80,"Yes","No")</f>
        <v>No</v>
      </c>
    </row>
    <row r="264" customFormat="false" ht="15" hidden="false" customHeight="false" outlineLevel="0" collapsed="false">
      <c r="A264" s="43" t="s">
        <v>3297</v>
      </c>
      <c r="B264" s="44" t="s">
        <v>3298</v>
      </c>
      <c r="C264" s="43" t="s">
        <v>2769</v>
      </c>
      <c r="D264" s="51" t="n">
        <v>1</v>
      </c>
      <c r="E264" s="43" t="s">
        <v>2763</v>
      </c>
      <c r="F264" s="44" t="s">
        <v>2775</v>
      </c>
      <c r="G264" s="67" t="n">
        <v>58</v>
      </c>
      <c r="H264" s="44" t="s">
        <v>2792</v>
      </c>
      <c r="I264" s="67" t="n">
        <v>29</v>
      </c>
      <c r="J264" s="44" t="s">
        <v>2764</v>
      </c>
      <c r="K264" s="67" t="n">
        <v>53</v>
      </c>
      <c r="L264" s="67" t="n">
        <f aca="false">G264+I264+K264</f>
        <v>140</v>
      </c>
      <c r="M264" s="68" t="n">
        <f aca="false">L264/300*100</f>
        <v>46.6666666666667</v>
      </c>
      <c r="N264" s="43" t="str">
        <f aca="false">IF(M264&gt;=90,"A+",IF(M264&gt;=80,"A",IF(M264&gt;=70,"B+",IF(M264&gt;=60,"B",IF(M264&gt;=50,"C","F")))))</f>
        <v>F</v>
      </c>
      <c r="O264" s="69" t="n">
        <f aca="false">IF(M264&gt;=90,4,IF(M264&gt;=80,3.7,IF(M264&gt;=70,3.3,IF(M264&gt;=60,3,IF(M264&gt;=50,2,0)))))</f>
        <v>0</v>
      </c>
      <c r="P264" s="47" t="n">
        <v>0.698</v>
      </c>
      <c r="Q264" s="70" t="n">
        <v>76.8</v>
      </c>
      <c r="R264" s="70" t="n">
        <v>88.7</v>
      </c>
      <c r="S264" s="43" t="str">
        <f aca="false">IF(M264&gt;=40,"Pass","Fail")</f>
        <v>Pass</v>
      </c>
      <c r="T264" s="43" t="str">
        <f aca="false">IF(M264&gt;=80,"Yes","No")</f>
        <v>No</v>
      </c>
    </row>
    <row r="265" customFormat="false" ht="15" hidden="false" customHeight="false" outlineLevel="0" collapsed="false">
      <c r="A265" s="34" t="s">
        <v>3299</v>
      </c>
      <c r="B265" s="35" t="s">
        <v>3300</v>
      </c>
      <c r="C265" s="34" t="s">
        <v>2803</v>
      </c>
      <c r="D265" s="42" t="n">
        <v>3</v>
      </c>
      <c r="E265" s="34" t="s">
        <v>2774</v>
      </c>
      <c r="F265" s="35" t="s">
        <v>2764</v>
      </c>
      <c r="G265" s="63" t="n">
        <v>36</v>
      </c>
      <c r="H265" s="35" t="s">
        <v>2770</v>
      </c>
      <c r="I265" s="63" t="n">
        <v>60</v>
      </c>
      <c r="J265" s="35" t="s">
        <v>2792</v>
      </c>
      <c r="K265" s="63" t="n">
        <v>38</v>
      </c>
      <c r="L265" s="63" t="n">
        <f aca="false">G265+I265+K265</f>
        <v>134</v>
      </c>
      <c r="M265" s="64" t="n">
        <f aca="false">L265/300*100</f>
        <v>44.6666666666667</v>
      </c>
      <c r="N265" s="34" t="str">
        <f aca="false">IF(M265&gt;=90,"A+",IF(M265&gt;=80,"A",IF(M265&gt;=70,"B+",IF(M265&gt;=60,"B",IF(M265&gt;=50,"C","F")))))</f>
        <v>F</v>
      </c>
      <c r="O265" s="65" t="n">
        <f aca="false">IF(M265&gt;=90,4,IF(M265&gt;=80,3.7,IF(M265&gt;=70,3.3,IF(M265&gt;=60,3,IF(M265&gt;=50,2,0)))))</f>
        <v>0</v>
      </c>
      <c r="P265" s="38" t="n">
        <v>0.889</v>
      </c>
      <c r="Q265" s="66" t="n">
        <v>93.3</v>
      </c>
      <c r="R265" s="66" t="n">
        <v>98</v>
      </c>
      <c r="S265" s="34" t="str">
        <f aca="false">IF(M265&gt;=40,"Pass","Fail")</f>
        <v>Pass</v>
      </c>
      <c r="T265" s="34" t="str">
        <f aca="false">IF(M265&gt;=80,"Yes","No")</f>
        <v>No</v>
      </c>
    </row>
    <row r="266" customFormat="false" ht="15" hidden="false" customHeight="false" outlineLevel="0" collapsed="false">
      <c r="A266" s="43" t="s">
        <v>3301</v>
      </c>
      <c r="B266" s="44" t="s">
        <v>3302</v>
      </c>
      <c r="C266" s="43" t="s">
        <v>2762</v>
      </c>
      <c r="D266" s="51" t="n">
        <v>8</v>
      </c>
      <c r="E266" s="43" t="s">
        <v>2782</v>
      </c>
      <c r="F266" s="44" t="s">
        <v>2792</v>
      </c>
      <c r="G266" s="67" t="n">
        <v>93</v>
      </c>
      <c r="H266" s="44" t="s">
        <v>2766</v>
      </c>
      <c r="I266" s="67" t="n">
        <v>81</v>
      </c>
      <c r="J266" s="44" t="s">
        <v>2765</v>
      </c>
      <c r="K266" s="67" t="n">
        <v>82</v>
      </c>
      <c r="L266" s="67" t="n">
        <f aca="false">G266+I266+K266</f>
        <v>256</v>
      </c>
      <c r="M266" s="68" t="n">
        <f aca="false">L266/300*100</f>
        <v>85.3333333333333</v>
      </c>
      <c r="N266" s="43" t="str">
        <f aca="false">IF(M266&gt;=90,"A+",IF(M266&gt;=80,"A",IF(M266&gt;=70,"B+",IF(M266&gt;=60,"B",IF(M266&gt;=50,"C","F")))))</f>
        <v>A</v>
      </c>
      <c r="O266" s="69" t="n">
        <f aca="false">IF(M266&gt;=90,4,IF(M266&gt;=80,3.7,IF(M266&gt;=70,3.3,IF(M266&gt;=60,3,IF(M266&gt;=50,2,0)))))</f>
        <v>3.7</v>
      </c>
      <c r="P266" s="47" t="n">
        <v>0.989</v>
      </c>
      <c r="Q266" s="70" t="n">
        <v>59.3</v>
      </c>
      <c r="R266" s="70" t="n">
        <v>83.9</v>
      </c>
      <c r="S266" s="43" t="str">
        <f aca="false">IF(M266&gt;=40,"Pass","Fail")</f>
        <v>Pass</v>
      </c>
      <c r="T266" s="43" t="str">
        <f aca="false">IF(M266&gt;=80,"Yes","No")</f>
        <v>Yes</v>
      </c>
    </row>
    <row r="267" customFormat="false" ht="15" hidden="false" customHeight="false" outlineLevel="0" collapsed="false">
      <c r="A267" s="34" t="s">
        <v>3303</v>
      </c>
      <c r="B267" s="35" t="s">
        <v>146</v>
      </c>
      <c r="C267" s="34" t="s">
        <v>2781</v>
      </c>
      <c r="D267" s="42" t="n">
        <v>2</v>
      </c>
      <c r="E267" s="34" t="s">
        <v>2763</v>
      </c>
      <c r="F267" s="35" t="s">
        <v>2771</v>
      </c>
      <c r="G267" s="63" t="n">
        <v>91</v>
      </c>
      <c r="H267" s="35" t="s">
        <v>2792</v>
      </c>
      <c r="I267" s="63" t="n">
        <v>51</v>
      </c>
      <c r="J267" s="35" t="s">
        <v>2778</v>
      </c>
      <c r="K267" s="63" t="n">
        <v>46</v>
      </c>
      <c r="L267" s="63" t="n">
        <f aca="false">G267+I267+K267</f>
        <v>188</v>
      </c>
      <c r="M267" s="64" t="n">
        <f aca="false">L267/300*100</f>
        <v>62.6666666666667</v>
      </c>
      <c r="N267" s="34" t="str">
        <f aca="false">IF(M267&gt;=90,"A+",IF(M267&gt;=80,"A",IF(M267&gt;=70,"B+",IF(M267&gt;=60,"B",IF(M267&gt;=50,"C","F")))))</f>
        <v>B</v>
      </c>
      <c r="O267" s="65" t="n">
        <f aca="false">IF(M267&gt;=90,4,IF(M267&gt;=80,3.7,IF(M267&gt;=70,3.3,IF(M267&gt;=60,3,IF(M267&gt;=50,2,0)))))</f>
        <v>3</v>
      </c>
      <c r="P267" s="38" t="n">
        <v>0.863</v>
      </c>
      <c r="Q267" s="66" t="n">
        <v>44.5</v>
      </c>
      <c r="R267" s="66" t="n">
        <v>69.7</v>
      </c>
      <c r="S267" s="34" t="str">
        <f aca="false">IF(M267&gt;=40,"Pass","Fail")</f>
        <v>Pass</v>
      </c>
      <c r="T267" s="34" t="str">
        <f aca="false">IF(M267&gt;=80,"Yes","No")</f>
        <v>No</v>
      </c>
    </row>
    <row r="268" customFormat="false" ht="15" hidden="false" customHeight="false" outlineLevel="0" collapsed="false">
      <c r="A268" s="43" t="s">
        <v>3304</v>
      </c>
      <c r="B268" s="44" t="s">
        <v>3305</v>
      </c>
      <c r="C268" s="43" t="s">
        <v>2781</v>
      </c>
      <c r="D268" s="51" t="n">
        <v>1</v>
      </c>
      <c r="E268" s="43" t="s">
        <v>2782</v>
      </c>
      <c r="F268" s="44" t="s">
        <v>2765</v>
      </c>
      <c r="G268" s="67" t="n">
        <v>44</v>
      </c>
      <c r="H268" s="44" t="s">
        <v>2770</v>
      </c>
      <c r="I268" s="67" t="n">
        <v>82</v>
      </c>
      <c r="J268" s="44" t="s">
        <v>2791</v>
      </c>
      <c r="K268" s="67" t="n">
        <v>33</v>
      </c>
      <c r="L268" s="67" t="n">
        <f aca="false">G268+I268+K268</f>
        <v>159</v>
      </c>
      <c r="M268" s="68" t="n">
        <f aca="false">L268/300*100</f>
        <v>53</v>
      </c>
      <c r="N268" s="43" t="str">
        <f aca="false">IF(M268&gt;=90,"A+",IF(M268&gt;=80,"A",IF(M268&gt;=70,"B+",IF(M268&gt;=60,"B",IF(M268&gt;=50,"C","F")))))</f>
        <v>C</v>
      </c>
      <c r="O268" s="69" t="n">
        <f aca="false">IF(M268&gt;=90,4,IF(M268&gt;=80,3.7,IF(M268&gt;=70,3.3,IF(M268&gt;=60,3,IF(M268&gt;=50,2,0)))))</f>
        <v>2</v>
      </c>
      <c r="P268" s="47" t="n">
        <v>0.703</v>
      </c>
      <c r="Q268" s="70" t="n">
        <v>88.8</v>
      </c>
      <c r="R268" s="70" t="n">
        <v>85.7</v>
      </c>
      <c r="S268" s="43" t="str">
        <f aca="false">IF(M268&gt;=40,"Pass","Fail")</f>
        <v>Pass</v>
      </c>
      <c r="T268" s="43" t="str">
        <f aca="false">IF(M268&gt;=80,"Yes","No")</f>
        <v>No</v>
      </c>
    </row>
    <row r="269" customFormat="false" ht="15" hidden="false" customHeight="false" outlineLevel="0" collapsed="false">
      <c r="A269" s="34" t="s">
        <v>3306</v>
      </c>
      <c r="B269" s="35" t="s">
        <v>3307</v>
      </c>
      <c r="C269" s="34" t="s">
        <v>2806</v>
      </c>
      <c r="D269" s="42" t="n">
        <v>6</v>
      </c>
      <c r="E269" s="34" t="s">
        <v>2763</v>
      </c>
      <c r="F269" s="35" t="s">
        <v>2770</v>
      </c>
      <c r="G269" s="63" t="n">
        <v>36</v>
      </c>
      <c r="H269" s="35" t="s">
        <v>2783</v>
      </c>
      <c r="I269" s="63" t="n">
        <v>48</v>
      </c>
      <c r="J269" s="35" t="s">
        <v>2792</v>
      </c>
      <c r="K269" s="63" t="n">
        <v>66</v>
      </c>
      <c r="L269" s="63" t="n">
        <f aca="false">G269+I269+K269</f>
        <v>150</v>
      </c>
      <c r="M269" s="64" t="n">
        <f aca="false">L269/300*100</f>
        <v>50</v>
      </c>
      <c r="N269" s="34" t="str">
        <f aca="false">IF(M269&gt;=90,"A+",IF(M269&gt;=80,"A",IF(M269&gt;=70,"B+",IF(M269&gt;=60,"B",IF(M269&gt;=50,"C","F")))))</f>
        <v>C</v>
      </c>
      <c r="O269" s="65" t="n">
        <f aca="false">IF(M269&gt;=90,4,IF(M269&gt;=80,3.7,IF(M269&gt;=70,3.3,IF(M269&gt;=60,3,IF(M269&gt;=50,2,0)))))</f>
        <v>2</v>
      </c>
      <c r="P269" s="38" t="n">
        <v>0.724</v>
      </c>
      <c r="Q269" s="66" t="n">
        <v>67.1</v>
      </c>
      <c r="R269" s="66" t="n">
        <v>77.2</v>
      </c>
      <c r="S269" s="34" t="str">
        <f aca="false">IF(M269&gt;=40,"Pass","Fail")</f>
        <v>Pass</v>
      </c>
      <c r="T269" s="34" t="str">
        <f aca="false">IF(M269&gt;=80,"Yes","No")</f>
        <v>No</v>
      </c>
    </row>
    <row r="270" customFormat="false" ht="15" hidden="false" customHeight="false" outlineLevel="0" collapsed="false">
      <c r="A270" s="43" t="s">
        <v>3308</v>
      </c>
      <c r="B270" s="44" t="s">
        <v>3309</v>
      </c>
      <c r="C270" s="43" t="s">
        <v>2781</v>
      </c>
      <c r="D270" s="51" t="n">
        <v>7</v>
      </c>
      <c r="E270" s="43" t="s">
        <v>2774</v>
      </c>
      <c r="F270" s="44" t="s">
        <v>2792</v>
      </c>
      <c r="G270" s="67" t="n">
        <v>41</v>
      </c>
      <c r="H270" s="44" t="s">
        <v>2771</v>
      </c>
      <c r="I270" s="67" t="n">
        <v>59</v>
      </c>
      <c r="J270" s="44" t="s">
        <v>2791</v>
      </c>
      <c r="K270" s="67" t="n">
        <v>93</v>
      </c>
      <c r="L270" s="67" t="n">
        <f aca="false">G270+I270+K270</f>
        <v>193</v>
      </c>
      <c r="M270" s="68" t="n">
        <f aca="false">L270/300*100</f>
        <v>64.3333333333333</v>
      </c>
      <c r="N270" s="43" t="str">
        <f aca="false">IF(M270&gt;=90,"A+",IF(M270&gt;=80,"A",IF(M270&gt;=70,"B+",IF(M270&gt;=60,"B",IF(M270&gt;=50,"C","F")))))</f>
        <v>B</v>
      </c>
      <c r="O270" s="69" t="n">
        <f aca="false">IF(M270&gt;=90,4,IF(M270&gt;=80,3.7,IF(M270&gt;=70,3.3,IF(M270&gt;=60,3,IF(M270&gt;=50,2,0)))))</f>
        <v>3</v>
      </c>
      <c r="P270" s="47" t="n">
        <v>0.842</v>
      </c>
      <c r="Q270" s="70" t="n">
        <v>48.8</v>
      </c>
      <c r="R270" s="70" t="n">
        <v>92.6</v>
      </c>
      <c r="S270" s="43" t="str">
        <f aca="false">IF(M270&gt;=40,"Pass","Fail")</f>
        <v>Pass</v>
      </c>
      <c r="T270" s="43" t="str">
        <f aca="false">IF(M270&gt;=80,"Yes","No")</f>
        <v>No</v>
      </c>
    </row>
    <row r="271" customFormat="false" ht="15" hidden="false" customHeight="false" outlineLevel="0" collapsed="false">
      <c r="A271" s="34" t="s">
        <v>3310</v>
      </c>
      <c r="B271" s="35" t="s">
        <v>3311</v>
      </c>
      <c r="C271" s="34" t="s">
        <v>2769</v>
      </c>
      <c r="D271" s="42" t="n">
        <v>2</v>
      </c>
      <c r="E271" s="34" t="s">
        <v>2774</v>
      </c>
      <c r="F271" s="35" t="s">
        <v>2775</v>
      </c>
      <c r="G271" s="63" t="n">
        <v>54</v>
      </c>
      <c r="H271" s="35" t="s">
        <v>2770</v>
      </c>
      <c r="I271" s="63" t="n">
        <v>23</v>
      </c>
      <c r="J271" s="35" t="s">
        <v>2783</v>
      </c>
      <c r="K271" s="63" t="n">
        <v>80</v>
      </c>
      <c r="L271" s="63" t="n">
        <f aca="false">G271+I271+K271</f>
        <v>157</v>
      </c>
      <c r="M271" s="64" t="n">
        <f aca="false">L271/300*100</f>
        <v>52.3333333333333</v>
      </c>
      <c r="N271" s="34" t="str">
        <f aca="false">IF(M271&gt;=90,"A+",IF(M271&gt;=80,"A",IF(M271&gt;=70,"B+",IF(M271&gt;=60,"B",IF(M271&gt;=50,"C","F")))))</f>
        <v>C</v>
      </c>
      <c r="O271" s="65" t="n">
        <f aca="false">IF(M271&gt;=90,4,IF(M271&gt;=80,3.7,IF(M271&gt;=70,3.3,IF(M271&gt;=60,3,IF(M271&gt;=50,2,0)))))</f>
        <v>2</v>
      </c>
      <c r="P271" s="38" t="n">
        <v>0.848</v>
      </c>
      <c r="Q271" s="66" t="n">
        <v>67.2</v>
      </c>
      <c r="R271" s="66" t="n">
        <v>55.9</v>
      </c>
      <c r="S271" s="34" t="str">
        <f aca="false">IF(M271&gt;=40,"Pass","Fail")</f>
        <v>Pass</v>
      </c>
      <c r="T271" s="34" t="str">
        <f aca="false">IF(M271&gt;=80,"Yes","No")</f>
        <v>No</v>
      </c>
    </row>
    <row r="272" customFormat="false" ht="15" hidden="false" customHeight="false" outlineLevel="0" collapsed="false">
      <c r="A272" s="43" t="s">
        <v>3312</v>
      </c>
      <c r="B272" s="44" t="s">
        <v>3313</v>
      </c>
      <c r="C272" s="43" t="s">
        <v>2806</v>
      </c>
      <c r="D272" s="51" t="n">
        <v>2</v>
      </c>
      <c r="E272" s="43" t="s">
        <v>2763</v>
      </c>
      <c r="F272" s="44" t="s">
        <v>2791</v>
      </c>
      <c r="G272" s="67" t="n">
        <v>70</v>
      </c>
      <c r="H272" s="44" t="s">
        <v>2765</v>
      </c>
      <c r="I272" s="67" t="n">
        <v>84</v>
      </c>
      <c r="J272" s="44" t="s">
        <v>2783</v>
      </c>
      <c r="K272" s="67" t="n">
        <v>75</v>
      </c>
      <c r="L272" s="67" t="n">
        <f aca="false">G272+I272+K272</f>
        <v>229</v>
      </c>
      <c r="M272" s="68" t="n">
        <f aca="false">L272/300*100</f>
        <v>76.3333333333333</v>
      </c>
      <c r="N272" s="43" t="str">
        <f aca="false">IF(M272&gt;=90,"A+",IF(M272&gt;=80,"A",IF(M272&gt;=70,"B+",IF(M272&gt;=60,"B",IF(M272&gt;=50,"C","F")))))</f>
        <v>B+</v>
      </c>
      <c r="O272" s="69" t="n">
        <f aca="false">IF(M272&gt;=90,4,IF(M272&gt;=80,3.7,IF(M272&gt;=70,3.3,IF(M272&gt;=60,3,IF(M272&gt;=50,2,0)))))</f>
        <v>3.3</v>
      </c>
      <c r="P272" s="47" t="n">
        <v>0.779</v>
      </c>
      <c r="Q272" s="70" t="n">
        <v>43.2</v>
      </c>
      <c r="R272" s="70" t="n">
        <v>56.4</v>
      </c>
      <c r="S272" s="43" t="str">
        <f aca="false">IF(M272&gt;=40,"Pass","Fail")</f>
        <v>Pass</v>
      </c>
      <c r="T272" s="43" t="str">
        <f aca="false">IF(M272&gt;=80,"Yes","No")</f>
        <v>No</v>
      </c>
    </row>
    <row r="273" customFormat="false" ht="15" hidden="false" customHeight="false" outlineLevel="0" collapsed="false">
      <c r="A273" s="34" t="s">
        <v>3314</v>
      </c>
      <c r="B273" s="35" t="s">
        <v>3315</v>
      </c>
      <c r="C273" s="34" t="s">
        <v>2851</v>
      </c>
      <c r="D273" s="42" t="n">
        <v>1</v>
      </c>
      <c r="E273" s="34" t="s">
        <v>2782</v>
      </c>
      <c r="F273" s="35" t="s">
        <v>2791</v>
      </c>
      <c r="G273" s="63" t="n">
        <v>57</v>
      </c>
      <c r="H273" s="35" t="s">
        <v>2764</v>
      </c>
      <c r="I273" s="63" t="n">
        <v>44</v>
      </c>
      <c r="J273" s="35" t="s">
        <v>2765</v>
      </c>
      <c r="K273" s="63" t="n">
        <v>71</v>
      </c>
      <c r="L273" s="63" t="n">
        <f aca="false">G273+I273+K273</f>
        <v>172</v>
      </c>
      <c r="M273" s="64" t="n">
        <f aca="false">L273/300*100</f>
        <v>57.3333333333333</v>
      </c>
      <c r="N273" s="34" t="str">
        <f aca="false">IF(M273&gt;=90,"A+",IF(M273&gt;=80,"A",IF(M273&gt;=70,"B+",IF(M273&gt;=60,"B",IF(M273&gt;=50,"C","F")))))</f>
        <v>C</v>
      </c>
      <c r="O273" s="65" t="n">
        <f aca="false">IF(M273&gt;=90,4,IF(M273&gt;=80,3.7,IF(M273&gt;=70,3.3,IF(M273&gt;=60,3,IF(M273&gt;=50,2,0)))))</f>
        <v>2</v>
      </c>
      <c r="P273" s="38" t="n">
        <v>0.629</v>
      </c>
      <c r="Q273" s="66" t="n">
        <v>56.6</v>
      </c>
      <c r="R273" s="66" t="n">
        <v>76.4</v>
      </c>
      <c r="S273" s="34" t="str">
        <f aca="false">IF(M273&gt;=40,"Pass","Fail")</f>
        <v>Pass</v>
      </c>
      <c r="T273" s="34" t="str">
        <f aca="false">IF(M273&gt;=80,"Yes","No")</f>
        <v>No</v>
      </c>
    </row>
    <row r="274" customFormat="false" ht="15" hidden="false" customHeight="false" outlineLevel="0" collapsed="false">
      <c r="A274" s="43" t="s">
        <v>3316</v>
      </c>
      <c r="B274" s="44" t="s">
        <v>3317</v>
      </c>
      <c r="C274" s="43" t="s">
        <v>2806</v>
      </c>
      <c r="D274" s="51" t="n">
        <v>7</v>
      </c>
      <c r="E274" s="43" t="s">
        <v>2774</v>
      </c>
      <c r="F274" s="44" t="s">
        <v>2775</v>
      </c>
      <c r="G274" s="67" t="n">
        <v>48</v>
      </c>
      <c r="H274" s="44" t="s">
        <v>2765</v>
      </c>
      <c r="I274" s="67" t="n">
        <v>34</v>
      </c>
      <c r="J274" s="44" t="s">
        <v>2792</v>
      </c>
      <c r="K274" s="67" t="n">
        <v>26</v>
      </c>
      <c r="L274" s="67" t="n">
        <f aca="false">G274+I274+K274</f>
        <v>108</v>
      </c>
      <c r="M274" s="68" t="n">
        <f aca="false">L274/300*100</f>
        <v>36</v>
      </c>
      <c r="N274" s="43" t="str">
        <f aca="false">IF(M274&gt;=90,"A+",IF(M274&gt;=80,"A",IF(M274&gt;=70,"B+",IF(M274&gt;=60,"B",IF(M274&gt;=50,"C","F")))))</f>
        <v>F</v>
      </c>
      <c r="O274" s="69" t="n">
        <f aca="false">IF(M274&gt;=90,4,IF(M274&gt;=80,3.7,IF(M274&gt;=70,3.3,IF(M274&gt;=60,3,IF(M274&gt;=50,2,0)))))</f>
        <v>0</v>
      </c>
      <c r="P274" s="47" t="n">
        <v>0.953</v>
      </c>
      <c r="Q274" s="70" t="n">
        <v>74.5</v>
      </c>
      <c r="R274" s="70" t="n">
        <v>54.3</v>
      </c>
      <c r="S274" s="43" t="str">
        <f aca="false">IF(M274&gt;=40,"Pass","Fail")</f>
        <v>Fail</v>
      </c>
      <c r="T274" s="43" t="str">
        <f aca="false">IF(M274&gt;=80,"Yes","No")</f>
        <v>No</v>
      </c>
    </row>
    <row r="275" customFormat="false" ht="15" hidden="false" customHeight="false" outlineLevel="0" collapsed="false">
      <c r="A275" s="34" t="s">
        <v>3318</v>
      </c>
      <c r="B275" s="35" t="s">
        <v>3319</v>
      </c>
      <c r="C275" s="34" t="s">
        <v>2806</v>
      </c>
      <c r="D275" s="42" t="n">
        <v>2</v>
      </c>
      <c r="E275" s="34" t="s">
        <v>2763</v>
      </c>
      <c r="F275" s="35" t="s">
        <v>2765</v>
      </c>
      <c r="G275" s="63" t="n">
        <v>70</v>
      </c>
      <c r="H275" s="35" t="s">
        <v>2791</v>
      </c>
      <c r="I275" s="63" t="n">
        <v>32</v>
      </c>
      <c r="J275" s="35" t="s">
        <v>2766</v>
      </c>
      <c r="K275" s="63" t="n">
        <v>48</v>
      </c>
      <c r="L275" s="63" t="n">
        <f aca="false">G275+I275+K275</f>
        <v>150</v>
      </c>
      <c r="M275" s="64" t="n">
        <f aca="false">L275/300*100</f>
        <v>50</v>
      </c>
      <c r="N275" s="34" t="str">
        <f aca="false">IF(M275&gt;=90,"A+",IF(M275&gt;=80,"A",IF(M275&gt;=70,"B+",IF(M275&gt;=60,"B",IF(M275&gt;=50,"C","F")))))</f>
        <v>C</v>
      </c>
      <c r="O275" s="65" t="n">
        <f aca="false">IF(M275&gt;=90,4,IF(M275&gt;=80,3.7,IF(M275&gt;=70,3.3,IF(M275&gt;=60,3,IF(M275&gt;=50,2,0)))))</f>
        <v>2</v>
      </c>
      <c r="P275" s="38" t="n">
        <v>0.88</v>
      </c>
      <c r="Q275" s="66" t="n">
        <v>92.8</v>
      </c>
      <c r="R275" s="66" t="n">
        <v>56.1</v>
      </c>
      <c r="S275" s="34" t="str">
        <f aca="false">IF(M275&gt;=40,"Pass","Fail")</f>
        <v>Pass</v>
      </c>
      <c r="T275" s="34" t="str">
        <f aca="false">IF(M275&gt;=80,"Yes","No")</f>
        <v>No</v>
      </c>
    </row>
    <row r="276" customFormat="false" ht="15" hidden="false" customHeight="false" outlineLevel="0" collapsed="false">
      <c r="A276" s="43" t="s">
        <v>3320</v>
      </c>
      <c r="B276" s="44" t="s">
        <v>3321</v>
      </c>
      <c r="C276" s="43" t="s">
        <v>2781</v>
      </c>
      <c r="D276" s="51" t="n">
        <v>3</v>
      </c>
      <c r="E276" s="43" t="s">
        <v>2774</v>
      </c>
      <c r="F276" s="44" t="s">
        <v>2778</v>
      </c>
      <c r="G276" s="67" t="n">
        <v>20</v>
      </c>
      <c r="H276" s="44" t="s">
        <v>2771</v>
      </c>
      <c r="I276" s="67" t="n">
        <v>32</v>
      </c>
      <c r="J276" s="44" t="s">
        <v>2766</v>
      </c>
      <c r="K276" s="67" t="n">
        <v>43</v>
      </c>
      <c r="L276" s="67" t="n">
        <f aca="false">G276+I276+K276</f>
        <v>95</v>
      </c>
      <c r="M276" s="68" t="n">
        <f aca="false">L276/300*100</f>
        <v>31.6666666666667</v>
      </c>
      <c r="N276" s="43" t="str">
        <f aca="false">IF(M276&gt;=90,"A+",IF(M276&gt;=80,"A",IF(M276&gt;=70,"B+",IF(M276&gt;=60,"B",IF(M276&gt;=50,"C","F")))))</f>
        <v>F</v>
      </c>
      <c r="O276" s="69" t="n">
        <f aca="false">IF(M276&gt;=90,4,IF(M276&gt;=80,3.7,IF(M276&gt;=70,3.3,IF(M276&gt;=60,3,IF(M276&gt;=50,2,0)))))</f>
        <v>0</v>
      </c>
      <c r="P276" s="47" t="n">
        <v>0.776</v>
      </c>
      <c r="Q276" s="70" t="n">
        <v>82</v>
      </c>
      <c r="R276" s="70" t="n">
        <v>68.6</v>
      </c>
      <c r="S276" s="43" t="str">
        <f aca="false">IF(M276&gt;=40,"Pass","Fail")</f>
        <v>Fail</v>
      </c>
      <c r="T276" s="43" t="str">
        <f aca="false">IF(M276&gt;=80,"Yes","No")</f>
        <v>No</v>
      </c>
    </row>
    <row r="277" customFormat="false" ht="15" hidden="false" customHeight="false" outlineLevel="0" collapsed="false">
      <c r="A277" s="34" t="s">
        <v>3322</v>
      </c>
      <c r="B277" s="35" t="s">
        <v>3323</v>
      </c>
      <c r="C277" s="34" t="s">
        <v>2803</v>
      </c>
      <c r="D277" s="42" t="n">
        <v>4</v>
      </c>
      <c r="E277" s="34" t="s">
        <v>2774</v>
      </c>
      <c r="F277" s="35" t="s">
        <v>2778</v>
      </c>
      <c r="G277" s="63" t="n">
        <v>43</v>
      </c>
      <c r="H277" s="35" t="s">
        <v>2792</v>
      </c>
      <c r="I277" s="63" t="n">
        <v>62</v>
      </c>
      <c r="J277" s="35" t="s">
        <v>2783</v>
      </c>
      <c r="K277" s="63" t="n">
        <v>78</v>
      </c>
      <c r="L277" s="63" t="n">
        <f aca="false">G277+I277+K277</f>
        <v>183</v>
      </c>
      <c r="M277" s="64" t="n">
        <f aca="false">L277/300*100</f>
        <v>61</v>
      </c>
      <c r="N277" s="34" t="str">
        <f aca="false">IF(M277&gt;=90,"A+",IF(M277&gt;=80,"A",IF(M277&gt;=70,"B+",IF(M277&gt;=60,"B",IF(M277&gt;=50,"C","F")))))</f>
        <v>B</v>
      </c>
      <c r="O277" s="65" t="n">
        <f aca="false">IF(M277&gt;=90,4,IF(M277&gt;=80,3.7,IF(M277&gt;=70,3.3,IF(M277&gt;=60,3,IF(M277&gt;=50,2,0)))))</f>
        <v>3</v>
      </c>
      <c r="P277" s="38" t="n">
        <v>0.614</v>
      </c>
      <c r="Q277" s="66" t="n">
        <v>40.8</v>
      </c>
      <c r="R277" s="66" t="n">
        <v>68.5</v>
      </c>
      <c r="S277" s="34" t="str">
        <f aca="false">IF(M277&gt;=40,"Pass","Fail")</f>
        <v>Pass</v>
      </c>
      <c r="T277" s="34" t="str">
        <f aca="false">IF(M277&gt;=80,"Yes","No")</f>
        <v>No</v>
      </c>
    </row>
    <row r="278" customFormat="false" ht="15" hidden="false" customHeight="false" outlineLevel="0" collapsed="false">
      <c r="A278" s="43" t="s">
        <v>3324</v>
      </c>
      <c r="B278" s="44" t="s">
        <v>3325</v>
      </c>
      <c r="C278" s="43" t="s">
        <v>2803</v>
      </c>
      <c r="D278" s="51" t="n">
        <v>1</v>
      </c>
      <c r="E278" s="43" t="s">
        <v>2774</v>
      </c>
      <c r="F278" s="44" t="s">
        <v>2771</v>
      </c>
      <c r="G278" s="67" t="n">
        <v>21</v>
      </c>
      <c r="H278" s="44" t="s">
        <v>2792</v>
      </c>
      <c r="I278" s="67" t="n">
        <v>96</v>
      </c>
      <c r="J278" s="44" t="s">
        <v>2783</v>
      </c>
      <c r="K278" s="67" t="n">
        <v>65</v>
      </c>
      <c r="L278" s="67" t="n">
        <f aca="false">G278+I278+K278</f>
        <v>182</v>
      </c>
      <c r="M278" s="68" t="n">
        <f aca="false">L278/300*100</f>
        <v>60.6666666666667</v>
      </c>
      <c r="N278" s="43" t="str">
        <f aca="false">IF(M278&gt;=90,"A+",IF(M278&gt;=80,"A",IF(M278&gt;=70,"B+",IF(M278&gt;=60,"B",IF(M278&gt;=50,"C","F")))))</f>
        <v>B</v>
      </c>
      <c r="O278" s="69" t="n">
        <f aca="false">IF(M278&gt;=90,4,IF(M278&gt;=80,3.7,IF(M278&gt;=70,3.3,IF(M278&gt;=60,3,IF(M278&gt;=50,2,0)))))</f>
        <v>3</v>
      </c>
      <c r="P278" s="47" t="n">
        <v>0.986</v>
      </c>
      <c r="Q278" s="70" t="n">
        <v>75</v>
      </c>
      <c r="R278" s="70" t="n">
        <v>69.3</v>
      </c>
      <c r="S278" s="43" t="str">
        <f aca="false">IF(M278&gt;=40,"Pass","Fail")</f>
        <v>Pass</v>
      </c>
      <c r="T278" s="43" t="str">
        <f aca="false">IF(M278&gt;=80,"Yes","No")</f>
        <v>No</v>
      </c>
    </row>
    <row r="279" customFormat="false" ht="15" hidden="false" customHeight="false" outlineLevel="0" collapsed="false">
      <c r="A279" s="34" t="s">
        <v>3326</v>
      </c>
      <c r="B279" s="35" t="s">
        <v>3327</v>
      </c>
      <c r="C279" s="34" t="s">
        <v>2781</v>
      </c>
      <c r="D279" s="42" t="n">
        <v>8</v>
      </c>
      <c r="E279" s="34" t="s">
        <v>2774</v>
      </c>
      <c r="F279" s="35" t="s">
        <v>2775</v>
      </c>
      <c r="G279" s="63" t="n">
        <v>49</v>
      </c>
      <c r="H279" s="35" t="s">
        <v>2764</v>
      </c>
      <c r="I279" s="63" t="n">
        <v>87</v>
      </c>
      <c r="J279" s="35" t="s">
        <v>2771</v>
      </c>
      <c r="K279" s="63" t="n">
        <v>84</v>
      </c>
      <c r="L279" s="63" t="n">
        <f aca="false">G279+I279+K279</f>
        <v>220</v>
      </c>
      <c r="M279" s="64" t="n">
        <f aca="false">L279/300*100</f>
        <v>73.3333333333333</v>
      </c>
      <c r="N279" s="34" t="str">
        <f aca="false">IF(M279&gt;=90,"A+",IF(M279&gt;=80,"A",IF(M279&gt;=70,"B+",IF(M279&gt;=60,"B",IF(M279&gt;=50,"C","F")))))</f>
        <v>B+</v>
      </c>
      <c r="O279" s="65" t="n">
        <f aca="false">IF(M279&gt;=90,4,IF(M279&gt;=80,3.7,IF(M279&gt;=70,3.3,IF(M279&gt;=60,3,IF(M279&gt;=50,2,0)))))</f>
        <v>3.3</v>
      </c>
      <c r="P279" s="38" t="n">
        <v>0.625</v>
      </c>
      <c r="Q279" s="66" t="n">
        <v>48.8</v>
      </c>
      <c r="R279" s="66" t="n">
        <v>45.6</v>
      </c>
      <c r="S279" s="34" t="str">
        <f aca="false">IF(M279&gt;=40,"Pass","Fail")</f>
        <v>Pass</v>
      </c>
      <c r="T279" s="34" t="str">
        <f aca="false">IF(M279&gt;=80,"Yes","No")</f>
        <v>No</v>
      </c>
    </row>
    <row r="280" customFormat="false" ht="15" hidden="false" customHeight="false" outlineLevel="0" collapsed="false">
      <c r="A280" s="43" t="s">
        <v>3328</v>
      </c>
      <c r="B280" s="44" t="s">
        <v>3329</v>
      </c>
      <c r="C280" s="43" t="s">
        <v>2803</v>
      </c>
      <c r="D280" s="51" t="n">
        <v>6</v>
      </c>
      <c r="E280" s="43" t="s">
        <v>2763</v>
      </c>
      <c r="F280" s="44" t="s">
        <v>2770</v>
      </c>
      <c r="G280" s="67" t="n">
        <v>82</v>
      </c>
      <c r="H280" s="44" t="s">
        <v>2778</v>
      </c>
      <c r="I280" s="67" t="n">
        <v>52</v>
      </c>
      <c r="J280" s="44" t="s">
        <v>2771</v>
      </c>
      <c r="K280" s="67" t="n">
        <v>66</v>
      </c>
      <c r="L280" s="67" t="n">
        <f aca="false">G280+I280+K280</f>
        <v>200</v>
      </c>
      <c r="M280" s="68" t="n">
        <f aca="false">L280/300*100</f>
        <v>66.6666666666667</v>
      </c>
      <c r="N280" s="43" t="str">
        <f aca="false">IF(M280&gt;=90,"A+",IF(M280&gt;=80,"A",IF(M280&gt;=70,"B+",IF(M280&gt;=60,"B",IF(M280&gt;=50,"C","F")))))</f>
        <v>B</v>
      </c>
      <c r="O280" s="69" t="n">
        <f aca="false">IF(M280&gt;=90,4,IF(M280&gt;=80,3.7,IF(M280&gt;=70,3.3,IF(M280&gt;=60,3,IF(M280&gt;=50,2,0)))))</f>
        <v>3</v>
      </c>
      <c r="P280" s="47" t="n">
        <v>0.756</v>
      </c>
      <c r="Q280" s="70" t="n">
        <v>89.7</v>
      </c>
      <c r="R280" s="70" t="n">
        <v>58.1</v>
      </c>
      <c r="S280" s="43" t="str">
        <f aca="false">IF(M280&gt;=40,"Pass","Fail")</f>
        <v>Pass</v>
      </c>
      <c r="T280" s="43" t="str">
        <f aca="false">IF(M280&gt;=80,"Yes","No")</f>
        <v>No</v>
      </c>
    </row>
    <row r="281" customFormat="false" ht="15" hidden="false" customHeight="false" outlineLevel="0" collapsed="false">
      <c r="A281" s="34" t="s">
        <v>3330</v>
      </c>
      <c r="B281" s="35" t="s">
        <v>3331</v>
      </c>
      <c r="C281" s="34" t="s">
        <v>2803</v>
      </c>
      <c r="D281" s="42" t="n">
        <v>8</v>
      </c>
      <c r="E281" s="34" t="s">
        <v>2774</v>
      </c>
      <c r="F281" s="35" t="s">
        <v>2771</v>
      </c>
      <c r="G281" s="63" t="n">
        <v>38</v>
      </c>
      <c r="H281" s="35" t="s">
        <v>2766</v>
      </c>
      <c r="I281" s="63" t="n">
        <v>72</v>
      </c>
      <c r="J281" s="35" t="s">
        <v>2775</v>
      </c>
      <c r="K281" s="63" t="n">
        <v>48</v>
      </c>
      <c r="L281" s="63" t="n">
        <f aca="false">G281+I281+K281</f>
        <v>158</v>
      </c>
      <c r="M281" s="64" t="n">
        <f aca="false">L281/300*100</f>
        <v>52.6666666666667</v>
      </c>
      <c r="N281" s="34" t="str">
        <f aca="false">IF(M281&gt;=90,"A+",IF(M281&gt;=80,"A",IF(M281&gt;=70,"B+",IF(M281&gt;=60,"B",IF(M281&gt;=50,"C","F")))))</f>
        <v>C</v>
      </c>
      <c r="O281" s="65" t="n">
        <f aca="false">IF(M281&gt;=90,4,IF(M281&gt;=80,3.7,IF(M281&gt;=70,3.3,IF(M281&gt;=60,3,IF(M281&gt;=50,2,0)))))</f>
        <v>2</v>
      </c>
      <c r="P281" s="38" t="n">
        <v>0.847</v>
      </c>
      <c r="Q281" s="66" t="n">
        <v>48.5</v>
      </c>
      <c r="R281" s="66" t="n">
        <v>69.9</v>
      </c>
      <c r="S281" s="34" t="str">
        <f aca="false">IF(M281&gt;=40,"Pass","Fail")</f>
        <v>Pass</v>
      </c>
      <c r="T281" s="34" t="str">
        <f aca="false">IF(M281&gt;=80,"Yes","No")</f>
        <v>No</v>
      </c>
    </row>
    <row r="282" customFormat="false" ht="15" hidden="false" customHeight="false" outlineLevel="0" collapsed="false">
      <c r="A282" s="43" t="s">
        <v>3332</v>
      </c>
      <c r="B282" s="44" t="s">
        <v>3333</v>
      </c>
      <c r="C282" s="43" t="s">
        <v>2781</v>
      </c>
      <c r="D282" s="51" t="n">
        <v>7</v>
      </c>
      <c r="E282" s="43" t="s">
        <v>2763</v>
      </c>
      <c r="F282" s="44" t="s">
        <v>2765</v>
      </c>
      <c r="G282" s="67" t="n">
        <v>68</v>
      </c>
      <c r="H282" s="44" t="s">
        <v>2792</v>
      </c>
      <c r="I282" s="67" t="n">
        <v>33</v>
      </c>
      <c r="J282" s="44" t="s">
        <v>2764</v>
      </c>
      <c r="K282" s="67" t="n">
        <v>55</v>
      </c>
      <c r="L282" s="67" t="n">
        <f aca="false">G282+I282+K282</f>
        <v>156</v>
      </c>
      <c r="M282" s="68" t="n">
        <f aca="false">L282/300*100</f>
        <v>52</v>
      </c>
      <c r="N282" s="43" t="str">
        <f aca="false">IF(M282&gt;=90,"A+",IF(M282&gt;=80,"A",IF(M282&gt;=70,"B+",IF(M282&gt;=60,"B",IF(M282&gt;=50,"C","F")))))</f>
        <v>C</v>
      </c>
      <c r="O282" s="69" t="n">
        <f aca="false">IF(M282&gt;=90,4,IF(M282&gt;=80,3.7,IF(M282&gt;=70,3.3,IF(M282&gt;=60,3,IF(M282&gt;=50,2,0)))))</f>
        <v>2</v>
      </c>
      <c r="P282" s="47" t="n">
        <v>0.945</v>
      </c>
      <c r="Q282" s="70" t="n">
        <v>80.7</v>
      </c>
      <c r="R282" s="70" t="n">
        <v>94</v>
      </c>
      <c r="S282" s="43" t="str">
        <f aca="false">IF(M282&gt;=40,"Pass","Fail")</f>
        <v>Pass</v>
      </c>
      <c r="T282" s="43" t="str">
        <f aca="false">IF(M282&gt;=80,"Yes","No")</f>
        <v>No</v>
      </c>
    </row>
    <row r="283" customFormat="false" ht="15" hidden="false" customHeight="false" outlineLevel="0" collapsed="false">
      <c r="A283" s="34" t="s">
        <v>3334</v>
      </c>
      <c r="B283" s="35" t="s">
        <v>3335</v>
      </c>
      <c r="C283" s="34" t="s">
        <v>2762</v>
      </c>
      <c r="D283" s="42" t="n">
        <v>3</v>
      </c>
      <c r="E283" s="34" t="s">
        <v>2763</v>
      </c>
      <c r="F283" s="35" t="s">
        <v>2778</v>
      </c>
      <c r="G283" s="63" t="n">
        <v>95</v>
      </c>
      <c r="H283" s="35" t="s">
        <v>2764</v>
      </c>
      <c r="I283" s="63" t="n">
        <v>73</v>
      </c>
      <c r="J283" s="35" t="s">
        <v>2791</v>
      </c>
      <c r="K283" s="63" t="n">
        <v>55</v>
      </c>
      <c r="L283" s="63" t="n">
        <f aca="false">G283+I283+K283</f>
        <v>223</v>
      </c>
      <c r="M283" s="64" t="n">
        <f aca="false">L283/300*100</f>
        <v>74.3333333333333</v>
      </c>
      <c r="N283" s="34" t="str">
        <f aca="false">IF(M283&gt;=90,"A+",IF(M283&gt;=80,"A",IF(M283&gt;=70,"B+",IF(M283&gt;=60,"B",IF(M283&gt;=50,"C","F")))))</f>
        <v>B+</v>
      </c>
      <c r="O283" s="65" t="n">
        <f aca="false">IF(M283&gt;=90,4,IF(M283&gt;=80,3.7,IF(M283&gt;=70,3.3,IF(M283&gt;=60,3,IF(M283&gt;=50,2,0)))))</f>
        <v>3.3</v>
      </c>
      <c r="P283" s="38" t="n">
        <v>0.689</v>
      </c>
      <c r="Q283" s="66" t="n">
        <v>42.5</v>
      </c>
      <c r="R283" s="66" t="n">
        <v>71.2</v>
      </c>
      <c r="S283" s="34" t="str">
        <f aca="false">IF(M283&gt;=40,"Pass","Fail")</f>
        <v>Pass</v>
      </c>
      <c r="T283" s="34" t="str">
        <f aca="false">IF(M283&gt;=80,"Yes","No")</f>
        <v>No</v>
      </c>
    </row>
    <row r="284" customFormat="false" ht="15" hidden="false" customHeight="false" outlineLevel="0" collapsed="false">
      <c r="A284" s="43" t="s">
        <v>3336</v>
      </c>
      <c r="B284" s="44" t="s">
        <v>3337</v>
      </c>
      <c r="C284" s="43" t="s">
        <v>2803</v>
      </c>
      <c r="D284" s="51" t="n">
        <v>2</v>
      </c>
      <c r="E284" s="43" t="s">
        <v>2763</v>
      </c>
      <c r="F284" s="44" t="s">
        <v>2770</v>
      </c>
      <c r="G284" s="67" t="n">
        <v>34</v>
      </c>
      <c r="H284" s="44" t="s">
        <v>2778</v>
      </c>
      <c r="I284" s="67" t="n">
        <v>21</v>
      </c>
      <c r="J284" s="44" t="s">
        <v>2771</v>
      </c>
      <c r="K284" s="67" t="n">
        <v>83</v>
      </c>
      <c r="L284" s="67" t="n">
        <f aca="false">G284+I284+K284</f>
        <v>138</v>
      </c>
      <c r="M284" s="68" t="n">
        <f aca="false">L284/300*100</f>
        <v>46</v>
      </c>
      <c r="N284" s="43" t="str">
        <f aca="false">IF(M284&gt;=90,"A+",IF(M284&gt;=80,"A",IF(M284&gt;=70,"B+",IF(M284&gt;=60,"B",IF(M284&gt;=50,"C","F")))))</f>
        <v>F</v>
      </c>
      <c r="O284" s="69" t="n">
        <f aca="false">IF(M284&gt;=90,4,IF(M284&gt;=80,3.7,IF(M284&gt;=70,3.3,IF(M284&gt;=60,3,IF(M284&gt;=50,2,0)))))</f>
        <v>0</v>
      </c>
      <c r="P284" s="47" t="n">
        <v>0.967</v>
      </c>
      <c r="Q284" s="70" t="n">
        <v>48.8</v>
      </c>
      <c r="R284" s="70" t="n">
        <v>80.9</v>
      </c>
      <c r="S284" s="43" t="str">
        <f aca="false">IF(M284&gt;=40,"Pass","Fail")</f>
        <v>Pass</v>
      </c>
      <c r="T284" s="43" t="str">
        <f aca="false">IF(M284&gt;=80,"Yes","No")</f>
        <v>No</v>
      </c>
    </row>
    <row r="285" customFormat="false" ht="15" hidden="false" customHeight="false" outlineLevel="0" collapsed="false">
      <c r="A285" s="34" t="s">
        <v>3338</v>
      </c>
      <c r="B285" s="35" t="s">
        <v>3339</v>
      </c>
      <c r="C285" s="34" t="s">
        <v>2806</v>
      </c>
      <c r="D285" s="42" t="n">
        <v>5</v>
      </c>
      <c r="E285" s="34" t="s">
        <v>2782</v>
      </c>
      <c r="F285" s="35" t="s">
        <v>2766</v>
      </c>
      <c r="G285" s="63" t="n">
        <v>82</v>
      </c>
      <c r="H285" s="35" t="s">
        <v>2783</v>
      </c>
      <c r="I285" s="63" t="n">
        <v>56</v>
      </c>
      <c r="J285" s="35" t="s">
        <v>2771</v>
      </c>
      <c r="K285" s="63" t="n">
        <v>28</v>
      </c>
      <c r="L285" s="63" t="n">
        <f aca="false">G285+I285+K285</f>
        <v>166</v>
      </c>
      <c r="M285" s="64" t="n">
        <f aca="false">L285/300*100</f>
        <v>55.3333333333333</v>
      </c>
      <c r="N285" s="34" t="str">
        <f aca="false">IF(M285&gt;=90,"A+",IF(M285&gt;=80,"A",IF(M285&gt;=70,"B+",IF(M285&gt;=60,"B",IF(M285&gt;=50,"C","F")))))</f>
        <v>C</v>
      </c>
      <c r="O285" s="65" t="n">
        <f aca="false">IF(M285&gt;=90,4,IF(M285&gt;=80,3.7,IF(M285&gt;=70,3.3,IF(M285&gt;=60,3,IF(M285&gt;=50,2,0)))))</f>
        <v>2</v>
      </c>
      <c r="P285" s="38" t="n">
        <v>0.91</v>
      </c>
      <c r="Q285" s="66" t="n">
        <v>40.9</v>
      </c>
      <c r="R285" s="66" t="n">
        <v>42.5</v>
      </c>
      <c r="S285" s="34" t="str">
        <f aca="false">IF(M285&gt;=40,"Pass","Fail")</f>
        <v>Pass</v>
      </c>
      <c r="T285" s="34" t="str">
        <f aca="false">IF(M285&gt;=80,"Yes","No")</f>
        <v>No</v>
      </c>
    </row>
    <row r="286" customFormat="false" ht="15" hidden="false" customHeight="false" outlineLevel="0" collapsed="false">
      <c r="A286" s="43" t="s">
        <v>3340</v>
      </c>
      <c r="B286" s="44" t="s">
        <v>3341</v>
      </c>
      <c r="C286" s="43" t="s">
        <v>2803</v>
      </c>
      <c r="D286" s="51" t="n">
        <v>2</v>
      </c>
      <c r="E286" s="43" t="s">
        <v>2774</v>
      </c>
      <c r="F286" s="44" t="s">
        <v>2770</v>
      </c>
      <c r="G286" s="67" t="n">
        <v>75</v>
      </c>
      <c r="H286" s="44" t="s">
        <v>2771</v>
      </c>
      <c r="I286" s="67" t="n">
        <v>65</v>
      </c>
      <c r="J286" s="44" t="s">
        <v>2775</v>
      </c>
      <c r="K286" s="67" t="n">
        <v>20</v>
      </c>
      <c r="L286" s="67" t="n">
        <f aca="false">G286+I286+K286</f>
        <v>160</v>
      </c>
      <c r="M286" s="68" t="n">
        <f aca="false">L286/300*100</f>
        <v>53.3333333333333</v>
      </c>
      <c r="N286" s="43" t="str">
        <f aca="false">IF(M286&gt;=90,"A+",IF(M286&gt;=80,"A",IF(M286&gt;=70,"B+",IF(M286&gt;=60,"B",IF(M286&gt;=50,"C","F")))))</f>
        <v>C</v>
      </c>
      <c r="O286" s="69" t="n">
        <f aca="false">IF(M286&gt;=90,4,IF(M286&gt;=80,3.7,IF(M286&gt;=70,3.3,IF(M286&gt;=60,3,IF(M286&gt;=50,2,0)))))</f>
        <v>2</v>
      </c>
      <c r="P286" s="47" t="n">
        <v>0.572</v>
      </c>
      <c r="Q286" s="70" t="n">
        <v>48.3</v>
      </c>
      <c r="R286" s="70" t="n">
        <v>92.7</v>
      </c>
      <c r="S286" s="43" t="str">
        <f aca="false">IF(M286&gt;=40,"Pass","Fail")</f>
        <v>Pass</v>
      </c>
      <c r="T286" s="43" t="str">
        <f aca="false">IF(M286&gt;=80,"Yes","No")</f>
        <v>No</v>
      </c>
    </row>
    <row r="287" customFormat="false" ht="15" hidden="false" customHeight="false" outlineLevel="0" collapsed="false">
      <c r="A287" s="34" t="s">
        <v>3342</v>
      </c>
      <c r="B287" s="35" t="s">
        <v>3343</v>
      </c>
      <c r="C287" s="34" t="s">
        <v>2786</v>
      </c>
      <c r="D287" s="42" t="n">
        <v>3</v>
      </c>
      <c r="E287" s="34" t="s">
        <v>2774</v>
      </c>
      <c r="F287" s="35" t="s">
        <v>2771</v>
      </c>
      <c r="G287" s="63" t="n">
        <v>75</v>
      </c>
      <c r="H287" s="35" t="s">
        <v>2783</v>
      </c>
      <c r="I287" s="63" t="n">
        <v>94</v>
      </c>
      <c r="J287" s="35" t="s">
        <v>2765</v>
      </c>
      <c r="K287" s="63" t="n">
        <v>30</v>
      </c>
      <c r="L287" s="63" t="n">
        <f aca="false">G287+I287+K287</f>
        <v>199</v>
      </c>
      <c r="M287" s="64" t="n">
        <f aca="false">L287/300*100</f>
        <v>66.3333333333333</v>
      </c>
      <c r="N287" s="34" t="str">
        <f aca="false">IF(M287&gt;=90,"A+",IF(M287&gt;=80,"A",IF(M287&gt;=70,"B+",IF(M287&gt;=60,"B",IF(M287&gt;=50,"C","F")))))</f>
        <v>B</v>
      </c>
      <c r="O287" s="65" t="n">
        <f aca="false">IF(M287&gt;=90,4,IF(M287&gt;=80,3.7,IF(M287&gt;=70,3.3,IF(M287&gt;=60,3,IF(M287&gt;=50,2,0)))))</f>
        <v>3</v>
      </c>
      <c r="P287" s="38" t="n">
        <v>0.681</v>
      </c>
      <c r="Q287" s="66" t="n">
        <v>41.9</v>
      </c>
      <c r="R287" s="66" t="n">
        <v>96</v>
      </c>
      <c r="S287" s="34" t="str">
        <f aca="false">IF(M287&gt;=40,"Pass","Fail")</f>
        <v>Pass</v>
      </c>
      <c r="T287" s="34" t="str">
        <f aca="false">IF(M287&gt;=80,"Yes","No")</f>
        <v>No</v>
      </c>
    </row>
    <row r="288" customFormat="false" ht="15" hidden="false" customHeight="false" outlineLevel="0" collapsed="false">
      <c r="A288" s="43" t="s">
        <v>3344</v>
      </c>
      <c r="B288" s="44" t="s">
        <v>3345</v>
      </c>
      <c r="C288" s="43" t="s">
        <v>2781</v>
      </c>
      <c r="D288" s="51" t="n">
        <v>7</v>
      </c>
      <c r="E288" s="43" t="s">
        <v>2763</v>
      </c>
      <c r="F288" s="44" t="s">
        <v>2791</v>
      </c>
      <c r="G288" s="67" t="n">
        <v>58</v>
      </c>
      <c r="H288" s="44" t="s">
        <v>2792</v>
      </c>
      <c r="I288" s="67" t="n">
        <v>96</v>
      </c>
      <c r="J288" s="44" t="s">
        <v>2771</v>
      </c>
      <c r="K288" s="67" t="n">
        <v>59</v>
      </c>
      <c r="L288" s="67" t="n">
        <f aca="false">G288+I288+K288</f>
        <v>213</v>
      </c>
      <c r="M288" s="68" t="n">
        <f aca="false">L288/300*100</f>
        <v>71</v>
      </c>
      <c r="N288" s="43" t="str">
        <f aca="false">IF(M288&gt;=90,"A+",IF(M288&gt;=80,"A",IF(M288&gt;=70,"B+",IF(M288&gt;=60,"B",IF(M288&gt;=50,"C","F")))))</f>
        <v>B+</v>
      </c>
      <c r="O288" s="69" t="n">
        <f aca="false">IF(M288&gt;=90,4,IF(M288&gt;=80,3.7,IF(M288&gt;=70,3.3,IF(M288&gt;=60,3,IF(M288&gt;=50,2,0)))))</f>
        <v>3.3</v>
      </c>
      <c r="P288" s="47" t="n">
        <v>0.628</v>
      </c>
      <c r="Q288" s="70" t="n">
        <v>66.1</v>
      </c>
      <c r="R288" s="70" t="n">
        <v>92.6</v>
      </c>
      <c r="S288" s="43" t="str">
        <f aca="false">IF(M288&gt;=40,"Pass","Fail")</f>
        <v>Pass</v>
      </c>
      <c r="T288" s="43" t="str">
        <f aca="false">IF(M288&gt;=80,"Yes","No")</f>
        <v>No</v>
      </c>
    </row>
    <row r="289" customFormat="false" ht="15" hidden="false" customHeight="false" outlineLevel="0" collapsed="false">
      <c r="A289" s="34" t="s">
        <v>3346</v>
      </c>
      <c r="B289" s="35" t="s">
        <v>3347</v>
      </c>
      <c r="C289" s="34" t="s">
        <v>2786</v>
      </c>
      <c r="D289" s="42" t="n">
        <v>3</v>
      </c>
      <c r="E289" s="34" t="s">
        <v>2782</v>
      </c>
      <c r="F289" s="35" t="s">
        <v>2765</v>
      </c>
      <c r="G289" s="63" t="n">
        <v>73</v>
      </c>
      <c r="H289" s="35" t="s">
        <v>2771</v>
      </c>
      <c r="I289" s="63" t="n">
        <v>90</v>
      </c>
      <c r="J289" s="35" t="s">
        <v>2783</v>
      </c>
      <c r="K289" s="63" t="n">
        <v>45</v>
      </c>
      <c r="L289" s="63" t="n">
        <f aca="false">G289+I289+K289</f>
        <v>208</v>
      </c>
      <c r="M289" s="64" t="n">
        <f aca="false">L289/300*100</f>
        <v>69.3333333333333</v>
      </c>
      <c r="N289" s="34" t="str">
        <f aca="false">IF(M289&gt;=90,"A+",IF(M289&gt;=80,"A",IF(M289&gt;=70,"B+",IF(M289&gt;=60,"B",IF(M289&gt;=50,"C","F")))))</f>
        <v>B</v>
      </c>
      <c r="O289" s="65" t="n">
        <f aca="false">IF(M289&gt;=90,4,IF(M289&gt;=80,3.7,IF(M289&gt;=70,3.3,IF(M289&gt;=60,3,IF(M289&gt;=50,2,0)))))</f>
        <v>3</v>
      </c>
      <c r="P289" s="38" t="n">
        <v>0.685</v>
      </c>
      <c r="Q289" s="66" t="n">
        <v>45.1</v>
      </c>
      <c r="R289" s="66" t="n">
        <v>74</v>
      </c>
      <c r="S289" s="34" t="str">
        <f aca="false">IF(M289&gt;=40,"Pass","Fail")</f>
        <v>Pass</v>
      </c>
      <c r="T289" s="34" t="str">
        <f aca="false">IF(M289&gt;=80,"Yes","No")</f>
        <v>No</v>
      </c>
    </row>
    <row r="290" customFormat="false" ht="15" hidden="false" customHeight="false" outlineLevel="0" collapsed="false">
      <c r="A290" s="43" t="s">
        <v>3348</v>
      </c>
      <c r="B290" s="44" t="s">
        <v>3349</v>
      </c>
      <c r="C290" s="43" t="s">
        <v>2769</v>
      </c>
      <c r="D290" s="51" t="n">
        <v>8</v>
      </c>
      <c r="E290" s="43" t="s">
        <v>2782</v>
      </c>
      <c r="F290" s="44" t="s">
        <v>2783</v>
      </c>
      <c r="G290" s="67" t="n">
        <v>32</v>
      </c>
      <c r="H290" s="44" t="s">
        <v>2791</v>
      </c>
      <c r="I290" s="67" t="n">
        <v>37</v>
      </c>
      <c r="J290" s="44" t="s">
        <v>2766</v>
      </c>
      <c r="K290" s="67" t="n">
        <v>87</v>
      </c>
      <c r="L290" s="67" t="n">
        <f aca="false">G290+I290+K290</f>
        <v>156</v>
      </c>
      <c r="M290" s="68" t="n">
        <f aca="false">L290/300*100</f>
        <v>52</v>
      </c>
      <c r="N290" s="43" t="str">
        <f aca="false">IF(M290&gt;=90,"A+",IF(M290&gt;=80,"A",IF(M290&gt;=70,"B+",IF(M290&gt;=60,"B",IF(M290&gt;=50,"C","F")))))</f>
        <v>C</v>
      </c>
      <c r="O290" s="69" t="n">
        <f aca="false">IF(M290&gt;=90,4,IF(M290&gt;=80,3.7,IF(M290&gt;=70,3.3,IF(M290&gt;=60,3,IF(M290&gt;=50,2,0)))))</f>
        <v>2</v>
      </c>
      <c r="P290" s="47" t="n">
        <v>0.749</v>
      </c>
      <c r="Q290" s="70" t="n">
        <v>58.8</v>
      </c>
      <c r="R290" s="70" t="n">
        <v>96.1</v>
      </c>
      <c r="S290" s="43" t="str">
        <f aca="false">IF(M290&gt;=40,"Pass","Fail")</f>
        <v>Pass</v>
      </c>
      <c r="T290" s="43" t="str">
        <f aca="false">IF(M290&gt;=80,"Yes","No")</f>
        <v>No</v>
      </c>
    </row>
    <row r="291" customFormat="false" ht="15" hidden="false" customHeight="false" outlineLevel="0" collapsed="false">
      <c r="A291" s="34" t="s">
        <v>3350</v>
      </c>
      <c r="B291" s="35" t="s">
        <v>3351</v>
      </c>
      <c r="C291" s="34" t="s">
        <v>2769</v>
      </c>
      <c r="D291" s="42" t="n">
        <v>6</v>
      </c>
      <c r="E291" s="34" t="s">
        <v>2763</v>
      </c>
      <c r="F291" s="35" t="s">
        <v>2778</v>
      </c>
      <c r="G291" s="63" t="n">
        <v>73</v>
      </c>
      <c r="H291" s="35" t="s">
        <v>2791</v>
      </c>
      <c r="I291" s="63" t="n">
        <v>72</v>
      </c>
      <c r="J291" s="35" t="s">
        <v>2770</v>
      </c>
      <c r="K291" s="63" t="n">
        <v>79</v>
      </c>
      <c r="L291" s="63" t="n">
        <f aca="false">G291+I291+K291</f>
        <v>224</v>
      </c>
      <c r="M291" s="64" t="n">
        <f aca="false">L291/300*100</f>
        <v>74.6666666666667</v>
      </c>
      <c r="N291" s="34" t="str">
        <f aca="false">IF(M291&gt;=90,"A+",IF(M291&gt;=80,"A",IF(M291&gt;=70,"B+",IF(M291&gt;=60,"B",IF(M291&gt;=50,"C","F")))))</f>
        <v>B+</v>
      </c>
      <c r="O291" s="65" t="n">
        <f aca="false">IF(M291&gt;=90,4,IF(M291&gt;=80,3.7,IF(M291&gt;=70,3.3,IF(M291&gt;=60,3,IF(M291&gt;=50,2,0)))))</f>
        <v>3.3</v>
      </c>
      <c r="P291" s="38" t="n">
        <v>0.562</v>
      </c>
      <c r="Q291" s="66" t="n">
        <v>73.5</v>
      </c>
      <c r="R291" s="66" t="n">
        <v>97.4</v>
      </c>
      <c r="S291" s="34" t="str">
        <f aca="false">IF(M291&gt;=40,"Pass","Fail")</f>
        <v>Pass</v>
      </c>
      <c r="T291" s="34" t="str">
        <f aca="false">IF(M291&gt;=80,"Yes","No")</f>
        <v>No</v>
      </c>
    </row>
    <row r="292" customFormat="false" ht="15" hidden="false" customHeight="false" outlineLevel="0" collapsed="false">
      <c r="A292" s="43" t="s">
        <v>3352</v>
      </c>
      <c r="B292" s="44" t="s">
        <v>3353</v>
      </c>
      <c r="C292" s="43" t="s">
        <v>2762</v>
      </c>
      <c r="D292" s="51" t="n">
        <v>2</v>
      </c>
      <c r="E292" s="43" t="s">
        <v>2774</v>
      </c>
      <c r="F292" s="44" t="s">
        <v>2764</v>
      </c>
      <c r="G292" s="67" t="n">
        <v>94</v>
      </c>
      <c r="H292" s="44" t="s">
        <v>2771</v>
      </c>
      <c r="I292" s="67" t="n">
        <v>85</v>
      </c>
      <c r="J292" s="44" t="s">
        <v>2765</v>
      </c>
      <c r="K292" s="67" t="n">
        <v>67</v>
      </c>
      <c r="L292" s="67" t="n">
        <f aca="false">G292+I292+K292</f>
        <v>246</v>
      </c>
      <c r="M292" s="68" t="n">
        <f aca="false">L292/300*100</f>
        <v>82</v>
      </c>
      <c r="N292" s="43" t="str">
        <f aca="false">IF(M292&gt;=90,"A+",IF(M292&gt;=80,"A",IF(M292&gt;=70,"B+",IF(M292&gt;=60,"B",IF(M292&gt;=50,"C","F")))))</f>
        <v>A</v>
      </c>
      <c r="O292" s="69" t="n">
        <f aca="false">IF(M292&gt;=90,4,IF(M292&gt;=80,3.7,IF(M292&gt;=70,3.3,IF(M292&gt;=60,3,IF(M292&gt;=50,2,0)))))</f>
        <v>3.7</v>
      </c>
      <c r="P292" s="47" t="n">
        <v>0.607</v>
      </c>
      <c r="Q292" s="70" t="n">
        <v>72.6</v>
      </c>
      <c r="R292" s="70" t="n">
        <v>73.9</v>
      </c>
      <c r="S292" s="43" t="str">
        <f aca="false">IF(M292&gt;=40,"Pass","Fail")</f>
        <v>Pass</v>
      </c>
      <c r="T292" s="43" t="str">
        <f aca="false">IF(M292&gt;=80,"Yes","No")</f>
        <v>Yes</v>
      </c>
    </row>
    <row r="293" customFormat="false" ht="15" hidden="false" customHeight="false" outlineLevel="0" collapsed="false">
      <c r="A293" s="34" t="s">
        <v>3354</v>
      </c>
      <c r="B293" s="35" t="s">
        <v>3355</v>
      </c>
      <c r="C293" s="34" t="s">
        <v>2803</v>
      </c>
      <c r="D293" s="42" t="n">
        <v>1</v>
      </c>
      <c r="E293" s="34" t="s">
        <v>2763</v>
      </c>
      <c r="F293" s="35" t="s">
        <v>2783</v>
      </c>
      <c r="G293" s="63" t="n">
        <v>79</v>
      </c>
      <c r="H293" s="35" t="s">
        <v>2791</v>
      </c>
      <c r="I293" s="63" t="n">
        <v>86</v>
      </c>
      <c r="J293" s="35" t="s">
        <v>2775</v>
      </c>
      <c r="K293" s="63" t="n">
        <v>78</v>
      </c>
      <c r="L293" s="63" t="n">
        <f aca="false">G293+I293+K293</f>
        <v>243</v>
      </c>
      <c r="M293" s="64" t="n">
        <f aca="false">L293/300*100</f>
        <v>81</v>
      </c>
      <c r="N293" s="34" t="str">
        <f aca="false">IF(M293&gt;=90,"A+",IF(M293&gt;=80,"A",IF(M293&gt;=70,"B+",IF(M293&gt;=60,"B",IF(M293&gt;=50,"C","F")))))</f>
        <v>A</v>
      </c>
      <c r="O293" s="65" t="n">
        <f aca="false">IF(M293&gt;=90,4,IF(M293&gt;=80,3.7,IF(M293&gt;=70,3.3,IF(M293&gt;=60,3,IF(M293&gt;=50,2,0)))))</f>
        <v>3.7</v>
      </c>
      <c r="P293" s="38" t="n">
        <v>0.928</v>
      </c>
      <c r="Q293" s="66" t="n">
        <v>45.1</v>
      </c>
      <c r="R293" s="66" t="n">
        <v>56.2</v>
      </c>
      <c r="S293" s="34" t="str">
        <f aca="false">IF(M293&gt;=40,"Pass","Fail")</f>
        <v>Pass</v>
      </c>
      <c r="T293" s="34" t="str">
        <f aca="false">IF(M293&gt;=80,"Yes","No")</f>
        <v>Yes</v>
      </c>
    </row>
    <row r="294" customFormat="false" ht="15" hidden="false" customHeight="false" outlineLevel="0" collapsed="false">
      <c r="A294" s="43" t="s">
        <v>3356</v>
      </c>
      <c r="B294" s="44" t="s">
        <v>3357</v>
      </c>
      <c r="C294" s="43" t="s">
        <v>2769</v>
      </c>
      <c r="D294" s="51" t="n">
        <v>2</v>
      </c>
      <c r="E294" s="43" t="s">
        <v>2763</v>
      </c>
      <c r="F294" s="44" t="s">
        <v>2764</v>
      </c>
      <c r="G294" s="67" t="n">
        <v>92</v>
      </c>
      <c r="H294" s="44" t="s">
        <v>2792</v>
      </c>
      <c r="I294" s="67" t="n">
        <v>81</v>
      </c>
      <c r="J294" s="44" t="s">
        <v>2771</v>
      </c>
      <c r="K294" s="67" t="n">
        <v>62</v>
      </c>
      <c r="L294" s="67" t="n">
        <f aca="false">G294+I294+K294</f>
        <v>235</v>
      </c>
      <c r="M294" s="68" t="n">
        <f aca="false">L294/300*100</f>
        <v>78.3333333333333</v>
      </c>
      <c r="N294" s="43" t="str">
        <f aca="false">IF(M294&gt;=90,"A+",IF(M294&gt;=80,"A",IF(M294&gt;=70,"B+",IF(M294&gt;=60,"B",IF(M294&gt;=50,"C","F")))))</f>
        <v>B+</v>
      </c>
      <c r="O294" s="69" t="n">
        <f aca="false">IF(M294&gt;=90,4,IF(M294&gt;=80,3.7,IF(M294&gt;=70,3.3,IF(M294&gt;=60,3,IF(M294&gt;=50,2,0)))))</f>
        <v>3.3</v>
      </c>
      <c r="P294" s="47" t="n">
        <v>0.939</v>
      </c>
      <c r="Q294" s="70" t="n">
        <v>47.3</v>
      </c>
      <c r="R294" s="70" t="n">
        <v>75.1</v>
      </c>
      <c r="S294" s="43" t="str">
        <f aca="false">IF(M294&gt;=40,"Pass","Fail")</f>
        <v>Pass</v>
      </c>
      <c r="T294" s="43" t="str">
        <f aca="false">IF(M294&gt;=80,"Yes","No")</f>
        <v>No</v>
      </c>
    </row>
    <row r="295" customFormat="false" ht="15" hidden="false" customHeight="false" outlineLevel="0" collapsed="false">
      <c r="A295" s="34" t="s">
        <v>3358</v>
      </c>
      <c r="B295" s="35" t="s">
        <v>3359</v>
      </c>
      <c r="C295" s="34" t="s">
        <v>2806</v>
      </c>
      <c r="D295" s="42" t="n">
        <v>1</v>
      </c>
      <c r="E295" s="34" t="s">
        <v>2782</v>
      </c>
      <c r="F295" s="35" t="s">
        <v>2765</v>
      </c>
      <c r="G295" s="63" t="n">
        <v>91</v>
      </c>
      <c r="H295" s="35" t="s">
        <v>2766</v>
      </c>
      <c r="I295" s="63" t="n">
        <v>83</v>
      </c>
      <c r="J295" s="35" t="s">
        <v>2783</v>
      </c>
      <c r="K295" s="63" t="n">
        <v>37</v>
      </c>
      <c r="L295" s="63" t="n">
        <f aca="false">G295+I295+K295</f>
        <v>211</v>
      </c>
      <c r="M295" s="64" t="n">
        <f aca="false">L295/300*100</f>
        <v>70.3333333333333</v>
      </c>
      <c r="N295" s="34" t="str">
        <f aca="false">IF(M295&gt;=90,"A+",IF(M295&gt;=80,"A",IF(M295&gt;=70,"B+",IF(M295&gt;=60,"B",IF(M295&gt;=50,"C","F")))))</f>
        <v>B+</v>
      </c>
      <c r="O295" s="65" t="n">
        <f aca="false">IF(M295&gt;=90,4,IF(M295&gt;=80,3.7,IF(M295&gt;=70,3.3,IF(M295&gt;=60,3,IF(M295&gt;=50,2,0)))))</f>
        <v>3.3</v>
      </c>
      <c r="P295" s="38" t="n">
        <v>0.651</v>
      </c>
      <c r="Q295" s="66" t="n">
        <v>80.5</v>
      </c>
      <c r="R295" s="66" t="n">
        <v>91.1</v>
      </c>
      <c r="S295" s="34" t="str">
        <f aca="false">IF(M295&gt;=40,"Pass","Fail")</f>
        <v>Pass</v>
      </c>
      <c r="T295" s="34" t="str">
        <f aca="false">IF(M295&gt;=80,"Yes","No")</f>
        <v>No</v>
      </c>
    </row>
    <row r="296" customFormat="false" ht="15" hidden="false" customHeight="false" outlineLevel="0" collapsed="false">
      <c r="A296" s="43" t="s">
        <v>3360</v>
      </c>
      <c r="B296" s="44" t="s">
        <v>3361</v>
      </c>
      <c r="C296" s="43" t="s">
        <v>2803</v>
      </c>
      <c r="D296" s="51" t="n">
        <v>5</v>
      </c>
      <c r="E296" s="43" t="s">
        <v>2782</v>
      </c>
      <c r="F296" s="44" t="s">
        <v>2775</v>
      </c>
      <c r="G296" s="67" t="n">
        <v>34</v>
      </c>
      <c r="H296" s="44" t="s">
        <v>2770</v>
      </c>
      <c r="I296" s="67" t="n">
        <v>28</v>
      </c>
      <c r="J296" s="44" t="s">
        <v>2765</v>
      </c>
      <c r="K296" s="67" t="n">
        <v>20</v>
      </c>
      <c r="L296" s="67" t="n">
        <f aca="false">G296+I296+K296</f>
        <v>82</v>
      </c>
      <c r="M296" s="68" t="n">
        <f aca="false">L296/300*100</f>
        <v>27.3333333333333</v>
      </c>
      <c r="N296" s="43" t="str">
        <f aca="false">IF(M296&gt;=90,"A+",IF(M296&gt;=80,"A",IF(M296&gt;=70,"B+",IF(M296&gt;=60,"B",IF(M296&gt;=50,"C","F")))))</f>
        <v>F</v>
      </c>
      <c r="O296" s="69" t="n">
        <f aca="false">IF(M296&gt;=90,4,IF(M296&gt;=80,3.7,IF(M296&gt;=70,3.3,IF(M296&gt;=60,3,IF(M296&gt;=50,2,0)))))</f>
        <v>0</v>
      </c>
      <c r="P296" s="47" t="n">
        <v>0.619</v>
      </c>
      <c r="Q296" s="70" t="n">
        <v>92.8</v>
      </c>
      <c r="R296" s="70" t="n">
        <v>71.2</v>
      </c>
      <c r="S296" s="43" t="str">
        <f aca="false">IF(M296&gt;=40,"Pass","Fail")</f>
        <v>Fail</v>
      </c>
      <c r="T296" s="43" t="str">
        <f aca="false">IF(M296&gt;=80,"Yes","No")</f>
        <v>No</v>
      </c>
    </row>
    <row r="297" customFormat="false" ht="15" hidden="false" customHeight="false" outlineLevel="0" collapsed="false">
      <c r="A297" s="34" t="s">
        <v>3362</v>
      </c>
      <c r="B297" s="35" t="s">
        <v>3363</v>
      </c>
      <c r="C297" s="34" t="s">
        <v>2781</v>
      </c>
      <c r="D297" s="42" t="n">
        <v>4</v>
      </c>
      <c r="E297" s="34" t="s">
        <v>2774</v>
      </c>
      <c r="F297" s="35" t="s">
        <v>2770</v>
      </c>
      <c r="G297" s="63" t="n">
        <v>70</v>
      </c>
      <c r="H297" s="35" t="s">
        <v>2775</v>
      </c>
      <c r="I297" s="63" t="n">
        <v>27</v>
      </c>
      <c r="J297" s="35" t="s">
        <v>2764</v>
      </c>
      <c r="K297" s="63" t="n">
        <v>35</v>
      </c>
      <c r="L297" s="63" t="n">
        <f aca="false">G297+I297+K297</f>
        <v>132</v>
      </c>
      <c r="M297" s="64" t="n">
        <f aca="false">L297/300*100</f>
        <v>44</v>
      </c>
      <c r="N297" s="34" t="str">
        <f aca="false">IF(M297&gt;=90,"A+",IF(M297&gt;=80,"A",IF(M297&gt;=70,"B+",IF(M297&gt;=60,"B",IF(M297&gt;=50,"C","F")))))</f>
        <v>F</v>
      </c>
      <c r="O297" s="65" t="n">
        <f aca="false">IF(M297&gt;=90,4,IF(M297&gt;=80,3.7,IF(M297&gt;=70,3.3,IF(M297&gt;=60,3,IF(M297&gt;=50,2,0)))))</f>
        <v>0</v>
      </c>
      <c r="P297" s="38" t="n">
        <v>0.685</v>
      </c>
      <c r="Q297" s="66" t="n">
        <v>69</v>
      </c>
      <c r="R297" s="66" t="n">
        <v>51</v>
      </c>
      <c r="S297" s="34" t="str">
        <f aca="false">IF(M297&gt;=40,"Pass","Fail")</f>
        <v>Pass</v>
      </c>
      <c r="T297" s="34" t="str">
        <f aca="false">IF(M297&gt;=80,"Yes","No")</f>
        <v>No</v>
      </c>
    </row>
    <row r="298" customFormat="false" ht="15" hidden="false" customHeight="false" outlineLevel="0" collapsed="false">
      <c r="A298" s="43" t="s">
        <v>3364</v>
      </c>
      <c r="B298" s="44" t="s">
        <v>3365</v>
      </c>
      <c r="C298" s="43" t="s">
        <v>2781</v>
      </c>
      <c r="D298" s="51" t="n">
        <v>5</v>
      </c>
      <c r="E298" s="43" t="s">
        <v>2782</v>
      </c>
      <c r="F298" s="44" t="s">
        <v>2770</v>
      </c>
      <c r="G298" s="67" t="n">
        <v>38</v>
      </c>
      <c r="H298" s="44" t="s">
        <v>2792</v>
      </c>
      <c r="I298" s="67" t="n">
        <v>22</v>
      </c>
      <c r="J298" s="44" t="s">
        <v>2791</v>
      </c>
      <c r="K298" s="67" t="n">
        <v>43</v>
      </c>
      <c r="L298" s="67" t="n">
        <f aca="false">G298+I298+K298</f>
        <v>103</v>
      </c>
      <c r="M298" s="68" t="n">
        <f aca="false">L298/300*100</f>
        <v>34.3333333333333</v>
      </c>
      <c r="N298" s="43" t="str">
        <f aca="false">IF(M298&gt;=90,"A+",IF(M298&gt;=80,"A",IF(M298&gt;=70,"B+",IF(M298&gt;=60,"B",IF(M298&gt;=50,"C","F")))))</f>
        <v>F</v>
      </c>
      <c r="O298" s="69" t="n">
        <f aca="false">IF(M298&gt;=90,4,IF(M298&gt;=80,3.7,IF(M298&gt;=70,3.3,IF(M298&gt;=60,3,IF(M298&gt;=50,2,0)))))</f>
        <v>0</v>
      </c>
      <c r="P298" s="47" t="n">
        <v>0.614</v>
      </c>
      <c r="Q298" s="70" t="n">
        <v>84.7</v>
      </c>
      <c r="R298" s="70" t="n">
        <v>54.4</v>
      </c>
      <c r="S298" s="43" t="str">
        <f aca="false">IF(M298&gt;=40,"Pass","Fail")</f>
        <v>Fail</v>
      </c>
      <c r="T298" s="43" t="str">
        <f aca="false">IF(M298&gt;=80,"Yes","No")</f>
        <v>No</v>
      </c>
    </row>
    <row r="299" customFormat="false" ht="15" hidden="false" customHeight="false" outlineLevel="0" collapsed="false">
      <c r="A299" s="34" t="s">
        <v>3366</v>
      </c>
      <c r="B299" s="35" t="s">
        <v>3367</v>
      </c>
      <c r="C299" s="34" t="s">
        <v>2806</v>
      </c>
      <c r="D299" s="42" t="n">
        <v>4</v>
      </c>
      <c r="E299" s="34" t="s">
        <v>2763</v>
      </c>
      <c r="F299" s="35" t="s">
        <v>2770</v>
      </c>
      <c r="G299" s="63" t="n">
        <v>32</v>
      </c>
      <c r="H299" s="35" t="s">
        <v>2771</v>
      </c>
      <c r="I299" s="63" t="n">
        <v>95</v>
      </c>
      <c r="J299" s="35" t="s">
        <v>2766</v>
      </c>
      <c r="K299" s="63" t="n">
        <v>83</v>
      </c>
      <c r="L299" s="63" t="n">
        <f aca="false">G299+I299+K299</f>
        <v>210</v>
      </c>
      <c r="M299" s="64" t="n">
        <f aca="false">L299/300*100</f>
        <v>70</v>
      </c>
      <c r="N299" s="34" t="str">
        <f aca="false">IF(M299&gt;=90,"A+",IF(M299&gt;=80,"A",IF(M299&gt;=70,"B+",IF(M299&gt;=60,"B",IF(M299&gt;=50,"C","F")))))</f>
        <v>B+</v>
      </c>
      <c r="O299" s="65" t="n">
        <f aca="false">IF(M299&gt;=90,4,IF(M299&gt;=80,3.7,IF(M299&gt;=70,3.3,IF(M299&gt;=60,3,IF(M299&gt;=50,2,0)))))</f>
        <v>3.3</v>
      </c>
      <c r="P299" s="38" t="n">
        <v>0.715</v>
      </c>
      <c r="Q299" s="66" t="n">
        <v>56.5</v>
      </c>
      <c r="R299" s="66" t="n">
        <v>63.1</v>
      </c>
      <c r="S299" s="34" t="str">
        <f aca="false">IF(M299&gt;=40,"Pass","Fail")</f>
        <v>Pass</v>
      </c>
      <c r="T299" s="34" t="str">
        <f aca="false">IF(M299&gt;=80,"Yes","No")</f>
        <v>No</v>
      </c>
    </row>
    <row r="300" customFormat="false" ht="15" hidden="false" customHeight="false" outlineLevel="0" collapsed="false">
      <c r="A300" s="43" t="s">
        <v>3368</v>
      </c>
      <c r="B300" s="44" t="s">
        <v>3369</v>
      </c>
      <c r="C300" s="43" t="s">
        <v>2786</v>
      </c>
      <c r="D300" s="51" t="n">
        <v>2</v>
      </c>
      <c r="E300" s="43" t="s">
        <v>2763</v>
      </c>
      <c r="F300" s="44" t="s">
        <v>2791</v>
      </c>
      <c r="G300" s="67" t="n">
        <v>23</v>
      </c>
      <c r="H300" s="44" t="s">
        <v>2764</v>
      </c>
      <c r="I300" s="67" t="n">
        <v>56</v>
      </c>
      <c r="J300" s="44" t="s">
        <v>2783</v>
      </c>
      <c r="K300" s="67" t="n">
        <v>78</v>
      </c>
      <c r="L300" s="67" t="n">
        <f aca="false">G300+I300+K300</f>
        <v>157</v>
      </c>
      <c r="M300" s="68" t="n">
        <f aca="false">L300/300*100</f>
        <v>52.3333333333333</v>
      </c>
      <c r="N300" s="43" t="str">
        <f aca="false">IF(M300&gt;=90,"A+",IF(M300&gt;=80,"A",IF(M300&gt;=70,"B+",IF(M300&gt;=60,"B",IF(M300&gt;=50,"C","F")))))</f>
        <v>C</v>
      </c>
      <c r="O300" s="69" t="n">
        <f aca="false">IF(M300&gt;=90,4,IF(M300&gt;=80,3.7,IF(M300&gt;=70,3.3,IF(M300&gt;=60,3,IF(M300&gt;=50,2,0)))))</f>
        <v>2</v>
      </c>
      <c r="P300" s="47" t="n">
        <v>0.604</v>
      </c>
      <c r="Q300" s="70" t="n">
        <v>63.4</v>
      </c>
      <c r="R300" s="70" t="n">
        <v>74.8</v>
      </c>
      <c r="S300" s="43" t="str">
        <f aca="false">IF(M300&gt;=40,"Pass","Fail")</f>
        <v>Pass</v>
      </c>
      <c r="T300" s="43" t="str">
        <f aca="false">IF(M300&gt;=80,"Yes","No")</f>
        <v>No</v>
      </c>
    </row>
    <row r="301" customFormat="false" ht="15" hidden="false" customHeight="false" outlineLevel="0" collapsed="false">
      <c r="A301" s="34" t="s">
        <v>3370</v>
      </c>
      <c r="B301" s="35" t="s">
        <v>3371</v>
      </c>
      <c r="C301" s="34" t="s">
        <v>2851</v>
      </c>
      <c r="D301" s="42" t="n">
        <v>8</v>
      </c>
      <c r="E301" s="34" t="s">
        <v>2774</v>
      </c>
      <c r="F301" s="35" t="s">
        <v>2778</v>
      </c>
      <c r="G301" s="63" t="n">
        <v>78</v>
      </c>
      <c r="H301" s="35" t="s">
        <v>2783</v>
      </c>
      <c r="I301" s="63" t="n">
        <v>55</v>
      </c>
      <c r="J301" s="35" t="s">
        <v>2770</v>
      </c>
      <c r="K301" s="63" t="n">
        <v>21</v>
      </c>
      <c r="L301" s="63" t="n">
        <f aca="false">G301+I301+K301</f>
        <v>154</v>
      </c>
      <c r="M301" s="64" t="n">
        <f aca="false">L301/300*100</f>
        <v>51.3333333333333</v>
      </c>
      <c r="N301" s="34" t="str">
        <f aca="false">IF(M301&gt;=90,"A+",IF(M301&gt;=80,"A",IF(M301&gt;=70,"B+",IF(M301&gt;=60,"B",IF(M301&gt;=50,"C","F")))))</f>
        <v>C</v>
      </c>
      <c r="O301" s="65" t="n">
        <f aca="false">IF(M301&gt;=90,4,IF(M301&gt;=80,3.7,IF(M301&gt;=70,3.3,IF(M301&gt;=60,3,IF(M301&gt;=50,2,0)))))</f>
        <v>2</v>
      </c>
      <c r="P301" s="38" t="n">
        <v>0.992</v>
      </c>
      <c r="Q301" s="66" t="n">
        <v>61.5</v>
      </c>
      <c r="R301" s="66" t="n">
        <v>91.4</v>
      </c>
      <c r="S301" s="34" t="str">
        <f aca="false">IF(M301&gt;=40,"Pass","Fail")</f>
        <v>Pass</v>
      </c>
      <c r="T301" s="34" t="str">
        <f aca="false">IF(M301&gt;=80,"Yes","No")</f>
        <v>No</v>
      </c>
    </row>
    <row r="302" customFormat="false" ht="15" hidden="false" customHeight="false" outlineLevel="0" collapsed="false">
      <c r="A302" s="43" t="s">
        <v>3372</v>
      </c>
      <c r="B302" s="44" t="s">
        <v>3373</v>
      </c>
      <c r="C302" s="43" t="s">
        <v>2806</v>
      </c>
      <c r="D302" s="51" t="n">
        <v>4</v>
      </c>
      <c r="E302" s="43" t="s">
        <v>2763</v>
      </c>
      <c r="F302" s="44" t="s">
        <v>2766</v>
      </c>
      <c r="G302" s="67" t="n">
        <v>42</v>
      </c>
      <c r="H302" s="44" t="s">
        <v>2791</v>
      </c>
      <c r="I302" s="67" t="n">
        <v>39</v>
      </c>
      <c r="J302" s="44" t="s">
        <v>2792</v>
      </c>
      <c r="K302" s="67" t="n">
        <v>65</v>
      </c>
      <c r="L302" s="67" t="n">
        <f aca="false">G302+I302+K302</f>
        <v>146</v>
      </c>
      <c r="M302" s="68" t="n">
        <f aca="false">L302/300*100</f>
        <v>48.6666666666667</v>
      </c>
      <c r="N302" s="43" t="str">
        <f aca="false">IF(M302&gt;=90,"A+",IF(M302&gt;=80,"A",IF(M302&gt;=70,"B+",IF(M302&gt;=60,"B",IF(M302&gt;=50,"C","F")))))</f>
        <v>F</v>
      </c>
      <c r="O302" s="69" t="n">
        <f aca="false">IF(M302&gt;=90,4,IF(M302&gt;=80,3.7,IF(M302&gt;=70,3.3,IF(M302&gt;=60,3,IF(M302&gt;=50,2,0)))))</f>
        <v>0</v>
      </c>
      <c r="P302" s="47" t="n">
        <v>0.845</v>
      </c>
      <c r="Q302" s="70" t="n">
        <v>73.8</v>
      </c>
      <c r="R302" s="70" t="n">
        <v>67.6</v>
      </c>
      <c r="S302" s="43" t="str">
        <f aca="false">IF(M302&gt;=40,"Pass","Fail")</f>
        <v>Pass</v>
      </c>
      <c r="T302" s="43" t="str">
        <f aca="false">IF(M302&gt;=80,"Yes","No")</f>
        <v>No</v>
      </c>
    </row>
    <row r="303" customFormat="false" ht="15" hidden="false" customHeight="false" outlineLevel="0" collapsed="false">
      <c r="A303" s="34" t="s">
        <v>3374</v>
      </c>
      <c r="B303" s="35" t="s">
        <v>3375</v>
      </c>
      <c r="C303" s="34" t="s">
        <v>2786</v>
      </c>
      <c r="D303" s="42" t="n">
        <v>3</v>
      </c>
      <c r="E303" s="34" t="s">
        <v>2763</v>
      </c>
      <c r="F303" s="35" t="s">
        <v>2771</v>
      </c>
      <c r="G303" s="63" t="n">
        <v>81</v>
      </c>
      <c r="H303" s="35" t="s">
        <v>2791</v>
      </c>
      <c r="I303" s="63" t="n">
        <v>68</v>
      </c>
      <c r="J303" s="35" t="s">
        <v>2792</v>
      </c>
      <c r="K303" s="63" t="n">
        <v>80</v>
      </c>
      <c r="L303" s="63" t="n">
        <f aca="false">G303+I303+K303</f>
        <v>229</v>
      </c>
      <c r="M303" s="64" t="n">
        <f aca="false">L303/300*100</f>
        <v>76.3333333333333</v>
      </c>
      <c r="N303" s="34" t="str">
        <f aca="false">IF(M303&gt;=90,"A+",IF(M303&gt;=80,"A",IF(M303&gt;=70,"B+",IF(M303&gt;=60,"B",IF(M303&gt;=50,"C","F")))))</f>
        <v>B+</v>
      </c>
      <c r="O303" s="65" t="n">
        <f aca="false">IF(M303&gt;=90,4,IF(M303&gt;=80,3.7,IF(M303&gt;=70,3.3,IF(M303&gt;=60,3,IF(M303&gt;=50,2,0)))))</f>
        <v>3.3</v>
      </c>
      <c r="P303" s="38" t="n">
        <v>0.823</v>
      </c>
      <c r="Q303" s="66" t="n">
        <v>50.8</v>
      </c>
      <c r="R303" s="66" t="n">
        <v>82.5</v>
      </c>
      <c r="S303" s="34" t="str">
        <f aca="false">IF(M303&gt;=40,"Pass","Fail")</f>
        <v>Pass</v>
      </c>
      <c r="T303" s="34" t="str">
        <f aca="false">IF(M303&gt;=80,"Yes","No")</f>
        <v>No</v>
      </c>
    </row>
    <row r="304" customFormat="false" ht="15" hidden="false" customHeight="false" outlineLevel="0" collapsed="false">
      <c r="A304" s="43" t="s">
        <v>3376</v>
      </c>
      <c r="B304" s="44" t="s">
        <v>3377</v>
      </c>
      <c r="C304" s="43" t="s">
        <v>2806</v>
      </c>
      <c r="D304" s="51" t="n">
        <v>5</v>
      </c>
      <c r="E304" s="43" t="s">
        <v>2774</v>
      </c>
      <c r="F304" s="44" t="s">
        <v>2778</v>
      </c>
      <c r="G304" s="67" t="n">
        <v>28</v>
      </c>
      <c r="H304" s="44" t="s">
        <v>2764</v>
      </c>
      <c r="I304" s="67" t="n">
        <v>25</v>
      </c>
      <c r="J304" s="44" t="s">
        <v>2791</v>
      </c>
      <c r="K304" s="67" t="n">
        <v>23</v>
      </c>
      <c r="L304" s="67" t="n">
        <f aca="false">G304+I304+K304</f>
        <v>76</v>
      </c>
      <c r="M304" s="68" t="n">
        <f aca="false">L304/300*100</f>
        <v>25.3333333333333</v>
      </c>
      <c r="N304" s="43" t="str">
        <f aca="false">IF(M304&gt;=90,"A+",IF(M304&gt;=80,"A",IF(M304&gt;=70,"B+",IF(M304&gt;=60,"B",IF(M304&gt;=50,"C","F")))))</f>
        <v>F</v>
      </c>
      <c r="O304" s="69" t="n">
        <f aca="false">IF(M304&gt;=90,4,IF(M304&gt;=80,3.7,IF(M304&gt;=70,3.3,IF(M304&gt;=60,3,IF(M304&gt;=50,2,0)))))</f>
        <v>0</v>
      </c>
      <c r="P304" s="47" t="n">
        <v>0.933</v>
      </c>
      <c r="Q304" s="70" t="n">
        <v>49.6</v>
      </c>
      <c r="R304" s="70" t="n">
        <v>45.8</v>
      </c>
      <c r="S304" s="43" t="str">
        <f aca="false">IF(M304&gt;=40,"Pass","Fail")</f>
        <v>Fail</v>
      </c>
      <c r="T304" s="43" t="str">
        <f aca="false">IF(M304&gt;=80,"Yes","No")</f>
        <v>No</v>
      </c>
    </row>
    <row r="305" customFormat="false" ht="15" hidden="false" customHeight="false" outlineLevel="0" collapsed="false">
      <c r="A305" s="34" t="s">
        <v>3378</v>
      </c>
      <c r="B305" s="35" t="s">
        <v>3379</v>
      </c>
      <c r="C305" s="34" t="s">
        <v>2851</v>
      </c>
      <c r="D305" s="42" t="n">
        <v>8</v>
      </c>
      <c r="E305" s="34" t="s">
        <v>2782</v>
      </c>
      <c r="F305" s="35" t="s">
        <v>2770</v>
      </c>
      <c r="G305" s="63" t="n">
        <v>50</v>
      </c>
      <c r="H305" s="35" t="s">
        <v>2778</v>
      </c>
      <c r="I305" s="63" t="n">
        <v>33</v>
      </c>
      <c r="J305" s="35" t="s">
        <v>2765</v>
      </c>
      <c r="K305" s="63" t="n">
        <v>42</v>
      </c>
      <c r="L305" s="63" t="n">
        <f aca="false">G305+I305+K305</f>
        <v>125</v>
      </c>
      <c r="M305" s="64" t="n">
        <f aca="false">L305/300*100</f>
        <v>41.6666666666667</v>
      </c>
      <c r="N305" s="34" t="str">
        <f aca="false">IF(M305&gt;=90,"A+",IF(M305&gt;=80,"A",IF(M305&gt;=70,"B+",IF(M305&gt;=60,"B",IF(M305&gt;=50,"C","F")))))</f>
        <v>F</v>
      </c>
      <c r="O305" s="65" t="n">
        <f aca="false">IF(M305&gt;=90,4,IF(M305&gt;=80,3.7,IF(M305&gt;=70,3.3,IF(M305&gt;=60,3,IF(M305&gt;=50,2,0)))))</f>
        <v>0</v>
      </c>
      <c r="P305" s="38" t="n">
        <v>0.878</v>
      </c>
      <c r="Q305" s="66" t="n">
        <v>63</v>
      </c>
      <c r="R305" s="66" t="n">
        <v>98.4</v>
      </c>
      <c r="S305" s="34" t="str">
        <f aca="false">IF(M305&gt;=40,"Pass","Fail")</f>
        <v>Pass</v>
      </c>
      <c r="T305" s="34" t="str">
        <f aca="false">IF(M305&gt;=80,"Yes","No")</f>
        <v>No</v>
      </c>
    </row>
    <row r="306" customFormat="false" ht="15" hidden="false" customHeight="false" outlineLevel="0" collapsed="false">
      <c r="A306" s="43" t="s">
        <v>3380</v>
      </c>
      <c r="B306" s="44" t="s">
        <v>3381</v>
      </c>
      <c r="C306" s="43" t="s">
        <v>2851</v>
      </c>
      <c r="D306" s="51" t="n">
        <v>1</v>
      </c>
      <c r="E306" s="43" t="s">
        <v>2782</v>
      </c>
      <c r="F306" s="44" t="s">
        <v>2771</v>
      </c>
      <c r="G306" s="67" t="n">
        <v>29</v>
      </c>
      <c r="H306" s="44" t="s">
        <v>2792</v>
      </c>
      <c r="I306" s="67" t="n">
        <v>76</v>
      </c>
      <c r="J306" s="44" t="s">
        <v>2775</v>
      </c>
      <c r="K306" s="67" t="n">
        <v>67</v>
      </c>
      <c r="L306" s="67" t="n">
        <f aca="false">G306+I306+K306</f>
        <v>172</v>
      </c>
      <c r="M306" s="68" t="n">
        <f aca="false">L306/300*100</f>
        <v>57.3333333333333</v>
      </c>
      <c r="N306" s="43" t="str">
        <f aca="false">IF(M306&gt;=90,"A+",IF(M306&gt;=80,"A",IF(M306&gt;=70,"B+",IF(M306&gt;=60,"B",IF(M306&gt;=50,"C","F")))))</f>
        <v>C</v>
      </c>
      <c r="O306" s="69" t="n">
        <f aca="false">IF(M306&gt;=90,4,IF(M306&gt;=80,3.7,IF(M306&gt;=70,3.3,IF(M306&gt;=60,3,IF(M306&gt;=50,2,0)))))</f>
        <v>2</v>
      </c>
      <c r="P306" s="47" t="n">
        <v>0.823</v>
      </c>
      <c r="Q306" s="70" t="n">
        <v>90.4</v>
      </c>
      <c r="R306" s="70" t="n">
        <v>95.4</v>
      </c>
      <c r="S306" s="43" t="str">
        <f aca="false">IF(M306&gt;=40,"Pass","Fail")</f>
        <v>Pass</v>
      </c>
      <c r="T306" s="43" t="str">
        <f aca="false">IF(M306&gt;=80,"Yes","No")</f>
        <v>No</v>
      </c>
    </row>
    <row r="307" customFormat="false" ht="15" hidden="false" customHeight="false" outlineLevel="0" collapsed="false">
      <c r="A307" s="34" t="s">
        <v>3382</v>
      </c>
      <c r="B307" s="35" t="s">
        <v>3383</v>
      </c>
      <c r="C307" s="34" t="s">
        <v>2803</v>
      </c>
      <c r="D307" s="42" t="n">
        <v>2</v>
      </c>
      <c r="E307" s="34" t="s">
        <v>2782</v>
      </c>
      <c r="F307" s="35" t="s">
        <v>2770</v>
      </c>
      <c r="G307" s="63" t="n">
        <v>93</v>
      </c>
      <c r="H307" s="35" t="s">
        <v>2791</v>
      </c>
      <c r="I307" s="63" t="n">
        <v>91</v>
      </c>
      <c r="J307" s="35" t="s">
        <v>2783</v>
      </c>
      <c r="K307" s="63" t="n">
        <v>45</v>
      </c>
      <c r="L307" s="63" t="n">
        <f aca="false">G307+I307+K307</f>
        <v>229</v>
      </c>
      <c r="M307" s="64" t="n">
        <f aca="false">L307/300*100</f>
        <v>76.3333333333333</v>
      </c>
      <c r="N307" s="34" t="str">
        <f aca="false">IF(M307&gt;=90,"A+",IF(M307&gt;=80,"A",IF(M307&gt;=70,"B+",IF(M307&gt;=60,"B",IF(M307&gt;=50,"C","F")))))</f>
        <v>B+</v>
      </c>
      <c r="O307" s="65" t="n">
        <f aca="false">IF(M307&gt;=90,4,IF(M307&gt;=80,3.7,IF(M307&gt;=70,3.3,IF(M307&gt;=60,3,IF(M307&gt;=50,2,0)))))</f>
        <v>3.3</v>
      </c>
      <c r="P307" s="38" t="n">
        <v>0.638</v>
      </c>
      <c r="Q307" s="66" t="n">
        <v>69.5</v>
      </c>
      <c r="R307" s="66" t="n">
        <v>80.7</v>
      </c>
      <c r="S307" s="34" t="str">
        <f aca="false">IF(M307&gt;=40,"Pass","Fail")</f>
        <v>Pass</v>
      </c>
      <c r="T307" s="34" t="str">
        <f aca="false">IF(M307&gt;=80,"Yes","No")</f>
        <v>No</v>
      </c>
    </row>
    <row r="308" customFormat="false" ht="15" hidden="false" customHeight="false" outlineLevel="0" collapsed="false">
      <c r="A308" s="43" t="s">
        <v>3384</v>
      </c>
      <c r="B308" s="44" t="s">
        <v>3385</v>
      </c>
      <c r="C308" s="43" t="s">
        <v>2781</v>
      </c>
      <c r="D308" s="51" t="n">
        <v>4</v>
      </c>
      <c r="E308" s="43" t="s">
        <v>2782</v>
      </c>
      <c r="F308" s="44" t="s">
        <v>2783</v>
      </c>
      <c r="G308" s="67" t="n">
        <v>31</v>
      </c>
      <c r="H308" s="44" t="s">
        <v>2791</v>
      </c>
      <c r="I308" s="67" t="n">
        <v>94</v>
      </c>
      <c r="J308" s="44" t="s">
        <v>2765</v>
      </c>
      <c r="K308" s="67" t="n">
        <v>23</v>
      </c>
      <c r="L308" s="67" t="n">
        <f aca="false">G308+I308+K308</f>
        <v>148</v>
      </c>
      <c r="M308" s="68" t="n">
        <f aca="false">L308/300*100</f>
        <v>49.3333333333333</v>
      </c>
      <c r="N308" s="43" t="str">
        <f aca="false">IF(M308&gt;=90,"A+",IF(M308&gt;=80,"A",IF(M308&gt;=70,"B+",IF(M308&gt;=60,"B",IF(M308&gt;=50,"C","F")))))</f>
        <v>F</v>
      </c>
      <c r="O308" s="69" t="n">
        <f aca="false">IF(M308&gt;=90,4,IF(M308&gt;=80,3.7,IF(M308&gt;=70,3.3,IF(M308&gt;=60,3,IF(M308&gt;=50,2,0)))))</f>
        <v>0</v>
      </c>
      <c r="P308" s="47" t="n">
        <v>0.833</v>
      </c>
      <c r="Q308" s="70" t="n">
        <v>80.1</v>
      </c>
      <c r="R308" s="70" t="n">
        <v>52.2</v>
      </c>
      <c r="S308" s="43" t="str">
        <f aca="false">IF(M308&gt;=40,"Pass","Fail")</f>
        <v>Pass</v>
      </c>
      <c r="T308" s="43" t="str">
        <f aca="false">IF(M308&gt;=80,"Yes","No")</f>
        <v>No</v>
      </c>
    </row>
    <row r="309" customFormat="false" ht="15" hidden="false" customHeight="false" outlineLevel="0" collapsed="false">
      <c r="A309" s="34" t="s">
        <v>3386</v>
      </c>
      <c r="B309" s="35" t="s">
        <v>3387</v>
      </c>
      <c r="C309" s="34" t="s">
        <v>2786</v>
      </c>
      <c r="D309" s="42" t="n">
        <v>3</v>
      </c>
      <c r="E309" s="34" t="s">
        <v>2774</v>
      </c>
      <c r="F309" s="35" t="s">
        <v>2778</v>
      </c>
      <c r="G309" s="63" t="n">
        <v>63</v>
      </c>
      <c r="H309" s="35" t="s">
        <v>2791</v>
      </c>
      <c r="I309" s="63" t="n">
        <v>43</v>
      </c>
      <c r="J309" s="35" t="s">
        <v>2792</v>
      </c>
      <c r="K309" s="63" t="n">
        <v>87</v>
      </c>
      <c r="L309" s="63" t="n">
        <f aca="false">G309+I309+K309</f>
        <v>193</v>
      </c>
      <c r="M309" s="64" t="n">
        <f aca="false">L309/300*100</f>
        <v>64.3333333333333</v>
      </c>
      <c r="N309" s="34" t="str">
        <f aca="false">IF(M309&gt;=90,"A+",IF(M309&gt;=80,"A",IF(M309&gt;=70,"B+",IF(M309&gt;=60,"B",IF(M309&gt;=50,"C","F")))))</f>
        <v>B</v>
      </c>
      <c r="O309" s="65" t="n">
        <f aca="false">IF(M309&gt;=90,4,IF(M309&gt;=80,3.7,IF(M309&gt;=70,3.3,IF(M309&gt;=60,3,IF(M309&gt;=50,2,0)))))</f>
        <v>3</v>
      </c>
      <c r="P309" s="38" t="n">
        <v>0.773</v>
      </c>
      <c r="Q309" s="66" t="n">
        <v>89.9</v>
      </c>
      <c r="R309" s="66" t="n">
        <v>74.2</v>
      </c>
      <c r="S309" s="34" t="str">
        <f aca="false">IF(M309&gt;=40,"Pass","Fail")</f>
        <v>Pass</v>
      </c>
      <c r="T309" s="34" t="str">
        <f aca="false">IF(M309&gt;=80,"Yes","No")</f>
        <v>No</v>
      </c>
    </row>
    <row r="310" customFormat="false" ht="15" hidden="false" customHeight="false" outlineLevel="0" collapsed="false">
      <c r="A310" s="43" t="s">
        <v>3388</v>
      </c>
      <c r="B310" s="44" t="s">
        <v>3389</v>
      </c>
      <c r="C310" s="43" t="s">
        <v>2762</v>
      </c>
      <c r="D310" s="51" t="n">
        <v>6</v>
      </c>
      <c r="E310" s="43" t="s">
        <v>2763</v>
      </c>
      <c r="F310" s="44" t="s">
        <v>2764</v>
      </c>
      <c r="G310" s="67" t="n">
        <v>28</v>
      </c>
      <c r="H310" s="44" t="s">
        <v>2766</v>
      </c>
      <c r="I310" s="67" t="n">
        <v>76</v>
      </c>
      <c r="J310" s="44" t="s">
        <v>2783</v>
      </c>
      <c r="K310" s="67" t="n">
        <v>74</v>
      </c>
      <c r="L310" s="67" t="n">
        <f aca="false">G310+I310+K310</f>
        <v>178</v>
      </c>
      <c r="M310" s="68" t="n">
        <f aca="false">L310/300*100</f>
        <v>59.3333333333333</v>
      </c>
      <c r="N310" s="43" t="str">
        <f aca="false">IF(M310&gt;=90,"A+",IF(M310&gt;=80,"A",IF(M310&gt;=70,"B+",IF(M310&gt;=60,"B",IF(M310&gt;=50,"C","F")))))</f>
        <v>C</v>
      </c>
      <c r="O310" s="69" t="n">
        <f aca="false">IF(M310&gt;=90,4,IF(M310&gt;=80,3.7,IF(M310&gt;=70,3.3,IF(M310&gt;=60,3,IF(M310&gt;=50,2,0)))))</f>
        <v>2</v>
      </c>
      <c r="P310" s="47" t="n">
        <v>0.831</v>
      </c>
      <c r="Q310" s="70" t="n">
        <v>92.4</v>
      </c>
      <c r="R310" s="70" t="n">
        <v>74.1</v>
      </c>
      <c r="S310" s="43" t="str">
        <f aca="false">IF(M310&gt;=40,"Pass","Fail")</f>
        <v>Pass</v>
      </c>
      <c r="T310" s="43" t="str">
        <f aca="false">IF(M310&gt;=80,"Yes","No")</f>
        <v>No</v>
      </c>
    </row>
    <row r="311" customFormat="false" ht="15" hidden="false" customHeight="false" outlineLevel="0" collapsed="false">
      <c r="A311" s="34" t="s">
        <v>3390</v>
      </c>
      <c r="B311" s="35" t="s">
        <v>3391</v>
      </c>
      <c r="C311" s="34" t="s">
        <v>2781</v>
      </c>
      <c r="D311" s="42" t="n">
        <v>5</v>
      </c>
      <c r="E311" s="34" t="s">
        <v>2774</v>
      </c>
      <c r="F311" s="35" t="s">
        <v>2792</v>
      </c>
      <c r="G311" s="63" t="n">
        <v>26</v>
      </c>
      <c r="H311" s="35" t="s">
        <v>2770</v>
      </c>
      <c r="I311" s="63" t="n">
        <v>96</v>
      </c>
      <c r="J311" s="35" t="s">
        <v>2765</v>
      </c>
      <c r="K311" s="63" t="n">
        <v>89</v>
      </c>
      <c r="L311" s="63" t="n">
        <f aca="false">G311+I311+K311</f>
        <v>211</v>
      </c>
      <c r="M311" s="64" t="n">
        <f aca="false">L311/300*100</f>
        <v>70.3333333333333</v>
      </c>
      <c r="N311" s="34" t="str">
        <f aca="false">IF(M311&gt;=90,"A+",IF(M311&gt;=80,"A",IF(M311&gt;=70,"B+",IF(M311&gt;=60,"B",IF(M311&gt;=50,"C","F")))))</f>
        <v>B+</v>
      </c>
      <c r="O311" s="65" t="n">
        <f aca="false">IF(M311&gt;=90,4,IF(M311&gt;=80,3.7,IF(M311&gt;=70,3.3,IF(M311&gt;=60,3,IF(M311&gt;=50,2,0)))))</f>
        <v>3.3</v>
      </c>
      <c r="P311" s="38" t="n">
        <v>0.699</v>
      </c>
      <c r="Q311" s="66" t="n">
        <v>53.4</v>
      </c>
      <c r="R311" s="66" t="n">
        <v>96.4</v>
      </c>
      <c r="S311" s="34" t="str">
        <f aca="false">IF(M311&gt;=40,"Pass","Fail")</f>
        <v>Pass</v>
      </c>
      <c r="T311" s="34" t="str">
        <f aca="false">IF(M311&gt;=80,"Yes","No")</f>
        <v>No</v>
      </c>
    </row>
    <row r="312" customFormat="false" ht="15" hidden="false" customHeight="false" outlineLevel="0" collapsed="false">
      <c r="A312" s="43" t="s">
        <v>3392</v>
      </c>
      <c r="B312" s="44" t="s">
        <v>3393</v>
      </c>
      <c r="C312" s="43" t="s">
        <v>2786</v>
      </c>
      <c r="D312" s="51" t="n">
        <v>5</v>
      </c>
      <c r="E312" s="43" t="s">
        <v>2763</v>
      </c>
      <c r="F312" s="44" t="s">
        <v>2778</v>
      </c>
      <c r="G312" s="67" t="n">
        <v>56</v>
      </c>
      <c r="H312" s="44" t="s">
        <v>2792</v>
      </c>
      <c r="I312" s="67" t="n">
        <v>29</v>
      </c>
      <c r="J312" s="44" t="s">
        <v>2783</v>
      </c>
      <c r="K312" s="67" t="n">
        <v>88</v>
      </c>
      <c r="L312" s="67" t="n">
        <f aca="false">G312+I312+K312</f>
        <v>173</v>
      </c>
      <c r="M312" s="68" t="n">
        <f aca="false">L312/300*100</f>
        <v>57.6666666666667</v>
      </c>
      <c r="N312" s="43" t="str">
        <f aca="false">IF(M312&gt;=90,"A+",IF(M312&gt;=80,"A",IF(M312&gt;=70,"B+",IF(M312&gt;=60,"B",IF(M312&gt;=50,"C","F")))))</f>
        <v>C</v>
      </c>
      <c r="O312" s="69" t="n">
        <f aca="false">IF(M312&gt;=90,4,IF(M312&gt;=80,3.7,IF(M312&gt;=70,3.3,IF(M312&gt;=60,3,IF(M312&gt;=50,2,0)))))</f>
        <v>2</v>
      </c>
      <c r="P312" s="47" t="n">
        <v>0.809</v>
      </c>
      <c r="Q312" s="70" t="n">
        <v>91.2</v>
      </c>
      <c r="R312" s="70" t="n">
        <v>95.9</v>
      </c>
      <c r="S312" s="43" t="str">
        <f aca="false">IF(M312&gt;=40,"Pass","Fail")</f>
        <v>Pass</v>
      </c>
      <c r="T312" s="43" t="str">
        <f aca="false">IF(M312&gt;=80,"Yes","No")</f>
        <v>No</v>
      </c>
    </row>
    <row r="313" customFormat="false" ht="15" hidden="false" customHeight="false" outlineLevel="0" collapsed="false">
      <c r="A313" s="34" t="s">
        <v>3394</v>
      </c>
      <c r="B313" s="35" t="s">
        <v>3395</v>
      </c>
      <c r="C313" s="34" t="s">
        <v>2806</v>
      </c>
      <c r="D313" s="42" t="n">
        <v>5</v>
      </c>
      <c r="E313" s="34" t="s">
        <v>2763</v>
      </c>
      <c r="F313" s="35" t="s">
        <v>2764</v>
      </c>
      <c r="G313" s="63" t="n">
        <v>94</v>
      </c>
      <c r="H313" s="35" t="s">
        <v>2775</v>
      </c>
      <c r="I313" s="63" t="n">
        <v>80</v>
      </c>
      <c r="J313" s="35" t="s">
        <v>2792</v>
      </c>
      <c r="K313" s="63" t="n">
        <v>53</v>
      </c>
      <c r="L313" s="63" t="n">
        <f aca="false">G313+I313+K313</f>
        <v>227</v>
      </c>
      <c r="M313" s="64" t="n">
        <f aca="false">L313/300*100</f>
        <v>75.6666666666667</v>
      </c>
      <c r="N313" s="34" t="str">
        <f aca="false">IF(M313&gt;=90,"A+",IF(M313&gt;=80,"A",IF(M313&gt;=70,"B+",IF(M313&gt;=60,"B",IF(M313&gt;=50,"C","F")))))</f>
        <v>B+</v>
      </c>
      <c r="O313" s="65" t="n">
        <f aca="false">IF(M313&gt;=90,4,IF(M313&gt;=80,3.7,IF(M313&gt;=70,3.3,IF(M313&gt;=60,3,IF(M313&gt;=50,2,0)))))</f>
        <v>3.3</v>
      </c>
      <c r="P313" s="38" t="n">
        <v>0.844</v>
      </c>
      <c r="Q313" s="66" t="n">
        <v>41.9</v>
      </c>
      <c r="R313" s="66" t="n">
        <v>65.3</v>
      </c>
      <c r="S313" s="34" t="str">
        <f aca="false">IF(M313&gt;=40,"Pass","Fail")</f>
        <v>Pass</v>
      </c>
      <c r="T313" s="34" t="str">
        <f aca="false">IF(M313&gt;=80,"Yes","No")</f>
        <v>No</v>
      </c>
    </row>
    <row r="314" customFormat="false" ht="15" hidden="false" customHeight="false" outlineLevel="0" collapsed="false">
      <c r="A314" s="43" t="s">
        <v>3396</v>
      </c>
      <c r="B314" s="44" t="s">
        <v>3397</v>
      </c>
      <c r="C314" s="43" t="s">
        <v>2781</v>
      </c>
      <c r="D314" s="51" t="n">
        <v>6</v>
      </c>
      <c r="E314" s="43" t="s">
        <v>2774</v>
      </c>
      <c r="F314" s="44" t="s">
        <v>2783</v>
      </c>
      <c r="G314" s="67" t="n">
        <v>27</v>
      </c>
      <c r="H314" s="44" t="s">
        <v>2765</v>
      </c>
      <c r="I314" s="67" t="n">
        <v>50</v>
      </c>
      <c r="J314" s="44" t="s">
        <v>2778</v>
      </c>
      <c r="K314" s="67" t="n">
        <v>83</v>
      </c>
      <c r="L314" s="67" t="n">
        <f aca="false">G314+I314+K314</f>
        <v>160</v>
      </c>
      <c r="M314" s="68" t="n">
        <f aca="false">L314/300*100</f>
        <v>53.3333333333333</v>
      </c>
      <c r="N314" s="43" t="str">
        <f aca="false">IF(M314&gt;=90,"A+",IF(M314&gt;=80,"A",IF(M314&gt;=70,"B+",IF(M314&gt;=60,"B",IF(M314&gt;=50,"C","F")))))</f>
        <v>C</v>
      </c>
      <c r="O314" s="69" t="n">
        <f aca="false">IF(M314&gt;=90,4,IF(M314&gt;=80,3.7,IF(M314&gt;=70,3.3,IF(M314&gt;=60,3,IF(M314&gt;=50,2,0)))))</f>
        <v>2</v>
      </c>
      <c r="P314" s="47" t="n">
        <v>0.583</v>
      </c>
      <c r="Q314" s="70" t="n">
        <v>96.9</v>
      </c>
      <c r="R314" s="70" t="n">
        <v>94.3</v>
      </c>
      <c r="S314" s="43" t="str">
        <f aca="false">IF(M314&gt;=40,"Pass","Fail")</f>
        <v>Pass</v>
      </c>
      <c r="T314" s="43" t="str">
        <f aca="false">IF(M314&gt;=80,"Yes","No")</f>
        <v>No</v>
      </c>
    </row>
    <row r="315" customFormat="false" ht="15" hidden="false" customHeight="false" outlineLevel="0" collapsed="false">
      <c r="A315" s="34" t="s">
        <v>3398</v>
      </c>
      <c r="B315" s="35" t="s">
        <v>3399</v>
      </c>
      <c r="C315" s="34" t="s">
        <v>2769</v>
      </c>
      <c r="D315" s="42" t="n">
        <v>1</v>
      </c>
      <c r="E315" s="34" t="s">
        <v>2763</v>
      </c>
      <c r="F315" s="35" t="s">
        <v>2792</v>
      </c>
      <c r="G315" s="63" t="n">
        <v>90</v>
      </c>
      <c r="H315" s="35" t="s">
        <v>2791</v>
      </c>
      <c r="I315" s="63" t="n">
        <v>81</v>
      </c>
      <c r="J315" s="35" t="s">
        <v>2764</v>
      </c>
      <c r="K315" s="63" t="n">
        <v>36</v>
      </c>
      <c r="L315" s="63" t="n">
        <f aca="false">G315+I315+K315</f>
        <v>207</v>
      </c>
      <c r="M315" s="64" t="n">
        <f aca="false">L315/300*100</f>
        <v>69</v>
      </c>
      <c r="N315" s="34" t="str">
        <f aca="false">IF(M315&gt;=90,"A+",IF(M315&gt;=80,"A",IF(M315&gt;=70,"B+",IF(M315&gt;=60,"B",IF(M315&gt;=50,"C","F")))))</f>
        <v>B</v>
      </c>
      <c r="O315" s="65" t="n">
        <f aca="false">IF(M315&gt;=90,4,IF(M315&gt;=80,3.7,IF(M315&gt;=70,3.3,IF(M315&gt;=60,3,IF(M315&gt;=50,2,0)))))</f>
        <v>3</v>
      </c>
      <c r="P315" s="38" t="n">
        <v>0.672</v>
      </c>
      <c r="Q315" s="66" t="n">
        <v>42.5</v>
      </c>
      <c r="R315" s="66" t="n">
        <v>42.1</v>
      </c>
      <c r="S315" s="34" t="str">
        <f aca="false">IF(M315&gt;=40,"Pass","Fail")</f>
        <v>Pass</v>
      </c>
      <c r="T315" s="34" t="str">
        <f aca="false">IF(M315&gt;=80,"Yes","No")</f>
        <v>No</v>
      </c>
    </row>
    <row r="316" customFormat="false" ht="15" hidden="false" customHeight="false" outlineLevel="0" collapsed="false">
      <c r="A316" s="43" t="s">
        <v>3400</v>
      </c>
      <c r="B316" s="44" t="s">
        <v>3401</v>
      </c>
      <c r="C316" s="43" t="s">
        <v>2806</v>
      </c>
      <c r="D316" s="51" t="n">
        <v>4</v>
      </c>
      <c r="E316" s="43" t="s">
        <v>2782</v>
      </c>
      <c r="F316" s="44" t="s">
        <v>2778</v>
      </c>
      <c r="G316" s="67" t="n">
        <v>58</v>
      </c>
      <c r="H316" s="44" t="s">
        <v>2791</v>
      </c>
      <c r="I316" s="67" t="n">
        <v>49</v>
      </c>
      <c r="J316" s="44" t="s">
        <v>2770</v>
      </c>
      <c r="K316" s="67" t="n">
        <v>22</v>
      </c>
      <c r="L316" s="67" t="n">
        <f aca="false">G316+I316+K316</f>
        <v>129</v>
      </c>
      <c r="M316" s="68" t="n">
        <f aca="false">L316/300*100</f>
        <v>43</v>
      </c>
      <c r="N316" s="43" t="str">
        <f aca="false">IF(M316&gt;=90,"A+",IF(M316&gt;=80,"A",IF(M316&gt;=70,"B+",IF(M316&gt;=60,"B",IF(M316&gt;=50,"C","F")))))</f>
        <v>F</v>
      </c>
      <c r="O316" s="69" t="n">
        <f aca="false">IF(M316&gt;=90,4,IF(M316&gt;=80,3.7,IF(M316&gt;=70,3.3,IF(M316&gt;=60,3,IF(M316&gt;=50,2,0)))))</f>
        <v>0</v>
      </c>
      <c r="P316" s="47" t="n">
        <v>0.969</v>
      </c>
      <c r="Q316" s="70" t="n">
        <v>41.6</v>
      </c>
      <c r="R316" s="70" t="n">
        <v>86.9</v>
      </c>
      <c r="S316" s="43" t="str">
        <f aca="false">IF(M316&gt;=40,"Pass","Fail")</f>
        <v>Pass</v>
      </c>
      <c r="T316" s="43" t="str">
        <f aca="false">IF(M316&gt;=80,"Yes","No")</f>
        <v>No</v>
      </c>
    </row>
    <row r="317" customFormat="false" ht="15" hidden="false" customHeight="false" outlineLevel="0" collapsed="false">
      <c r="A317" s="34" t="s">
        <v>3402</v>
      </c>
      <c r="B317" s="35" t="s">
        <v>3403</v>
      </c>
      <c r="C317" s="34" t="s">
        <v>2781</v>
      </c>
      <c r="D317" s="42" t="n">
        <v>7</v>
      </c>
      <c r="E317" s="34" t="s">
        <v>2782</v>
      </c>
      <c r="F317" s="35" t="s">
        <v>2775</v>
      </c>
      <c r="G317" s="63" t="n">
        <v>26</v>
      </c>
      <c r="H317" s="35" t="s">
        <v>2766</v>
      </c>
      <c r="I317" s="63" t="n">
        <v>69</v>
      </c>
      <c r="J317" s="35" t="s">
        <v>2770</v>
      </c>
      <c r="K317" s="63" t="n">
        <v>68</v>
      </c>
      <c r="L317" s="63" t="n">
        <f aca="false">G317+I317+K317</f>
        <v>163</v>
      </c>
      <c r="M317" s="64" t="n">
        <f aca="false">L317/300*100</f>
        <v>54.3333333333333</v>
      </c>
      <c r="N317" s="34" t="str">
        <f aca="false">IF(M317&gt;=90,"A+",IF(M317&gt;=80,"A",IF(M317&gt;=70,"B+",IF(M317&gt;=60,"B",IF(M317&gt;=50,"C","F")))))</f>
        <v>C</v>
      </c>
      <c r="O317" s="65" t="n">
        <f aca="false">IF(M317&gt;=90,4,IF(M317&gt;=80,3.7,IF(M317&gt;=70,3.3,IF(M317&gt;=60,3,IF(M317&gt;=50,2,0)))))</f>
        <v>2</v>
      </c>
      <c r="P317" s="38" t="n">
        <v>0.863</v>
      </c>
      <c r="Q317" s="66" t="n">
        <v>65.8</v>
      </c>
      <c r="R317" s="66" t="n">
        <v>65.6</v>
      </c>
      <c r="S317" s="34" t="str">
        <f aca="false">IF(M317&gt;=40,"Pass","Fail")</f>
        <v>Pass</v>
      </c>
      <c r="T317" s="34" t="str">
        <f aca="false">IF(M317&gt;=80,"Yes","No")</f>
        <v>No</v>
      </c>
    </row>
    <row r="318" customFormat="false" ht="15" hidden="false" customHeight="false" outlineLevel="0" collapsed="false">
      <c r="A318" s="43" t="s">
        <v>3404</v>
      </c>
      <c r="B318" s="44" t="s">
        <v>3405</v>
      </c>
      <c r="C318" s="43" t="s">
        <v>2781</v>
      </c>
      <c r="D318" s="51" t="n">
        <v>2</v>
      </c>
      <c r="E318" s="43" t="s">
        <v>2763</v>
      </c>
      <c r="F318" s="44" t="s">
        <v>2792</v>
      </c>
      <c r="G318" s="67" t="n">
        <v>44</v>
      </c>
      <c r="H318" s="44" t="s">
        <v>2778</v>
      </c>
      <c r="I318" s="67" t="n">
        <v>63</v>
      </c>
      <c r="J318" s="44" t="s">
        <v>2766</v>
      </c>
      <c r="K318" s="67" t="n">
        <v>75</v>
      </c>
      <c r="L318" s="67" t="n">
        <f aca="false">G318+I318+K318</f>
        <v>182</v>
      </c>
      <c r="M318" s="68" t="n">
        <f aca="false">L318/300*100</f>
        <v>60.6666666666667</v>
      </c>
      <c r="N318" s="43" t="str">
        <f aca="false">IF(M318&gt;=90,"A+",IF(M318&gt;=80,"A",IF(M318&gt;=70,"B+",IF(M318&gt;=60,"B",IF(M318&gt;=50,"C","F")))))</f>
        <v>B</v>
      </c>
      <c r="O318" s="69" t="n">
        <f aca="false">IF(M318&gt;=90,4,IF(M318&gt;=80,3.7,IF(M318&gt;=70,3.3,IF(M318&gt;=60,3,IF(M318&gt;=50,2,0)))))</f>
        <v>3</v>
      </c>
      <c r="P318" s="47" t="n">
        <v>0.963</v>
      </c>
      <c r="Q318" s="70" t="n">
        <v>54.3</v>
      </c>
      <c r="R318" s="70" t="n">
        <v>45.5</v>
      </c>
      <c r="S318" s="43" t="str">
        <f aca="false">IF(M318&gt;=40,"Pass","Fail")</f>
        <v>Pass</v>
      </c>
      <c r="T318" s="43" t="str">
        <f aca="false">IF(M318&gt;=80,"Yes","No")</f>
        <v>No</v>
      </c>
    </row>
    <row r="319" customFormat="false" ht="15" hidden="false" customHeight="false" outlineLevel="0" collapsed="false">
      <c r="A319" s="34" t="s">
        <v>3406</v>
      </c>
      <c r="B319" s="35" t="s">
        <v>3407</v>
      </c>
      <c r="C319" s="34" t="s">
        <v>2851</v>
      </c>
      <c r="D319" s="42" t="n">
        <v>4</v>
      </c>
      <c r="E319" s="34" t="s">
        <v>2763</v>
      </c>
      <c r="F319" s="35" t="s">
        <v>2766</v>
      </c>
      <c r="G319" s="63" t="n">
        <v>51</v>
      </c>
      <c r="H319" s="35" t="s">
        <v>2775</v>
      </c>
      <c r="I319" s="63" t="n">
        <v>27</v>
      </c>
      <c r="J319" s="35" t="s">
        <v>2764</v>
      </c>
      <c r="K319" s="63" t="n">
        <v>29</v>
      </c>
      <c r="L319" s="63" t="n">
        <f aca="false">G319+I319+K319</f>
        <v>107</v>
      </c>
      <c r="M319" s="64" t="n">
        <f aca="false">L319/300*100</f>
        <v>35.6666666666667</v>
      </c>
      <c r="N319" s="34" t="str">
        <f aca="false">IF(M319&gt;=90,"A+",IF(M319&gt;=80,"A",IF(M319&gt;=70,"B+",IF(M319&gt;=60,"B",IF(M319&gt;=50,"C","F")))))</f>
        <v>F</v>
      </c>
      <c r="O319" s="65" t="n">
        <f aca="false">IF(M319&gt;=90,4,IF(M319&gt;=80,3.7,IF(M319&gt;=70,3.3,IF(M319&gt;=60,3,IF(M319&gt;=50,2,0)))))</f>
        <v>0</v>
      </c>
      <c r="P319" s="38" t="n">
        <v>0.575</v>
      </c>
      <c r="Q319" s="66" t="n">
        <v>66.3</v>
      </c>
      <c r="R319" s="66" t="n">
        <v>57</v>
      </c>
      <c r="S319" s="34" t="str">
        <f aca="false">IF(M319&gt;=40,"Pass","Fail")</f>
        <v>Fail</v>
      </c>
      <c r="T319" s="34" t="str">
        <f aca="false">IF(M319&gt;=80,"Yes","No")</f>
        <v>No</v>
      </c>
    </row>
    <row r="320" customFormat="false" ht="15" hidden="false" customHeight="false" outlineLevel="0" collapsed="false">
      <c r="A320" s="43" t="s">
        <v>3408</v>
      </c>
      <c r="B320" s="44" t="s">
        <v>3409</v>
      </c>
      <c r="C320" s="43" t="s">
        <v>2803</v>
      </c>
      <c r="D320" s="51" t="n">
        <v>6</v>
      </c>
      <c r="E320" s="43" t="s">
        <v>2782</v>
      </c>
      <c r="F320" s="44" t="s">
        <v>2765</v>
      </c>
      <c r="G320" s="67" t="n">
        <v>97</v>
      </c>
      <c r="H320" s="44" t="s">
        <v>2771</v>
      </c>
      <c r="I320" s="67" t="n">
        <v>70</v>
      </c>
      <c r="J320" s="44" t="s">
        <v>2783</v>
      </c>
      <c r="K320" s="67" t="n">
        <v>81</v>
      </c>
      <c r="L320" s="67" t="n">
        <f aca="false">G320+I320+K320</f>
        <v>248</v>
      </c>
      <c r="M320" s="68" t="n">
        <f aca="false">L320/300*100</f>
        <v>82.6666666666667</v>
      </c>
      <c r="N320" s="43" t="str">
        <f aca="false">IF(M320&gt;=90,"A+",IF(M320&gt;=80,"A",IF(M320&gt;=70,"B+",IF(M320&gt;=60,"B",IF(M320&gt;=50,"C","F")))))</f>
        <v>A</v>
      </c>
      <c r="O320" s="69" t="n">
        <f aca="false">IF(M320&gt;=90,4,IF(M320&gt;=80,3.7,IF(M320&gt;=70,3.3,IF(M320&gt;=60,3,IF(M320&gt;=50,2,0)))))</f>
        <v>3.7</v>
      </c>
      <c r="P320" s="47" t="n">
        <v>0.846</v>
      </c>
      <c r="Q320" s="70" t="n">
        <v>79.4</v>
      </c>
      <c r="R320" s="70" t="n">
        <v>44.6</v>
      </c>
      <c r="S320" s="43" t="str">
        <f aca="false">IF(M320&gt;=40,"Pass","Fail")</f>
        <v>Pass</v>
      </c>
      <c r="T320" s="43" t="str">
        <f aca="false">IF(M320&gt;=80,"Yes","No")</f>
        <v>Yes</v>
      </c>
    </row>
    <row r="321" customFormat="false" ht="15" hidden="false" customHeight="false" outlineLevel="0" collapsed="false">
      <c r="A321" s="34" t="s">
        <v>3410</v>
      </c>
      <c r="B321" s="35" t="s">
        <v>3411</v>
      </c>
      <c r="C321" s="34" t="s">
        <v>2806</v>
      </c>
      <c r="D321" s="42" t="n">
        <v>4</v>
      </c>
      <c r="E321" s="34" t="s">
        <v>2763</v>
      </c>
      <c r="F321" s="35" t="s">
        <v>2778</v>
      </c>
      <c r="G321" s="63" t="n">
        <v>58</v>
      </c>
      <c r="H321" s="35" t="s">
        <v>2765</v>
      </c>
      <c r="I321" s="63" t="n">
        <v>66</v>
      </c>
      <c r="J321" s="35" t="s">
        <v>2770</v>
      </c>
      <c r="K321" s="63" t="n">
        <v>90</v>
      </c>
      <c r="L321" s="63" t="n">
        <f aca="false">G321+I321+K321</f>
        <v>214</v>
      </c>
      <c r="M321" s="64" t="n">
        <f aca="false">L321/300*100</f>
        <v>71.3333333333333</v>
      </c>
      <c r="N321" s="34" t="str">
        <f aca="false">IF(M321&gt;=90,"A+",IF(M321&gt;=80,"A",IF(M321&gt;=70,"B+",IF(M321&gt;=60,"B",IF(M321&gt;=50,"C","F")))))</f>
        <v>B+</v>
      </c>
      <c r="O321" s="65" t="n">
        <f aca="false">IF(M321&gt;=90,4,IF(M321&gt;=80,3.7,IF(M321&gt;=70,3.3,IF(M321&gt;=60,3,IF(M321&gt;=50,2,0)))))</f>
        <v>3.3</v>
      </c>
      <c r="P321" s="38" t="n">
        <v>0.682</v>
      </c>
      <c r="Q321" s="66" t="n">
        <v>79.2</v>
      </c>
      <c r="R321" s="66" t="n">
        <v>71.6</v>
      </c>
      <c r="S321" s="34" t="str">
        <f aca="false">IF(M321&gt;=40,"Pass","Fail")</f>
        <v>Pass</v>
      </c>
      <c r="T321" s="34" t="str">
        <f aca="false">IF(M321&gt;=80,"Yes","No")</f>
        <v>No</v>
      </c>
    </row>
    <row r="322" customFormat="false" ht="15" hidden="false" customHeight="false" outlineLevel="0" collapsed="false">
      <c r="A322" s="43" t="s">
        <v>3412</v>
      </c>
      <c r="B322" s="44" t="s">
        <v>3413</v>
      </c>
      <c r="C322" s="43" t="s">
        <v>2803</v>
      </c>
      <c r="D322" s="51" t="n">
        <v>6</v>
      </c>
      <c r="E322" s="43" t="s">
        <v>2782</v>
      </c>
      <c r="F322" s="44" t="s">
        <v>2766</v>
      </c>
      <c r="G322" s="67" t="n">
        <v>26</v>
      </c>
      <c r="H322" s="44" t="s">
        <v>2764</v>
      </c>
      <c r="I322" s="67" t="n">
        <v>64</v>
      </c>
      <c r="J322" s="44" t="s">
        <v>2792</v>
      </c>
      <c r="K322" s="67" t="n">
        <v>72</v>
      </c>
      <c r="L322" s="67" t="n">
        <f aca="false">G322+I322+K322</f>
        <v>162</v>
      </c>
      <c r="M322" s="68" t="n">
        <f aca="false">L322/300*100</f>
        <v>54</v>
      </c>
      <c r="N322" s="43" t="str">
        <f aca="false">IF(M322&gt;=90,"A+",IF(M322&gt;=80,"A",IF(M322&gt;=70,"B+",IF(M322&gt;=60,"B",IF(M322&gt;=50,"C","F")))))</f>
        <v>C</v>
      </c>
      <c r="O322" s="69" t="n">
        <f aca="false">IF(M322&gt;=90,4,IF(M322&gt;=80,3.7,IF(M322&gt;=70,3.3,IF(M322&gt;=60,3,IF(M322&gt;=50,2,0)))))</f>
        <v>2</v>
      </c>
      <c r="P322" s="47" t="n">
        <v>0.867</v>
      </c>
      <c r="Q322" s="70" t="n">
        <v>77.3</v>
      </c>
      <c r="R322" s="70" t="n">
        <v>56.8</v>
      </c>
      <c r="S322" s="43" t="str">
        <f aca="false">IF(M322&gt;=40,"Pass","Fail")</f>
        <v>Pass</v>
      </c>
      <c r="T322" s="43" t="str">
        <f aca="false">IF(M322&gt;=80,"Yes","No")</f>
        <v>No</v>
      </c>
    </row>
    <row r="323" customFormat="false" ht="15" hidden="false" customHeight="false" outlineLevel="0" collapsed="false">
      <c r="A323" s="34" t="s">
        <v>3414</v>
      </c>
      <c r="B323" s="35" t="s">
        <v>3415</v>
      </c>
      <c r="C323" s="34" t="s">
        <v>2781</v>
      </c>
      <c r="D323" s="42" t="n">
        <v>3</v>
      </c>
      <c r="E323" s="34" t="s">
        <v>2782</v>
      </c>
      <c r="F323" s="35" t="s">
        <v>2765</v>
      </c>
      <c r="G323" s="63" t="n">
        <v>35</v>
      </c>
      <c r="H323" s="35" t="s">
        <v>2771</v>
      </c>
      <c r="I323" s="63" t="n">
        <v>67</v>
      </c>
      <c r="J323" s="35" t="s">
        <v>2764</v>
      </c>
      <c r="K323" s="63" t="n">
        <v>38</v>
      </c>
      <c r="L323" s="63" t="n">
        <f aca="false">G323+I323+K323</f>
        <v>140</v>
      </c>
      <c r="M323" s="64" t="n">
        <f aca="false">L323/300*100</f>
        <v>46.6666666666667</v>
      </c>
      <c r="N323" s="34" t="str">
        <f aca="false">IF(M323&gt;=90,"A+",IF(M323&gt;=80,"A",IF(M323&gt;=70,"B+",IF(M323&gt;=60,"B",IF(M323&gt;=50,"C","F")))))</f>
        <v>F</v>
      </c>
      <c r="O323" s="65" t="n">
        <f aca="false">IF(M323&gt;=90,4,IF(M323&gt;=80,3.7,IF(M323&gt;=70,3.3,IF(M323&gt;=60,3,IF(M323&gt;=50,2,0)))))</f>
        <v>0</v>
      </c>
      <c r="P323" s="38" t="n">
        <v>0.566</v>
      </c>
      <c r="Q323" s="66" t="n">
        <v>54.1</v>
      </c>
      <c r="R323" s="66" t="n">
        <v>66.4</v>
      </c>
      <c r="S323" s="34" t="str">
        <f aca="false">IF(M323&gt;=40,"Pass","Fail")</f>
        <v>Pass</v>
      </c>
      <c r="T323" s="34" t="str">
        <f aca="false">IF(M323&gt;=80,"Yes","No")</f>
        <v>No</v>
      </c>
    </row>
    <row r="324" customFormat="false" ht="15" hidden="false" customHeight="false" outlineLevel="0" collapsed="false">
      <c r="A324" s="43" t="s">
        <v>3416</v>
      </c>
      <c r="B324" s="44" t="s">
        <v>3417</v>
      </c>
      <c r="C324" s="43" t="s">
        <v>2786</v>
      </c>
      <c r="D324" s="51" t="n">
        <v>8</v>
      </c>
      <c r="E324" s="43" t="s">
        <v>2774</v>
      </c>
      <c r="F324" s="44" t="s">
        <v>2775</v>
      </c>
      <c r="G324" s="67" t="n">
        <v>54</v>
      </c>
      <c r="H324" s="44" t="s">
        <v>2770</v>
      </c>
      <c r="I324" s="67" t="n">
        <v>55</v>
      </c>
      <c r="J324" s="44" t="s">
        <v>2764</v>
      </c>
      <c r="K324" s="67" t="n">
        <v>95</v>
      </c>
      <c r="L324" s="67" t="n">
        <f aca="false">G324+I324+K324</f>
        <v>204</v>
      </c>
      <c r="M324" s="68" t="n">
        <f aca="false">L324/300*100</f>
        <v>68</v>
      </c>
      <c r="N324" s="43" t="str">
        <f aca="false">IF(M324&gt;=90,"A+",IF(M324&gt;=80,"A",IF(M324&gt;=70,"B+",IF(M324&gt;=60,"B",IF(M324&gt;=50,"C","F")))))</f>
        <v>B</v>
      </c>
      <c r="O324" s="69" t="n">
        <f aca="false">IF(M324&gt;=90,4,IF(M324&gt;=80,3.7,IF(M324&gt;=70,3.3,IF(M324&gt;=60,3,IF(M324&gt;=50,2,0)))))</f>
        <v>3</v>
      </c>
      <c r="P324" s="47" t="n">
        <v>0.723</v>
      </c>
      <c r="Q324" s="70" t="n">
        <v>89.6</v>
      </c>
      <c r="R324" s="70" t="n">
        <v>45.1</v>
      </c>
      <c r="S324" s="43" t="str">
        <f aca="false">IF(M324&gt;=40,"Pass","Fail")</f>
        <v>Pass</v>
      </c>
      <c r="T324" s="43" t="str">
        <f aca="false">IF(M324&gt;=80,"Yes","No")</f>
        <v>No</v>
      </c>
    </row>
    <row r="325" customFormat="false" ht="15" hidden="false" customHeight="false" outlineLevel="0" collapsed="false">
      <c r="A325" s="34" t="s">
        <v>3418</v>
      </c>
      <c r="B325" s="35" t="s">
        <v>3419</v>
      </c>
      <c r="C325" s="34" t="s">
        <v>2803</v>
      </c>
      <c r="D325" s="42" t="n">
        <v>7</v>
      </c>
      <c r="E325" s="34" t="s">
        <v>2763</v>
      </c>
      <c r="F325" s="35" t="s">
        <v>2775</v>
      </c>
      <c r="G325" s="63" t="n">
        <v>76</v>
      </c>
      <c r="H325" s="35" t="s">
        <v>2791</v>
      </c>
      <c r="I325" s="63" t="n">
        <v>25</v>
      </c>
      <c r="J325" s="35" t="s">
        <v>2766</v>
      </c>
      <c r="K325" s="63" t="n">
        <v>48</v>
      </c>
      <c r="L325" s="63" t="n">
        <f aca="false">G325+I325+K325</f>
        <v>149</v>
      </c>
      <c r="M325" s="64" t="n">
        <f aca="false">L325/300*100</f>
        <v>49.6666666666667</v>
      </c>
      <c r="N325" s="34" t="str">
        <f aca="false">IF(M325&gt;=90,"A+",IF(M325&gt;=80,"A",IF(M325&gt;=70,"B+",IF(M325&gt;=60,"B",IF(M325&gt;=50,"C","F")))))</f>
        <v>F</v>
      </c>
      <c r="O325" s="65" t="n">
        <f aca="false">IF(M325&gt;=90,4,IF(M325&gt;=80,3.7,IF(M325&gt;=70,3.3,IF(M325&gt;=60,3,IF(M325&gt;=50,2,0)))))</f>
        <v>0</v>
      </c>
      <c r="P325" s="38" t="n">
        <v>0.643</v>
      </c>
      <c r="Q325" s="66" t="n">
        <v>51.1</v>
      </c>
      <c r="R325" s="66" t="n">
        <v>65.9</v>
      </c>
      <c r="S325" s="34" t="str">
        <f aca="false">IF(M325&gt;=40,"Pass","Fail")</f>
        <v>Pass</v>
      </c>
      <c r="T325" s="34" t="str">
        <f aca="false">IF(M325&gt;=80,"Yes","No")</f>
        <v>No</v>
      </c>
    </row>
    <row r="326" customFormat="false" ht="15" hidden="false" customHeight="false" outlineLevel="0" collapsed="false">
      <c r="A326" s="43" t="s">
        <v>3420</v>
      </c>
      <c r="B326" s="44" t="s">
        <v>3421</v>
      </c>
      <c r="C326" s="43" t="s">
        <v>2851</v>
      </c>
      <c r="D326" s="51" t="n">
        <v>5</v>
      </c>
      <c r="E326" s="43" t="s">
        <v>2774</v>
      </c>
      <c r="F326" s="44" t="s">
        <v>2766</v>
      </c>
      <c r="G326" s="67" t="n">
        <v>97</v>
      </c>
      <c r="H326" s="44" t="s">
        <v>2778</v>
      </c>
      <c r="I326" s="67" t="n">
        <v>63</v>
      </c>
      <c r="J326" s="44" t="s">
        <v>2775</v>
      </c>
      <c r="K326" s="67" t="n">
        <v>53</v>
      </c>
      <c r="L326" s="67" t="n">
        <f aca="false">G326+I326+K326</f>
        <v>213</v>
      </c>
      <c r="M326" s="68" t="n">
        <f aca="false">L326/300*100</f>
        <v>71</v>
      </c>
      <c r="N326" s="43" t="str">
        <f aca="false">IF(M326&gt;=90,"A+",IF(M326&gt;=80,"A",IF(M326&gt;=70,"B+",IF(M326&gt;=60,"B",IF(M326&gt;=50,"C","F")))))</f>
        <v>B+</v>
      </c>
      <c r="O326" s="69" t="n">
        <f aca="false">IF(M326&gt;=90,4,IF(M326&gt;=80,3.7,IF(M326&gt;=70,3.3,IF(M326&gt;=60,3,IF(M326&gt;=50,2,0)))))</f>
        <v>3.3</v>
      </c>
      <c r="P326" s="47" t="n">
        <v>0.915</v>
      </c>
      <c r="Q326" s="70" t="n">
        <v>75.5</v>
      </c>
      <c r="R326" s="70" t="n">
        <v>85.4</v>
      </c>
      <c r="S326" s="43" t="str">
        <f aca="false">IF(M326&gt;=40,"Pass","Fail")</f>
        <v>Pass</v>
      </c>
      <c r="T326" s="43" t="str">
        <f aca="false">IF(M326&gt;=80,"Yes","No")</f>
        <v>No</v>
      </c>
    </row>
    <row r="327" customFormat="false" ht="15" hidden="false" customHeight="false" outlineLevel="0" collapsed="false">
      <c r="A327" s="34" t="s">
        <v>3422</v>
      </c>
      <c r="B327" s="35" t="s">
        <v>3423</v>
      </c>
      <c r="C327" s="34" t="s">
        <v>2803</v>
      </c>
      <c r="D327" s="42" t="n">
        <v>7</v>
      </c>
      <c r="E327" s="34" t="s">
        <v>2763</v>
      </c>
      <c r="F327" s="35" t="s">
        <v>2775</v>
      </c>
      <c r="G327" s="63" t="n">
        <v>56</v>
      </c>
      <c r="H327" s="35" t="s">
        <v>2792</v>
      </c>
      <c r="I327" s="63" t="n">
        <v>88</v>
      </c>
      <c r="J327" s="35" t="s">
        <v>2791</v>
      </c>
      <c r="K327" s="63" t="n">
        <v>79</v>
      </c>
      <c r="L327" s="63" t="n">
        <f aca="false">G327+I327+K327</f>
        <v>223</v>
      </c>
      <c r="M327" s="64" t="n">
        <f aca="false">L327/300*100</f>
        <v>74.3333333333333</v>
      </c>
      <c r="N327" s="34" t="str">
        <f aca="false">IF(M327&gt;=90,"A+",IF(M327&gt;=80,"A",IF(M327&gt;=70,"B+",IF(M327&gt;=60,"B",IF(M327&gt;=50,"C","F")))))</f>
        <v>B+</v>
      </c>
      <c r="O327" s="65" t="n">
        <f aca="false">IF(M327&gt;=90,4,IF(M327&gt;=80,3.7,IF(M327&gt;=70,3.3,IF(M327&gt;=60,3,IF(M327&gt;=50,2,0)))))</f>
        <v>3.3</v>
      </c>
      <c r="P327" s="38" t="n">
        <v>0.741</v>
      </c>
      <c r="Q327" s="66" t="n">
        <v>83.2</v>
      </c>
      <c r="R327" s="66" t="n">
        <v>86.1</v>
      </c>
      <c r="S327" s="34" t="str">
        <f aca="false">IF(M327&gt;=40,"Pass","Fail")</f>
        <v>Pass</v>
      </c>
      <c r="T327" s="34" t="str">
        <f aca="false">IF(M327&gt;=80,"Yes","No")</f>
        <v>No</v>
      </c>
    </row>
    <row r="328" customFormat="false" ht="15" hidden="false" customHeight="false" outlineLevel="0" collapsed="false">
      <c r="A328" s="43" t="s">
        <v>3424</v>
      </c>
      <c r="B328" s="44" t="s">
        <v>3425</v>
      </c>
      <c r="C328" s="43" t="s">
        <v>2803</v>
      </c>
      <c r="D328" s="51" t="n">
        <v>3</v>
      </c>
      <c r="E328" s="43" t="s">
        <v>2763</v>
      </c>
      <c r="F328" s="44" t="s">
        <v>2770</v>
      </c>
      <c r="G328" s="67" t="n">
        <v>21</v>
      </c>
      <c r="H328" s="44" t="s">
        <v>2765</v>
      </c>
      <c r="I328" s="67" t="n">
        <v>55</v>
      </c>
      <c r="J328" s="44" t="s">
        <v>2783</v>
      </c>
      <c r="K328" s="67" t="n">
        <v>55</v>
      </c>
      <c r="L328" s="67" t="n">
        <f aca="false">G328+I328+K328</f>
        <v>131</v>
      </c>
      <c r="M328" s="68" t="n">
        <f aca="false">L328/300*100</f>
        <v>43.6666666666667</v>
      </c>
      <c r="N328" s="43" t="str">
        <f aca="false">IF(M328&gt;=90,"A+",IF(M328&gt;=80,"A",IF(M328&gt;=70,"B+",IF(M328&gt;=60,"B",IF(M328&gt;=50,"C","F")))))</f>
        <v>F</v>
      </c>
      <c r="O328" s="69" t="n">
        <f aca="false">IF(M328&gt;=90,4,IF(M328&gt;=80,3.7,IF(M328&gt;=70,3.3,IF(M328&gt;=60,3,IF(M328&gt;=50,2,0)))))</f>
        <v>0</v>
      </c>
      <c r="P328" s="47" t="n">
        <v>0.588</v>
      </c>
      <c r="Q328" s="70" t="n">
        <v>55</v>
      </c>
      <c r="R328" s="70" t="n">
        <v>72.6</v>
      </c>
      <c r="S328" s="43" t="str">
        <f aca="false">IF(M328&gt;=40,"Pass","Fail")</f>
        <v>Pass</v>
      </c>
      <c r="T328" s="43" t="str">
        <f aca="false">IF(M328&gt;=80,"Yes","No")</f>
        <v>No</v>
      </c>
    </row>
    <row r="329" customFormat="false" ht="15" hidden="false" customHeight="false" outlineLevel="0" collapsed="false">
      <c r="A329" s="34" t="s">
        <v>3426</v>
      </c>
      <c r="B329" s="35" t="s">
        <v>3427</v>
      </c>
      <c r="C329" s="34" t="s">
        <v>2803</v>
      </c>
      <c r="D329" s="42" t="n">
        <v>7</v>
      </c>
      <c r="E329" s="34" t="s">
        <v>2774</v>
      </c>
      <c r="F329" s="35" t="s">
        <v>2764</v>
      </c>
      <c r="G329" s="63" t="n">
        <v>54</v>
      </c>
      <c r="H329" s="35" t="s">
        <v>2771</v>
      </c>
      <c r="I329" s="63" t="n">
        <v>52</v>
      </c>
      <c r="J329" s="35" t="s">
        <v>2778</v>
      </c>
      <c r="K329" s="63" t="n">
        <v>97</v>
      </c>
      <c r="L329" s="63" t="n">
        <f aca="false">G329+I329+K329</f>
        <v>203</v>
      </c>
      <c r="M329" s="64" t="n">
        <f aca="false">L329/300*100</f>
        <v>67.6666666666667</v>
      </c>
      <c r="N329" s="34" t="str">
        <f aca="false">IF(M329&gt;=90,"A+",IF(M329&gt;=80,"A",IF(M329&gt;=70,"B+",IF(M329&gt;=60,"B",IF(M329&gt;=50,"C","F")))))</f>
        <v>B</v>
      </c>
      <c r="O329" s="65" t="n">
        <f aca="false">IF(M329&gt;=90,4,IF(M329&gt;=80,3.7,IF(M329&gt;=70,3.3,IF(M329&gt;=60,3,IF(M329&gt;=50,2,0)))))</f>
        <v>3</v>
      </c>
      <c r="P329" s="38" t="n">
        <v>0.556</v>
      </c>
      <c r="Q329" s="66" t="n">
        <v>58.4</v>
      </c>
      <c r="R329" s="66" t="n">
        <v>79.6</v>
      </c>
      <c r="S329" s="34" t="str">
        <f aca="false">IF(M329&gt;=40,"Pass","Fail")</f>
        <v>Pass</v>
      </c>
      <c r="T329" s="34" t="str">
        <f aca="false">IF(M329&gt;=80,"Yes","No")</f>
        <v>No</v>
      </c>
    </row>
    <row r="330" customFormat="false" ht="15" hidden="false" customHeight="false" outlineLevel="0" collapsed="false">
      <c r="A330" s="43" t="s">
        <v>3428</v>
      </c>
      <c r="B330" s="44" t="s">
        <v>3429</v>
      </c>
      <c r="C330" s="43" t="s">
        <v>2786</v>
      </c>
      <c r="D330" s="51" t="n">
        <v>5</v>
      </c>
      <c r="E330" s="43" t="s">
        <v>2774</v>
      </c>
      <c r="F330" s="44" t="s">
        <v>2770</v>
      </c>
      <c r="G330" s="67" t="n">
        <v>76</v>
      </c>
      <c r="H330" s="44" t="s">
        <v>2764</v>
      </c>
      <c r="I330" s="67" t="n">
        <v>21</v>
      </c>
      <c r="J330" s="44" t="s">
        <v>2775</v>
      </c>
      <c r="K330" s="67" t="n">
        <v>79</v>
      </c>
      <c r="L330" s="67" t="n">
        <f aca="false">G330+I330+K330</f>
        <v>176</v>
      </c>
      <c r="M330" s="68" t="n">
        <f aca="false">L330/300*100</f>
        <v>58.6666666666667</v>
      </c>
      <c r="N330" s="43" t="str">
        <f aca="false">IF(M330&gt;=90,"A+",IF(M330&gt;=80,"A",IF(M330&gt;=70,"B+",IF(M330&gt;=60,"B",IF(M330&gt;=50,"C","F")))))</f>
        <v>C</v>
      </c>
      <c r="O330" s="69" t="n">
        <f aca="false">IF(M330&gt;=90,4,IF(M330&gt;=80,3.7,IF(M330&gt;=70,3.3,IF(M330&gt;=60,3,IF(M330&gt;=50,2,0)))))</f>
        <v>2</v>
      </c>
      <c r="P330" s="47" t="n">
        <v>0.567</v>
      </c>
      <c r="Q330" s="70" t="n">
        <v>61.5</v>
      </c>
      <c r="R330" s="70" t="n">
        <v>78.3</v>
      </c>
      <c r="S330" s="43" t="str">
        <f aca="false">IF(M330&gt;=40,"Pass","Fail")</f>
        <v>Pass</v>
      </c>
      <c r="T330" s="43" t="str">
        <f aca="false">IF(M330&gt;=80,"Yes","No")</f>
        <v>No</v>
      </c>
    </row>
    <row r="331" customFormat="false" ht="15" hidden="false" customHeight="false" outlineLevel="0" collapsed="false">
      <c r="A331" s="34" t="s">
        <v>3430</v>
      </c>
      <c r="B331" s="35" t="s">
        <v>3431</v>
      </c>
      <c r="C331" s="34" t="s">
        <v>2806</v>
      </c>
      <c r="D331" s="42" t="n">
        <v>4</v>
      </c>
      <c r="E331" s="34" t="s">
        <v>2763</v>
      </c>
      <c r="F331" s="35" t="s">
        <v>2775</v>
      </c>
      <c r="G331" s="63" t="n">
        <v>98</v>
      </c>
      <c r="H331" s="35" t="s">
        <v>2792</v>
      </c>
      <c r="I331" s="63" t="n">
        <v>90</v>
      </c>
      <c r="J331" s="35" t="s">
        <v>2771</v>
      </c>
      <c r="K331" s="63" t="n">
        <v>60</v>
      </c>
      <c r="L331" s="63" t="n">
        <f aca="false">G331+I331+K331</f>
        <v>248</v>
      </c>
      <c r="M331" s="64" t="n">
        <f aca="false">L331/300*100</f>
        <v>82.6666666666667</v>
      </c>
      <c r="N331" s="34" t="str">
        <f aca="false">IF(M331&gt;=90,"A+",IF(M331&gt;=80,"A",IF(M331&gt;=70,"B+",IF(M331&gt;=60,"B",IF(M331&gt;=50,"C","F")))))</f>
        <v>A</v>
      </c>
      <c r="O331" s="65" t="n">
        <f aca="false">IF(M331&gt;=90,4,IF(M331&gt;=80,3.7,IF(M331&gt;=70,3.3,IF(M331&gt;=60,3,IF(M331&gt;=50,2,0)))))</f>
        <v>3.7</v>
      </c>
      <c r="P331" s="38" t="n">
        <v>0.979</v>
      </c>
      <c r="Q331" s="66" t="n">
        <v>66.4</v>
      </c>
      <c r="R331" s="66" t="n">
        <v>55.5</v>
      </c>
      <c r="S331" s="34" t="str">
        <f aca="false">IF(M331&gt;=40,"Pass","Fail")</f>
        <v>Pass</v>
      </c>
      <c r="T331" s="34" t="str">
        <f aca="false">IF(M331&gt;=80,"Yes","No")</f>
        <v>Yes</v>
      </c>
    </row>
    <row r="332" customFormat="false" ht="15" hidden="false" customHeight="false" outlineLevel="0" collapsed="false">
      <c r="A332" s="43" t="s">
        <v>3432</v>
      </c>
      <c r="B332" s="44" t="s">
        <v>3433</v>
      </c>
      <c r="C332" s="43" t="s">
        <v>2786</v>
      </c>
      <c r="D332" s="51" t="n">
        <v>5</v>
      </c>
      <c r="E332" s="43" t="s">
        <v>2763</v>
      </c>
      <c r="F332" s="44" t="s">
        <v>2770</v>
      </c>
      <c r="G332" s="67" t="n">
        <v>100</v>
      </c>
      <c r="H332" s="44" t="s">
        <v>2783</v>
      </c>
      <c r="I332" s="67" t="n">
        <v>42</v>
      </c>
      <c r="J332" s="44" t="s">
        <v>2765</v>
      </c>
      <c r="K332" s="67" t="n">
        <v>38</v>
      </c>
      <c r="L332" s="67" t="n">
        <f aca="false">G332+I332+K332</f>
        <v>180</v>
      </c>
      <c r="M332" s="68" t="n">
        <f aca="false">L332/300*100</f>
        <v>60</v>
      </c>
      <c r="N332" s="43" t="str">
        <f aca="false">IF(M332&gt;=90,"A+",IF(M332&gt;=80,"A",IF(M332&gt;=70,"B+",IF(M332&gt;=60,"B",IF(M332&gt;=50,"C","F")))))</f>
        <v>B</v>
      </c>
      <c r="O332" s="69" t="n">
        <f aca="false">IF(M332&gt;=90,4,IF(M332&gt;=80,3.7,IF(M332&gt;=70,3.3,IF(M332&gt;=60,3,IF(M332&gt;=50,2,0)))))</f>
        <v>3</v>
      </c>
      <c r="P332" s="47" t="n">
        <v>0.942</v>
      </c>
      <c r="Q332" s="70" t="n">
        <v>79.4</v>
      </c>
      <c r="R332" s="70" t="n">
        <v>54</v>
      </c>
      <c r="S332" s="43" t="str">
        <f aca="false">IF(M332&gt;=40,"Pass","Fail")</f>
        <v>Pass</v>
      </c>
      <c r="T332" s="43" t="str">
        <f aca="false">IF(M332&gt;=80,"Yes","No")</f>
        <v>No</v>
      </c>
    </row>
    <row r="333" customFormat="false" ht="15" hidden="false" customHeight="false" outlineLevel="0" collapsed="false">
      <c r="A333" s="34" t="s">
        <v>3434</v>
      </c>
      <c r="B333" s="35" t="s">
        <v>3435</v>
      </c>
      <c r="C333" s="34" t="s">
        <v>2769</v>
      </c>
      <c r="D333" s="42" t="n">
        <v>1</v>
      </c>
      <c r="E333" s="34" t="s">
        <v>2774</v>
      </c>
      <c r="F333" s="35" t="s">
        <v>2766</v>
      </c>
      <c r="G333" s="63" t="n">
        <v>25</v>
      </c>
      <c r="H333" s="35" t="s">
        <v>2770</v>
      </c>
      <c r="I333" s="63" t="n">
        <v>90</v>
      </c>
      <c r="J333" s="35" t="s">
        <v>2778</v>
      </c>
      <c r="K333" s="63" t="n">
        <v>49</v>
      </c>
      <c r="L333" s="63" t="n">
        <f aca="false">G333+I333+K333</f>
        <v>164</v>
      </c>
      <c r="M333" s="64" t="n">
        <f aca="false">L333/300*100</f>
        <v>54.6666666666667</v>
      </c>
      <c r="N333" s="34" t="str">
        <f aca="false">IF(M333&gt;=90,"A+",IF(M333&gt;=80,"A",IF(M333&gt;=70,"B+",IF(M333&gt;=60,"B",IF(M333&gt;=50,"C","F")))))</f>
        <v>C</v>
      </c>
      <c r="O333" s="65" t="n">
        <f aca="false">IF(M333&gt;=90,4,IF(M333&gt;=80,3.7,IF(M333&gt;=70,3.3,IF(M333&gt;=60,3,IF(M333&gt;=50,2,0)))))</f>
        <v>2</v>
      </c>
      <c r="P333" s="38" t="n">
        <v>0.577</v>
      </c>
      <c r="Q333" s="66" t="n">
        <v>82.9</v>
      </c>
      <c r="R333" s="66" t="n">
        <v>55.5</v>
      </c>
      <c r="S333" s="34" t="str">
        <f aca="false">IF(M333&gt;=40,"Pass","Fail")</f>
        <v>Pass</v>
      </c>
      <c r="T333" s="34" t="str">
        <f aca="false">IF(M333&gt;=80,"Yes","No")</f>
        <v>No</v>
      </c>
    </row>
    <row r="334" customFormat="false" ht="15" hidden="false" customHeight="false" outlineLevel="0" collapsed="false">
      <c r="A334" s="43" t="s">
        <v>3436</v>
      </c>
      <c r="B334" s="44" t="s">
        <v>3012</v>
      </c>
      <c r="C334" s="43" t="s">
        <v>2803</v>
      </c>
      <c r="D334" s="51" t="n">
        <v>1</v>
      </c>
      <c r="E334" s="43" t="s">
        <v>2782</v>
      </c>
      <c r="F334" s="44" t="s">
        <v>2778</v>
      </c>
      <c r="G334" s="67" t="n">
        <v>96</v>
      </c>
      <c r="H334" s="44" t="s">
        <v>2766</v>
      </c>
      <c r="I334" s="67" t="n">
        <v>50</v>
      </c>
      <c r="J334" s="44" t="s">
        <v>2775</v>
      </c>
      <c r="K334" s="67" t="n">
        <v>64</v>
      </c>
      <c r="L334" s="67" t="n">
        <f aca="false">G334+I334+K334</f>
        <v>210</v>
      </c>
      <c r="M334" s="68" t="n">
        <f aca="false">L334/300*100</f>
        <v>70</v>
      </c>
      <c r="N334" s="43" t="str">
        <f aca="false">IF(M334&gt;=90,"A+",IF(M334&gt;=80,"A",IF(M334&gt;=70,"B+",IF(M334&gt;=60,"B",IF(M334&gt;=50,"C","F")))))</f>
        <v>B+</v>
      </c>
      <c r="O334" s="69" t="n">
        <f aca="false">IF(M334&gt;=90,4,IF(M334&gt;=80,3.7,IF(M334&gt;=70,3.3,IF(M334&gt;=60,3,IF(M334&gt;=50,2,0)))))</f>
        <v>3.3</v>
      </c>
      <c r="P334" s="47" t="n">
        <v>0.599</v>
      </c>
      <c r="Q334" s="70" t="n">
        <v>70.4</v>
      </c>
      <c r="R334" s="70" t="n">
        <v>46.8</v>
      </c>
      <c r="S334" s="43" t="str">
        <f aca="false">IF(M334&gt;=40,"Pass","Fail")</f>
        <v>Pass</v>
      </c>
      <c r="T334" s="43" t="str">
        <f aca="false">IF(M334&gt;=80,"Yes","No")</f>
        <v>No</v>
      </c>
    </row>
    <row r="335" customFormat="false" ht="15" hidden="false" customHeight="false" outlineLevel="0" collapsed="false">
      <c r="A335" s="34" t="s">
        <v>3437</v>
      </c>
      <c r="B335" s="35" t="s">
        <v>3438</v>
      </c>
      <c r="C335" s="34" t="s">
        <v>2851</v>
      </c>
      <c r="D335" s="42" t="n">
        <v>4</v>
      </c>
      <c r="E335" s="34" t="s">
        <v>2774</v>
      </c>
      <c r="F335" s="35" t="s">
        <v>2778</v>
      </c>
      <c r="G335" s="63" t="n">
        <v>29</v>
      </c>
      <c r="H335" s="35" t="s">
        <v>2764</v>
      </c>
      <c r="I335" s="63" t="n">
        <v>74</v>
      </c>
      <c r="J335" s="35" t="s">
        <v>2791</v>
      </c>
      <c r="K335" s="63" t="n">
        <v>56</v>
      </c>
      <c r="L335" s="63" t="n">
        <f aca="false">G335+I335+K335</f>
        <v>159</v>
      </c>
      <c r="M335" s="64" t="n">
        <f aca="false">L335/300*100</f>
        <v>53</v>
      </c>
      <c r="N335" s="34" t="str">
        <f aca="false">IF(M335&gt;=90,"A+",IF(M335&gt;=80,"A",IF(M335&gt;=70,"B+",IF(M335&gt;=60,"B",IF(M335&gt;=50,"C","F")))))</f>
        <v>C</v>
      </c>
      <c r="O335" s="65" t="n">
        <f aca="false">IF(M335&gt;=90,4,IF(M335&gt;=80,3.7,IF(M335&gt;=70,3.3,IF(M335&gt;=60,3,IF(M335&gt;=50,2,0)))))</f>
        <v>2</v>
      </c>
      <c r="P335" s="38" t="n">
        <v>0.614</v>
      </c>
      <c r="Q335" s="66" t="n">
        <v>59.6</v>
      </c>
      <c r="R335" s="66" t="n">
        <v>87.3</v>
      </c>
      <c r="S335" s="34" t="str">
        <f aca="false">IF(M335&gt;=40,"Pass","Fail")</f>
        <v>Pass</v>
      </c>
      <c r="T335" s="34" t="str">
        <f aca="false">IF(M335&gt;=80,"Yes","No")</f>
        <v>No</v>
      </c>
    </row>
    <row r="336" customFormat="false" ht="15" hidden="false" customHeight="false" outlineLevel="0" collapsed="false">
      <c r="A336" s="43" t="s">
        <v>3439</v>
      </c>
      <c r="B336" s="44" t="s">
        <v>3440</v>
      </c>
      <c r="C336" s="43" t="s">
        <v>2803</v>
      </c>
      <c r="D336" s="51" t="n">
        <v>7</v>
      </c>
      <c r="E336" s="43" t="s">
        <v>2782</v>
      </c>
      <c r="F336" s="44" t="s">
        <v>2778</v>
      </c>
      <c r="G336" s="67" t="n">
        <v>99</v>
      </c>
      <c r="H336" s="44" t="s">
        <v>2770</v>
      </c>
      <c r="I336" s="67" t="n">
        <v>23</v>
      </c>
      <c r="J336" s="44" t="s">
        <v>2771</v>
      </c>
      <c r="K336" s="67" t="n">
        <v>40</v>
      </c>
      <c r="L336" s="67" t="n">
        <f aca="false">G336+I336+K336</f>
        <v>162</v>
      </c>
      <c r="M336" s="68" t="n">
        <f aca="false">L336/300*100</f>
        <v>54</v>
      </c>
      <c r="N336" s="43" t="str">
        <f aca="false">IF(M336&gt;=90,"A+",IF(M336&gt;=80,"A",IF(M336&gt;=70,"B+",IF(M336&gt;=60,"B",IF(M336&gt;=50,"C","F")))))</f>
        <v>C</v>
      </c>
      <c r="O336" s="69" t="n">
        <f aca="false">IF(M336&gt;=90,4,IF(M336&gt;=80,3.7,IF(M336&gt;=70,3.3,IF(M336&gt;=60,3,IF(M336&gt;=50,2,0)))))</f>
        <v>2</v>
      </c>
      <c r="P336" s="47" t="n">
        <v>0.716</v>
      </c>
      <c r="Q336" s="70" t="n">
        <v>57.5</v>
      </c>
      <c r="R336" s="70" t="n">
        <v>49</v>
      </c>
      <c r="S336" s="43" t="str">
        <f aca="false">IF(M336&gt;=40,"Pass","Fail")</f>
        <v>Pass</v>
      </c>
      <c r="T336" s="43" t="str">
        <f aca="false">IF(M336&gt;=80,"Yes","No")</f>
        <v>No</v>
      </c>
    </row>
    <row r="337" customFormat="false" ht="15" hidden="false" customHeight="false" outlineLevel="0" collapsed="false">
      <c r="A337" s="34" t="s">
        <v>3441</v>
      </c>
      <c r="B337" s="35" t="s">
        <v>3442</v>
      </c>
      <c r="C337" s="34" t="s">
        <v>2806</v>
      </c>
      <c r="D337" s="42" t="n">
        <v>1</v>
      </c>
      <c r="E337" s="34" t="s">
        <v>2774</v>
      </c>
      <c r="F337" s="35" t="s">
        <v>2764</v>
      </c>
      <c r="G337" s="63" t="n">
        <v>85</v>
      </c>
      <c r="H337" s="35" t="s">
        <v>2765</v>
      </c>
      <c r="I337" s="63" t="n">
        <v>85</v>
      </c>
      <c r="J337" s="35" t="s">
        <v>2778</v>
      </c>
      <c r="K337" s="63" t="n">
        <v>94</v>
      </c>
      <c r="L337" s="63" t="n">
        <f aca="false">G337+I337+K337</f>
        <v>264</v>
      </c>
      <c r="M337" s="64" t="n">
        <f aca="false">L337/300*100</f>
        <v>88</v>
      </c>
      <c r="N337" s="34" t="str">
        <f aca="false">IF(M337&gt;=90,"A+",IF(M337&gt;=80,"A",IF(M337&gt;=70,"B+",IF(M337&gt;=60,"B",IF(M337&gt;=50,"C","F")))))</f>
        <v>A</v>
      </c>
      <c r="O337" s="65" t="n">
        <f aca="false">IF(M337&gt;=90,4,IF(M337&gt;=80,3.7,IF(M337&gt;=70,3.3,IF(M337&gt;=60,3,IF(M337&gt;=50,2,0)))))</f>
        <v>3.7</v>
      </c>
      <c r="P337" s="38" t="n">
        <v>0.871</v>
      </c>
      <c r="Q337" s="66" t="n">
        <v>96.4</v>
      </c>
      <c r="R337" s="66" t="n">
        <v>62.7</v>
      </c>
      <c r="S337" s="34" t="str">
        <f aca="false">IF(M337&gt;=40,"Pass","Fail")</f>
        <v>Pass</v>
      </c>
      <c r="T337" s="34" t="str">
        <f aca="false">IF(M337&gt;=80,"Yes","No")</f>
        <v>Yes</v>
      </c>
    </row>
    <row r="338" customFormat="false" ht="15" hidden="false" customHeight="false" outlineLevel="0" collapsed="false">
      <c r="A338" s="43" t="s">
        <v>3443</v>
      </c>
      <c r="B338" s="44" t="s">
        <v>3444</v>
      </c>
      <c r="C338" s="43" t="s">
        <v>2806</v>
      </c>
      <c r="D338" s="51" t="n">
        <v>1</v>
      </c>
      <c r="E338" s="43" t="s">
        <v>2782</v>
      </c>
      <c r="F338" s="44" t="s">
        <v>2783</v>
      </c>
      <c r="G338" s="67" t="n">
        <v>29</v>
      </c>
      <c r="H338" s="44" t="s">
        <v>2791</v>
      </c>
      <c r="I338" s="67" t="n">
        <v>48</v>
      </c>
      <c r="J338" s="44" t="s">
        <v>2792</v>
      </c>
      <c r="K338" s="67" t="n">
        <v>92</v>
      </c>
      <c r="L338" s="67" t="n">
        <f aca="false">G338+I338+K338</f>
        <v>169</v>
      </c>
      <c r="M338" s="68" t="n">
        <f aca="false">L338/300*100</f>
        <v>56.3333333333333</v>
      </c>
      <c r="N338" s="43" t="str">
        <f aca="false">IF(M338&gt;=90,"A+",IF(M338&gt;=80,"A",IF(M338&gt;=70,"B+",IF(M338&gt;=60,"B",IF(M338&gt;=50,"C","F")))))</f>
        <v>C</v>
      </c>
      <c r="O338" s="69" t="n">
        <f aca="false">IF(M338&gt;=90,4,IF(M338&gt;=80,3.7,IF(M338&gt;=70,3.3,IF(M338&gt;=60,3,IF(M338&gt;=50,2,0)))))</f>
        <v>2</v>
      </c>
      <c r="P338" s="47" t="n">
        <v>0.777</v>
      </c>
      <c r="Q338" s="70" t="n">
        <v>74.5</v>
      </c>
      <c r="R338" s="70" t="n">
        <v>72.9</v>
      </c>
      <c r="S338" s="43" t="str">
        <f aca="false">IF(M338&gt;=40,"Pass","Fail")</f>
        <v>Pass</v>
      </c>
      <c r="T338" s="43" t="str">
        <f aca="false">IF(M338&gt;=80,"Yes","No")</f>
        <v>No</v>
      </c>
    </row>
    <row r="339" customFormat="false" ht="15" hidden="false" customHeight="false" outlineLevel="0" collapsed="false">
      <c r="A339" s="34" t="s">
        <v>3445</v>
      </c>
      <c r="B339" s="35" t="s">
        <v>3446</v>
      </c>
      <c r="C339" s="34" t="s">
        <v>2762</v>
      </c>
      <c r="D339" s="42" t="n">
        <v>2</v>
      </c>
      <c r="E339" s="34" t="s">
        <v>2782</v>
      </c>
      <c r="F339" s="35" t="s">
        <v>2775</v>
      </c>
      <c r="G339" s="63" t="n">
        <v>60</v>
      </c>
      <c r="H339" s="35" t="s">
        <v>2770</v>
      </c>
      <c r="I339" s="63" t="n">
        <v>54</v>
      </c>
      <c r="J339" s="35" t="s">
        <v>2766</v>
      </c>
      <c r="K339" s="63" t="n">
        <v>44</v>
      </c>
      <c r="L339" s="63" t="n">
        <f aca="false">G339+I339+K339</f>
        <v>158</v>
      </c>
      <c r="M339" s="64" t="n">
        <f aca="false">L339/300*100</f>
        <v>52.6666666666667</v>
      </c>
      <c r="N339" s="34" t="str">
        <f aca="false">IF(M339&gt;=90,"A+",IF(M339&gt;=80,"A",IF(M339&gt;=70,"B+",IF(M339&gt;=60,"B",IF(M339&gt;=50,"C","F")))))</f>
        <v>C</v>
      </c>
      <c r="O339" s="65" t="n">
        <f aca="false">IF(M339&gt;=90,4,IF(M339&gt;=80,3.7,IF(M339&gt;=70,3.3,IF(M339&gt;=60,3,IF(M339&gt;=50,2,0)))))</f>
        <v>2</v>
      </c>
      <c r="P339" s="38" t="n">
        <v>0.926</v>
      </c>
      <c r="Q339" s="66" t="n">
        <v>57.6</v>
      </c>
      <c r="R339" s="66" t="n">
        <v>54.6</v>
      </c>
      <c r="S339" s="34" t="str">
        <f aca="false">IF(M339&gt;=40,"Pass","Fail")</f>
        <v>Pass</v>
      </c>
      <c r="T339" s="34" t="str">
        <f aca="false">IF(M339&gt;=80,"Yes","No")</f>
        <v>No</v>
      </c>
    </row>
    <row r="340" customFormat="false" ht="15" hidden="false" customHeight="false" outlineLevel="0" collapsed="false">
      <c r="A340" s="43" t="s">
        <v>3447</v>
      </c>
      <c r="B340" s="44" t="s">
        <v>3448</v>
      </c>
      <c r="C340" s="43" t="s">
        <v>2781</v>
      </c>
      <c r="D340" s="51" t="n">
        <v>6</v>
      </c>
      <c r="E340" s="43" t="s">
        <v>2774</v>
      </c>
      <c r="F340" s="44" t="s">
        <v>2770</v>
      </c>
      <c r="G340" s="67" t="n">
        <v>50</v>
      </c>
      <c r="H340" s="44" t="s">
        <v>2778</v>
      </c>
      <c r="I340" s="67" t="n">
        <v>76</v>
      </c>
      <c r="J340" s="44" t="s">
        <v>2792</v>
      </c>
      <c r="K340" s="67" t="n">
        <v>72</v>
      </c>
      <c r="L340" s="67" t="n">
        <f aca="false">G340+I340+K340</f>
        <v>198</v>
      </c>
      <c r="M340" s="68" t="n">
        <f aca="false">L340/300*100</f>
        <v>66</v>
      </c>
      <c r="N340" s="43" t="str">
        <f aca="false">IF(M340&gt;=90,"A+",IF(M340&gt;=80,"A",IF(M340&gt;=70,"B+",IF(M340&gt;=60,"B",IF(M340&gt;=50,"C","F")))))</f>
        <v>B</v>
      </c>
      <c r="O340" s="69" t="n">
        <f aca="false">IF(M340&gt;=90,4,IF(M340&gt;=80,3.7,IF(M340&gt;=70,3.3,IF(M340&gt;=60,3,IF(M340&gt;=50,2,0)))))</f>
        <v>3</v>
      </c>
      <c r="P340" s="47" t="n">
        <v>0.713</v>
      </c>
      <c r="Q340" s="70" t="n">
        <v>61.1</v>
      </c>
      <c r="R340" s="70" t="n">
        <v>70.3</v>
      </c>
      <c r="S340" s="43" t="str">
        <f aca="false">IF(M340&gt;=40,"Pass","Fail")</f>
        <v>Pass</v>
      </c>
      <c r="T340" s="43" t="str">
        <f aca="false">IF(M340&gt;=80,"Yes","No")</f>
        <v>No</v>
      </c>
    </row>
    <row r="341" customFormat="false" ht="15" hidden="false" customHeight="false" outlineLevel="0" collapsed="false">
      <c r="A341" s="34" t="s">
        <v>3449</v>
      </c>
      <c r="B341" s="35" t="s">
        <v>3450</v>
      </c>
      <c r="C341" s="34" t="s">
        <v>2803</v>
      </c>
      <c r="D341" s="42" t="n">
        <v>8</v>
      </c>
      <c r="E341" s="34" t="s">
        <v>2782</v>
      </c>
      <c r="F341" s="35" t="s">
        <v>2765</v>
      </c>
      <c r="G341" s="63" t="n">
        <v>49</v>
      </c>
      <c r="H341" s="35" t="s">
        <v>2770</v>
      </c>
      <c r="I341" s="63" t="n">
        <v>92</v>
      </c>
      <c r="J341" s="35" t="s">
        <v>2791</v>
      </c>
      <c r="K341" s="63" t="n">
        <v>36</v>
      </c>
      <c r="L341" s="63" t="n">
        <f aca="false">G341+I341+K341</f>
        <v>177</v>
      </c>
      <c r="M341" s="64" t="n">
        <f aca="false">L341/300*100</f>
        <v>59</v>
      </c>
      <c r="N341" s="34" t="str">
        <f aca="false">IF(M341&gt;=90,"A+",IF(M341&gt;=80,"A",IF(M341&gt;=70,"B+",IF(M341&gt;=60,"B",IF(M341&gt;=50,"C","F")))))</f>
        <v>C</v>
      </c>
      <c r="O341" s="65" t="n">
        <f aca="false">IF(M341&gt;=90,4,IF(M341&gt;=80,3.7,IF(M341&gt;=70,3.3,IF(M341&gt;=60,3,IF(M341&gt;=50,2,0)))))</f>
        <v>2</v>
      </c>
      <c r="P341" s="38" t="n">
        <v>0.967</v>
      </c>
      <c r="Q341" s="66" t="n">
        <v>54.7</v>
      </c>
      <c r="R341" s="66" t="n">
        <v>94.6</v>
      </c>
      <c r="S341" s="34" t="str">
        <f aca="false">IF(M341&gt;=40,"Pass","Fail")</f>
        <v>Pass</v>
      </c>
      <c r="T341" s="34" t="str">
        <f aca="false">IF(M341&gt;=80,"Yes","No")</f>
        <v>No</v>
      </c>
    </row>
    <row r="342" customFormat="false" ht="15" hidden="false" customHeight="false" outlineLevel="0" collapsed="false">
      <c r="A342" s="43" t="s">
        <v>3451</v>
      </c>
      <c r="B342" s="44" t="s">
        <v>3452</v>
      </c>
      <c r="C342" s="43" t="s">
        <v>2769</v>
      </c>
      <c r="D342" s="51" t="n">
        <v>3</v>
      </c>
      <c r="E342" s="43" t="s">
        <v>2782</v>
      </c>
      <c r="F342" s="44" t="s">
        <v>2771</v>
      </c>
      <c r="G342" s="67" t="n">
        <v>60</v>
      </c>
      <c r="H342" s="44" t="s">
        <v>2764</v>
      </c>
      <c r="I342" s="67" t="n">
        <v>35</v>
      </c>
      <c r="J342" s="44" t="s">
        <v>2778</v>
      </c>
      <c r="K342" s="67" t="n">
        <v>30</v>
      </c>
      <c r="L342" s="67" t="n">
        <f aca="false">G342+I342+K342</f>
        <v>125</v>
      </c>
      <c r="M342" s="68" t="n">
        <f aca="false">L342/300*100</f>
        <v>41.6666666666667</v>
      </c>
      <c r="N342" s="43" t="str">
        <f aca="false">IF(M342&gt;=90,"A+",IF(M342&gt;=80,"A",IF(M342&gt;=70,"B+",IF(M342&gt;=60,"B",IF(M342&gt;=50,"C","F")))))</f>
        <v>F</v>
      </c>
      <c r="O342" s="69" t="n">
        <f aca="false">IF(M342&gt;=90,4,IF(M342&gt;=80,3.7,IF(M342&gt;=70,3.3,IF(M342&gt;=60,3,IF(M342&gt;=50,2,0)))))</f>
        <v>0</v>
      </c>
      <c r="P342" s="47" t="n">
        <v>0.734</v>
      </c>
      <c r="Q342" s="70" t="n">
        <v>70.3</v>
      </c>
      <c r="R342" s="70" t="n">
        <v>48.9</v>
      </c>
      <c r="S342" s="43" t="str">
        <f aca="false">IF(M342&gt;=40,"Pass","Fail")</f>
        <v>Pass</v>
      </c>
      <c r="T342" s="43" t="str">
        <f aca="false">IF(M342&gt;=80,"Yes","No")</f>
        <v>No</v>
      </c>
    </row>
    <row r="343" customFormat="false" ht="15" hidden="false" customHeight="false" outlineLevel="0" collapsed="false">
      <c r="A343" s="34" t="s">
        <v>3453</v>
      </c>
      <c r="B343" s="35" t="s">
        <v>3454</v>
      </c>
      <c r="C343" s="34" t="s">
        <v>2762</v>
      </c>
      <c r="D343" s="42" t="n">
        <v>4</v>
      </c>
      <c r="E343" s="34" t="s">
        <v>2774</v>
      </c>
      <c r="F343" s="35" t="s">
        <v>2770</v>
      </c>
      <c r="G343" s="63" t="n">
        <v>35</v>
      </c>
      <c r="H343" s="35" t="s">
        <v>2775</v>
      </c>
      <c r="I343" s="63" t="n">
        <v>73</v>
      </c>
      <c r="J343" s="35" t="s">
        <v>2783</v>
      </c>
      <c r="K343" s="63" t="n">
        <v>53</v>
      </c>
      <c r="L343" s="63" t="n">
        <f aca="false">G343+I343+K343</f>
        <v>161</v>
      </c>
      <c r="M343" s="64" t="n">
        <f aca="false">L343/300*100</f>
        <v>53.6666666666667</v>
      </c>
      <c r="N343" s="34" t="str">
        <f aca="false">IF(M343&gt;=90,"A+",IF(M343&gt;=80,"A",IF(M343&gt;=70,"B+",IF(M343&gt;=60,"B",IF(M343&gt;=50,"C","F")))))</f>
        <v>C</v>
      </c>
      <c r="O343" s="65" t="n">
        <f aca="false">IF(M343&gt;=90,4,IF(M343&gt;=80,3.7,IF(M343&gt;=70,3.3,IF(M343&gt;=60,3,IF(M343&gt;=50,2,0)))))</f>
        <v>2</v>
      </c>
      <c r="P343" s="38" t="n">
        <v>0.894</v>
      </c>
      <c r="Q343" s="66" t="n">
        <v>82.7</v>
      </c>
      <c r="R343" s="66" t="n">
        <v>68.2</v>
      </c>
      <c r="S343" s="34" t="str">
        <f aca="false">IF(M343&gt;=40,"Pass","Fail")</f>
        <v>Pass</v>
      </c>
      <c r="T343" s="34" t="str">
        <f aca="false">IF(M343&gt;=80,"Yes","No")</f>
        <v>No</v>
      </c>
    </row>
    <row r="344" customFormat="false" ht="15" hidden="false" customHeight="false" outlineLevel="0" collapsed="false">
      <c r="A344" s="43" t="s">
        <v>3455</v>
      </c>
      <c r="B344" s="44" t="s">
        <v>3456</v>
      </c>
      <c r="C344" s="43" t="s">
        <v>2851</v>
      </c>
      <c r="D344" s="51" t="n">
        <v>3</v>
      </c>
      <c r="E344" s="43" t="s">
        <v>2774</v>
      </c>
      <c r="F344" s="44" t="s">
        <v>2791</v>
      </c>
      <c r="G344" s="67" t="n">
        <v>29</v>
      </c>
      <c r="H344" s="44" t="s">
        <v>2775</v>
      </c>
      <c r="I344" s="67" t="n">
        <v>36</v>
      </c>
      <c r="J344" s="44" t="s">
        <v>2783</v>
      </c>
      <c r="K344" s="67" t="n">
        <v>85</v>
      </c>
      <c r="L344" s="67" t="n">
        <f aca="false">G344+I344+K344</f>
        <v>150</v>
      </c>
      <c r="M344" s="68" t="n">
        <f aca="false">L344/300*100</f>
        <v>50</v>
      </c>
      <c r="N344" s="43" t="str">
        <f aca="false">IF(M344&gt;=90,"A+",IF(M344&gt;=80,"A",IF(M344&gt;=70,"B+",IF(M344&gt;=60,"B",IF(M344&gt;=50,"C","F")))))</f>
        <v>C</v>
      </c>
      <c r="O344" s="69" t="n">
        <f aca="false">IF(M344&gt;=90,4,IF(M344&gt;=80,3.7,IF(M344&gt;=70,3.3,IF(M344&gt;=60,3,IF(M344&gt;=50,2,0)))))</f>
        <v>2</v>
      </c>
      <c r="P344" s="47" t="n">
        <v>0.94</v>
      </c>
      <c r="Q344" s="70" t="n">
        <v>95.1</v>
      </c>
      <c r="R344" s="70" t="n">
        <v>94.3</v>
      </c>
      <c r="S344" s="43" t="str">
        <f aca="false">IF(M344&gt;=40,"Pass","Fail")</f>
        <v>Pass</v>
      </c>
      <c r="T344" s="43" t="str">
        <f aca="false">IF(M344&gt;=80,"Yes","No")</f>
        <v>No</v>
      </c>
    </row>
    <row r="345" customFormat="false" ht="15" hidden="false" customHeight="false" outlineLevel="0" collapsed="false">
      <c r="A345" s="34" t="s">
        <v>3457</v>
      </c>
      <c r="B345" s="35" t="s">
        <v>3458</v>
      </c>
      <c r="C345" s="34" t="s">
        <v>2803</v>
      </c>
      <c r="D345" s="42" t="n">
        <v>3</v>
      </c>
      <c r="E345" s="34" t="s">
        <v>2763</v>
      </c>
      <c r="F345" s="35" t="s">
        <v>2766</v>
      </c>
      <c r="G345" s="63" t="n">
        <v>35</v>
      </c>
      <c r="H345" s="35" t="s">
        <v>2765</v>
      </c>
      <c r="I345" s="63" t="n">
        <v>63</v>
      </c>
      <c r="J345" s="35" t="s">
        <v>2771</v>
      </c>
      <c r="K345" s="63" t="n">
        <v>63</v>
      </c>
      <c r="L345" s="63" t="n">
        <f aca="false">G345+I345+K345</f>
        <v>161</v>
      </c>
      <c r="M345" s="64" t="n">
        <f aca="false">L345/300*100</f>
        <v>53.6666666666667</v>
      </c>
      <c r="N345" s="34" t="str">
        <f aca="false">IF(M345&gt;=90,"A+",IF(M345&gt;=80,"A",IF(M345&gt;=70,"B+",IF(M345&gt;=60,"B",IF(M345&gt;=50,"C","F")))))</f>
        <v>C</v>
      </c>
      <c r="O345" s="65" t="n">
        <f aca="false">IF(M345&gt;=90,4,IF(M345&gt;=80,3.7,IF(M345&gt;=70,3.3,IF(M345&gt;=60,3,IF(M345&gt;=50,2,0)))))</f>
        <v>2</v>
      </c>
      <c r="P345" s="38" t="n">
        <v>0.816</v>
      </c>
      <c r="Q345" s="66" t="n">
        <v>77</v>
      </c>
      <c r="R345" s="66" t="n">
        <v>99.6</v>
      </c>
      <c r="S345" s="34" t="str">
        <f aca="false">IF(M345&gt;=40,"Pass","Fail")</f>
        <v>Pass</v>
      </c>
      <c r="T345" s="34" t="str">
        <f aca="false">IF(M345&gt;=80,"Yes","No")</f>
        <v>No</v>
      </c>
    </row>
    <row r="346" customFormat="false" ht="15" hidden="false" customHeight="false" outlineLevel="0" collapsed="false">
      <c r="A346" s="43" t="s">
        <v>3459</v>
      </c>
      <c r="B346" s="44" t="s">
        <v>3460</v>
      </c>
      <c r="C346" s="43" t="s">
        <v>2851</v>
      </c>
      <c r="D346" s="51" t="n">
        <v>2</v>
      </c>
      <c r="E346" s="43" t="s">
        <v>2782</v>
      </c>
      <c r="F346" s="44" t="s">
        <v>2778</v>
      </c>
      <c r="G346" s="67" t="n">
        <v>100</v>
      </c>
      <c r="H346" s="44" t="s">
        <v>2770</v>
      </c>
      <c r="I346" s="67" t="n">
        <v>77</v>
      </c>
      <c r="J346" s="44" t="s">
        <v>2791</v>
      </c>
      <c r="K346" s="67" t="n">
        <v>75</v>
      </c>
      <c r="L346" s="67" t="n">
        <f aca="false">G346+I346+K346</f>
        <v>252</v>
      </c>
      <c r="M346" s="68" t="n">
        <f aca="false">L346/300*100</f>
        <v>84</v>
      </c>
      <c r="N346" s="43" t="str">
        <f aca="false">IF(M346&gt;=90,"A+",IF(M346&gt;=80,"A",IF(M346&gt;=70,"B+",IF(M346&gt;=60,"B",IF(M346&gt;=50,"C","F")))))</f>
        <v>A</v>
      </c>
      <c r="O346" s="69" t="n">
        <f aca="false">IF(M346&gt;=90,4,IF(M346&gt;=80,3.7,IF(M346&gt;=70,3.3,IF(M346&gt;=60,3,IF(M346&gt;=50,2,0)))))</f>
        <v>3.7</v>
      </c>
      <c r="P346" s="47" t="n">
        <v>0.68</v>
      </c>
      <c r="Q346" s="70" t="n">
        <v>68.6</v>
      </c>
      <c r="R346" s="70" t="n">
        <v>48.1</v>
      </c>
      <c r="S346" s="43" t="str">
        <f aca="false">IF(M346&gt;=40,"Pass","Fail")</f>
        <v>Pass</v>
      </c>
      <c r="T346" s="43" t="str">
        <f aca="false">IF(M346&gt;=80,"Yes","No")</f>
        <v>Yes</v>
      </c>
    </row>
    <row r="347" customFormat="false" ht="15" hidden="false" customHeight="false" outlineLevel="0" collapsed="false">
      <c r="A347" s="34" t="s">
        <v>3461</v>
      </c>
      <c r="B347" s="35" t="s">
        <v>3462</v>
      </c>
      <c r="C347" s="34" t="s">
        <v>2781</v>
      </c>
      <c r="D347" s="42" t="n">
        <v>2</v>
      </c>
      <c r="E347" s="34" t="s">
        <v>2774</v>
      </c>
      <c r="F347" s="35" t="s">
        <v>2775</v>
      </c>
      <c r="G347" s="63" t="n">
        <v>68</v>
      </c>
      <c r="H347" s="35" t="s">
        <v>2778</v>
      </c>
      <c r="I347" s="63" t="n">
        <v>61</v>
      </c>
      <c r="J347" s="35" t="s">
        <v>2770</v>
      </c>
      <c r="K347" s="63" t="n">
        <v>76</v>
      </c>
      <c r="L347" s="63" t="n">
        <f aca="false">G347+I347+K347</f>
        <v>205</v>
      </c>
      <c r="M347" s="64" t="n">
        <f aca="false">L347/300*100</f>
        <v>68.3333333333333</v>
      </c>
      <c r="N347" s="34" t="str">
        <f aca="false">IF(M347&gt;=90,"A+",IF(M347&gt;=80,"A",IF(M347&gt;=70,"B+",IF(M347&gt;=60,"B",IF(M347&gt;=50,"C","F")))))</f>
        <v>B</v>
      </c>
      <c r="O347" s="65" t="n">
        <f aca="false">IF(M347&gt;=90,4,IF(M347&gt;=80,3.7,IF(M347&gt;=70,3.3,IF(M347&gt;=60,3,IF(M347&gt;=50,2,0)))))</f>
        <v>3</v>
      </c>
      <c r="P347" s="38" t="n">
        <v>0.63</v>
      </c>
      <c r="Q347" s="66" t="n">
        <v>83.4</v>
      </c>
      <c r="R347" s="66" t="n">
        <v>56.8</v>
      </c>
      <c r="S347" s="34" t="str">
        <f aca="false">IF(M347&gt;=40,"Pass","Fail")</f>
        <v>Pass</v>
      </c>
      <c r="T347" s="34" t="str">
        <f aca="false">IF(M347&gt;=80,"Yes","No")</f>
        <v>No</v>
      </c>
    </row>
    <row r="348" customFormat="false" ht="15" hidden="false" customHeight="false" outlineLevel="0" collapsed="false">
      <c r="A348" s="43" t="s">
        <v>3463</v>
      </c>
      <c r="B348" s="44" t="s">
        <v>3464</v>
      </c>
      <c r="C348" s="43" t="s">
        <v>2786</v>
      </c>
      <c r="D348" s="51" t="n">
        <v>2</v>
      </c>
      <c r="E348" s="43" t="s">
        <v>2774</v>
      </c>
      <c r="F348" s="44" t="s">
        <v>2771</v>
      </c>
      <c r="G348" s="67" t="n">
        <v>26</v>
      </c>
      <c r="H348" s="44" t="s">
        <v>2770</v>
      </c>
      <c r="I348" s="67" t="n">
        <v>92</v>
      </c>
      <c r="J348" s="44" t="s">
        <v>2778</v>
      </c>
      <c r="K348" s="67" t="n">
        <v>86</v>
      </c>
      <c r="L348" s="67" t="n">
        <f aca="false">G348+I348+K348</f>
        <v>204</v>
      </c>
      <c r="M348" s="68" t="n">
        <f aca="false">L348/300*100</f>
        <v>68</v>
      </c>
      <c r="N348" s="43" t="str">
        <f aca="false">IF(M348&gt;=90,"A+",IF(M348&gt;=80,"A",IF(M348&gt;=70,"B+",IF(M348&gt;=60,"B",IF(M348&gt;=50,"C","F")))))</f>
        <v>B</v>
      </c>
      <c r="O348" s="69" t="n">
        <f aca="false">IF(M348&gt;=90,4,IF(M348&gt;=80,3.7,IF(M348&gt;=70,3.3,IF(M348&gt;=60,3,IF(M348&gt;=50,2,0)))))</f>
        <v>3</v>
      </c>
      <c r="P348" s="47" t="n">
        <v>0.954</v>
      </c>
      <c r="Q348" s="70" t="n">
        <v>74.8</v>
      </c>
      <c r="R348" s="70" t="n">
        <v>90.6</v>
      </c>
      <c r="S348" s="43" t="str">
        <f aca="false">IF(M348&gt;=40,"Pass","Fail")</f>
        <v>Pass</v>
      </c>
      <c r="T348" s="43" t="str">
        <f aca="false">IF(M348&gt;=80,"Yes","No")</f>
        <v>No</v>
      </c>
    </row>
    <row r="349" customFormat="false" ht="15" hidden="false" customHeight="false" outlineLevel="0" collapsed="false">
      <c r="A349" s="34" t="s">
        <v>3465</v>
      </c>
      <c r="B349" s="35" t="s">
        <v>3466</v>
      </c>
      <c r="C349" s="34" t="s">
        <v>2762</v>
      </c>
      <c r="D349" s="42" t="n">
        <v>5</v>
      </c>
      <c r="E349" s="34" t="s">
        <v>2763</v>
      </c>
      <c r="F349" s="35" t="s">
        <v>2791</v>
      </c>
      <c r="G349" s="63" t="n">
        <v>38</v>
      </c>
      <c r="H349" s="35" t="s">
        <v>2778</v>
      </c>
      <c r="I349" s="63" t="n">
        <v>25</v>
      </c>
      <c r="J349" s="35" t="s">
        <v>2783</v>
      </c>
      <c r="K349" s="63" t="n">
        <v>46</v>
      </c>
      <c r="L349" s="63" t="n">
        <f aca="false">G349+I349+K349</f>
        <v>109</v>
      </c>
      <c r="M349" s="64" t="n">
        <f aca="false">L349/300*100</f>
        <v>36.3333333333333</v>
      </c>
      <c r="N349" s="34" t="str">
        <f aca="false">IF(M349&gt;=90,"A+",IF(M349&gt;=80,"A",IF(M349&gt;=70,"B+",IF(M349&gt;=60,"B",IF(M349&gt;=50,"C","F")))))</f>
        <v>F</v>
      </c>
      <c r="O349" s="65" t="n">
        <f aca="false">IF(M349&gt;=90,4,IF(M349&gt;=80,3.7,IF(M349&gt;=70,3.3,IF(M349&gt;=60,3,IF(M349&gt;=50,2,0)))))</f>
        <v>0</v>
      </c>
      <c r="P349" s="38" t="n">
        <v>0.744</v>
      </c>
      <c r="Q349" s="66" t="n">
        <v>56.7</v>
      </c>
      <c r="R349" s="66" t="n">
        <v>92.8</v>
      </c>
      <c r="S349" s="34" t="str">
        <f aca="false">IF(M349&gt;=40,"Pass","Fail")</f>
        <v>Fail</v>
      </c>
      <c r="T349" s="34" t="str">
        <f aca="false">IF(M349&gt;=80,"Yes","No")</f>
        <v>No</v>
      </c>
    </row>
    <row r="350" customFormat="false" ht="15" hidden="false" customHeight="false" outlineLevel="0" collapsed="false">
      <c r="A350" s="43" t="s">
        <v>3467</v>
      </c>
      <c r="B350" s="44" t="s">
        <v>3468</v>
      </c>
      <c r="C350" s="43" t="s">
        <v>2803</v>
      </c>
      <c r="D350" s="51" t="n">
        <v>2</v>
      </c>
      <c r="E350" s="43" t="s">
        <v>2763</v>
      </c>
      <c r="F350" s="44" t="s">
        <v>2771</v>
      </c>
      <c r="G350" s="67" t="n">
        <v>56</v>
      </c>
      <c r="H350" s="44" t="s">
        <v>2783</v>
      </c>
      <c r="I350" s="67" t="n">
        <v>55</v>
      </c>
      <c r="J350" s="44" t="s">
        <v>2792</v>
      </c>
      <c r="K350" s="67" t="n">
        <v>82</v>
      </c>
      <c r="L350" s="67" t="n">
        <f aca="false">G350+I350+K350</f>
        <v>193</v>
      </c>
      <c r="M350" s="68" t="n">
        <f aca="false">L350/300*100</f>
        <v>64.3333333333333</v>
      </c>
      <c r="N350" s="43" t="str">
        <f aca="false">IF(M350&gt;=90,"A+",IF(M350&gt;=80,"A",IF(M350&gt;=70,"B+",IF(M350&gt;=60,"B",IF(M350&gt;=50,"C","F")))))</f>
        <v>B</v>
      </c>
      <c r="O350" s="69" t="n">
        <f aca="false">IF(M350&gt;=90,4,IF(M350&gt;=80,3.7,IF(M350&gt;=70,3.3,IF(M350&gt;=60,3,IF(M350&gt;=50,2,0)))))</f>
        <v>3</v>
      </c>
      <c r="P350" s="47" t="n">
        <v>0.748</v>
      </c>
      <c r="Q350" s="70" t="n">
        <v>93.1</v>
      </c>
      <c r="R350" s="70" t="n">
        <v>57.3</v>
      </c>
      <c r="S350" s="43" t="str">
        <f aca="false">IF(M350&gt;=40,"Pass","Fail")</f>
        <v>Pass</v>
      </c>
      <c r="T350" s="43" t="str">
        <f aca="false">IF(M350&gt;=80,"Yes","No")</f>
        <v>No</v>
      </c>
    </row>
    <row r="351" customFormat="false" ht="15" hidden="false" customHeight="false" outlineLevel="0" collapsed="false">
      <c r="A351" s="34" t="s">
        <v>3469</v>
      </c>
      <c r="B351" s="35" t="s">
        <v>3470</v>
      </c>
      <c r="C351" s="34" t="s">
        <v>2803</v>
      </c>
      <c r="D351" s="42" t="n">
        <v>2</v>
      </c>
      <c r="E351" s="34" t="s">
        <v>2774</v>
      </c>
      <c r="F351" s="35" t="s">
        <v>2771</v>
      </c>
      <c r="G351" s="63" t="n">
        <v>46</v>
      </c>
      <c r="H351" s="35" t="s">
        <v>2783</v>
      </c>
      <c r="I351" s="63" t="n">
        <v>90</v>
      </c>
      <c r="J351" s="35" t="s">
        <v>2792</v>
      </c>
      <c r="K351" s="63" t="n">
        <v>85</v>
      </c>
      <c r="L351" s="63" t="n">
        <f aca="false">G351+I351+K351</f>
        <v>221</v>
      </c>
      <c r="M351" s="64" t="n">
        <f aca="false">L351/300*100</f>
        <v>73.6666666666667</v>
      </c>
      <c r="N351" s="34" t="str">
        <f aca="false">IF(M351&gt;=90,"A+",IF(M351&gt;=80,"A",IF(M351&gt;=70,"B+",IF(M351&gt;=60,"B",IF(M351&gt;=50,"C","F")))))</f>
        <v>B+</v>
      </c>
      <c r="O351" s="65" t="n">
        <f aca="false">IF(M351&gt;=90,4,IF(M351&gt;=80,3.7,IF(M351&gt;=70,3.3,IF(M351&gt;=60,3,IF(M351&gt;=50,2,0)))))</f>
        <v>3.3</v>
      </c>
      <c r="P351" s="38" t="n">
        <v>0.89</v>
      </c>
      <c r="Q351" s="66" t="n">
        <v>41.6</v>
      </c>
      <c r="R351" s="66" t="n">
        <v>94.2</v>
      </c>
      <c r="S351" s="34" t="str">
        <f aca="false">IF(M351&gt;=40,"Pass","Fail")</f>
        <v>Pass</v>
      </c>
      <c r="T351" s="34" t="str">
        <f aca="false">IF(M351&gt;=80,"Yes","No")</f>
        <v>No</v>
      </c>
    </row>
    <row r="352" customFormat="false" ht="15" hidden="false" customHeight="false" outlineLevel="0" collapsed="false">
      <c r="A352" s="43" t="s">
        <v>3471</v>
      </c>
      <c r="B352" s="44" t="s">
        <v>3472</v>
      </c>
      <c r="C352" s="43" t="s">
        <v>2806</v>
      </c>
      <c r="D352" s="51" t="n">
        <v>4</v>
      </c>
      <c r="E352" s="43" t="s">
        <v>2774</v>
      </c>
      <c r="F352" s="44" t="s">
        <v>2770</v>
      </c>
      <c r="G352" s="67" t="n">
        <v>46</v>
      </c>
      <c r="H352" s="44" t="s">
        <v>2775</v>
      </c>
      <c r="I352" s="67" t="n">
        <v>56</v>
      </c>
      <c r="J352" s="44" t="s">
        <v>2778</v>
      </c>
      <c r="K352" s="67" t="n">
        <v>93</v>
      </c>
      <c r="L352" s="67" t="n">
        <f aca="false">G352+I352+K352</f>
        <v>195</v>
      </c>
      <c r="M352" s="68" t="n">
        <f aca="false">L352/300*100</f>
        <v>65</v>
      </c>
      <c r="N352" s="43" t="str">
        <f aca="false">IF(M352&gt;=90,"A+",IF(M352&gt;=80,"A",IF(M352&gt;=70,"B+",IF(M352&gt;=60,"B",IF(M352&gt;=50,"C","F")))))</f>
        <v>B</v>
      </c>
      <c r="O352" s="69" t="n">
        <f aca="false">IF(M352&gt;=90,4,IF(M352&gt;=80,3.7,IF(M352&gt;=70,3.3,IF(M352&gt;=60,3,IF(M352&gt;=50,2,0)))))</f>
        <v>3</v>
      </c>
      <c r="P352" s="47" t="n">
        <v>0.742</v>
      </c>
      <c r="Q352" s="70" t="n">
        <v>66.7</v>
      </c>
      <c r="R352" s="70" t="n">
        <v>47.6</v>
      </c>
      <c r="S352" s="43" t="str">
        <f aca="false">IF(M352&gt;=40,"Pass","Fail")</f>
        <v>Pass</v>
      </c>
      <c r="T352" s="43" t="str">
        <f aca="false">IF(M352&gt;=80,"Yes","No")</f>
        <v>No</v>
      </c>
    </row>
    <row r="353" customFormat="false" ht="15" hidden="false" customHeight="false" outlineLevel="0" collapsed="false">
      <c r="A353" s="34" t="s">
        <v>3473</v>
      </c>
      <c r="B353" s="35" t="s">
        <v>3474</v>
      </c>
      <c r="C353" s="34" t="s">
        <v>2762</v>
      </c>
      <c r="D353" s="42" t="n">
        <v>5</v>
      </c>
      <c r="E353" s="34" t="s">
        <v>2774</v>
      </c>
      <c r="F353" s="35" t="s">
        <v>2792</v>
      </c>
      <c r="G353" s="63" t="n">
        <v>83</v>
      </c>
      <c r="H353" s="35" t="s">
        <v>2770</v>
      </c>
      <c r="I353" s="63" t="n">
        <v>53</v>
      </c>
      <c r="J353" s="35" t="s">
        <v>2791</v>
      </c>
      <c r="K353" s="63" t="n">
        <v>31</v>
      </c>
      <c r="L353" s="63" t="n">
        <f aca="false">G353+I353+K353</f>
        <v>167</v>
      </c>
      <c r="M353" s="64" t="n">
        <f aca="false">L353/300*100</f>
        <v>55.6666666666667</v>
      </c>
      <c r="N353" s="34" t="str">
        <f aca="false">IF(M353&gt;=90,"A+",IF(M353&gt;=80,"A",IF(M353&gt;=70,"B+",IF(M353&gt;=60,"B",IF(M353&gt;=50,"C","F")))))</f>
        <v>C</v>
      </c>
      <c r="O353" s="65" t="n">
        <f aca="false">IF(M353&gt;=90,4,IF(M353&gt;=80,3.7,IF(M353&gt;=70,3.3,IF(M353&gt;=60,3,IF(M353&gt;=50,2,0)))))</f>
        <v>2</v>
      </c>
      <c r="P353" s="38" t="n">
        <v>0.939</v>
      </c>
      <c r="Q353" s="66" t="n">
        <v>99.6</v>
      </c>
      <c r="R353" s="66" t="n">
        <v>83.9</v>
      </c>
      <c r="S353" s="34" t="str">
        <f aca="false">IF(M353&gt;=40,"Pass","Fail")</f>
        <v>Pass</v>
      </c>
      <c r="T353" s="34" t="str">
        <f aca="false">IF(M353&gt;=80,"Yes","No")</f>
        <v>No</v>
      </c>
    </row>
    <row r="354" customFormat="false" ht="15" hidden="false" customHeight="false" outlineLevel="0" collapsed="false">
      <c r="A354" s="43" t="s">
        <v>3475</v>
      </c>
      <c r="B354" s="44" t="s">
        <v>3476</v>
      </c>
      <c r="C354" s="43" t="s">
        <v>2851</v>
      </c>
      <c r="D354" s="51" t="n">
        <v>6</v>
      </c>
      <c r="E354" s="43" t="s">
        <v>2774</v>
      </c>
      <c r="F354" s="44" t="s">
        <v>2765</v>
      </c>
      <c r="G354" s="67" t="n">
        <v>40</v>
      </c>
      <c r="H354" s="44" t="s">
        <v>2792</v>
      </c>
      <c r="I354" s="67" t="n">
        <v>84</v>
      </c>
      <c r="J354" s="44" t="s">
        <v>2778</v>
      </c>
      <c r="K354" s="67" t="n">
        <v>62</v>
      </c>
      <c r="L354" s="67" t="n">
        <f aca="false">G354+I354+K354</f>
        <v>186</v>
      </c>
      <c r="M354" s="68" t="n">
        <f aca="false">L354/300*100</f>
        <v>62</v>
      </c>
      <c r="N354" s="43" t="str">
        <f aca="false">IF(M354&gt;=90,"A+",IF(M354&gt;=80,"A",IF(M354&gt;=70,"B+",IF(M354&gt;=60,"B",IF(M354&gt;=50,"C","F")))))</f>
        <v>B</v>
      </c>
      <c r="O354" s="69" t="n">
        <f aca="false">IF(M354&gt;=90,4,IF(M354&gt;=80,3.7,IF(M354&gt;=70,3.3,IF(M354&gt;=60,3,IF(M354&gt;=50,2,0)))))</f>
        <v>3</v>
      </c>
      <c r="P354" s="47" t="n">
        <v>0.674</v>
      </c>
      <c r="Q354" s="70" t="n">
        <v>77.8</v>
      </c>
      <c r="R354" s="70" t="n">
        <v>70.8</v>
      </c>
      <c r="S354" s="43" t="str">
        <f aca="false">IF(M354&gt;=40,"Pass","Fail")</f>
        <v>Pass</v>
      </c>
      <c r="T354" s="43" t="str">
        <f aca="false">IF(M354&gt;=80,"Yes","No")</f>
        <v>No</v>
      </c>
    </row>
    <row r="355" customFormat="false" ht="15" hidden="false" customHeight="false" outlineLevel="0" collapsed="false">
      <c r="A355" s="34" t="s">
        <v>3477</v>
      </c>
      <c r="B355" s="35" t="s">
        <v>3478</v>
      </c>
      <c r="C355" s="34" t="s">
        <v>2786</v>
      </c>
      <c r="D355" s="42" t="n">
        <v>2</v>
      </c>
      <c r="E355" s="34" t="s">
        <v>2782</v>
      </c>
      <c r="F355" s="35" t="s">
        <v>2778</v>
      </c>
      <c r="G355" s="63" t="n">
        <v>32</v>
      </c>
      <c r="H355" s="35" t="s">
        <v>2775</v>
      </c>
      <c r="I355" s="63" t="n">
        <v>86</v>
      </c>
      <c r="J355" s="35" t="s">
        <v>2791</v>
      </c>
      <c r="K355" s="63" t="n">
        <v>60</v>
      </c>
      <c r="L355" s="63" t="n">
        <f aca="false">G355+I355+K355</f>
        <v>178</v>
      </c>
      <c r="M355" s="64" t="n">
        <f aca="false">L355/300*100</f>
        <v>59.3333333333333</v>
      </c>
      <c r="N355" s="34" t="str">
        <f aca="false">IF(M355&gt;=90,"A+",IF(M355&gt;=80,"A",IF(M355&gt;=70,"B+",IF(M355&gt;=60,"B",IF(M355&gt;=50,"C","F")))))</f>
        <v>C</v>
      </c>
      <c r="O355" s="65" t="n">
        <f aca="false">IF(M355&gt;=90,4,IF(M355&gt;=80,3.7,IF(M355&gt;=70,3.3,IF(M355&gt;=60,3,IF(M355&gt;=50,2,0)))))</f>
        <v>2</v>
      </c>
      <c r="P355" s="38" t="n">
        <v>0.636</v>
      </c>
      <c r="Q355" s="66" t="n">
        <v>73.5</v>
      </c>
      <c r="R355" s="66" t="n">
        <v>90.3</v>
      </c>
      <c r="S355" s="34" t="str">
        <f aca="false">IF(M355&gt;=40,"Pass","Fail")</f>
        <v>Pass</v>
      </c>
      <c r="T355" s="34" t="str">
        <f aca="false">IF(M355&gt;=80,"Yes","No")</f>
        <v>No</v>
      </c>
    </row>
    <row r="356" customFormat="false" ht="15" hidden="false" customHeight="false" outlineLevel="0" collapsed="false">
      <c r="A356" s="43" t="s">
        <v>3479</v>
      </c>
      <c r="B356" s="44" t="s">
        <v>3480</v>
      </c>
      <c r="C356" s="43" t="s">
        <v>2769</v>
      </c>
      <c r="D356" s="51" t="n">
        <v>1</v>
      </c>
      <c r="E356" s="43" t="s">
        <v>2782</v>
      </c>
      <c r="F356" s="44" t="s">
        <v>2775</v>
      </c>
      <c r="G356" s="67" t="n">
        <v>95</v>
      </c>
      <c r="H356" s="44" t="s">
        <v>2765</v>
      </c>
      <c r="I356" s="67" t="n">
        <v>68</v>
      </c>
      <c r="J356" s="44" t="s">
        <v>2783</v>
      </c>
      <c r="K356" s="67" t="n">
        <v>48</v>
      </c>
      <c r="L356" s="67" t="n">
        <f aca="false">G356+I356+K356</f>
        <v>211</v>
      </c>
      <c r="M356" s="68" t="n">
        <f aca="false">L356/300*100</f>
        <v>70.3333333333333</v>
      </c>
      <c r="N356" s="43" t="str">
        <f aca="false">IF(M356&gt;=90,"A+",IF(M356&gt;=80,"A",IF(M356&gt;=70,"B+",IF(M356&gt;=60,"B",IF(M356&gt;=50,"C","F")))))</f>
        <v>B+</v>
      </c>
      <c r="O356" s="69" t="n">
        <f aca="false">IF(M356&gt;=90,4,IF(M356&gt;=80,3.7,IF(M356&gt;=70,3.3,IF(M356&gt;=60,3,IF(M356&gt;=50,2,0)))))</f>
        <v>3.3</v>
      </c>
      <c r="P356" s="47" t="n">
        <v>0.853</v>
      </c>
      <c r="Q356" s="70" t="n">
        <v>55.9</v>
      </c>
      <c r="R356" s="70" t="n">
        <v>49.1</v>
      </c>
      <c r="S356" s="43" t="str">
        <f aca="false">IF(M356&gt;=40,"Pass","Fail")</f>
        <v>Pass</v>
      </c>
      <c r="T356" s="43" t="str">
        <f aca="false">IF(M356&gt;=80,"Yes","No")</f>
        <v>No</v>
      </c>
    </row>
    <row r="357" customFormat="false" ht="15" hidden="false" customHeight="false" outlineLevel="0" collapsed="false">
      <c r="A357" s="34" t="s">
        <v>3481</v>
      </c>
      <c r="B357" s="35" t="s">
        <v>3482</v>
      </c>
      <c r="C357" s="34" t="s">
        <v>2786</v>
      </c>
      <c r="D357" s="42" t="n">
        <v>3</v>
      </c>
      <c r="E357" s="34" t="s">
        <v>2782</v>
      </c>
      <c r="F357" s="35" t="s">
        <v>2770</v>
      </c>
      <c r="G357" s="63" t="n">
        <v>45</v>
      </c>
      <c r="H357" s="35" t="s">
        <v>2771</v>
      </c>
      <c r="I357" s="63" t="n">
        <v>31</v>
      </c>
      <c r="J357" s="35" t="s">
        <v>2783</v>
      </c>
      <c r="K357" s="63" t="n">
        <v>86</v>
      </c>
      <c r="L357" s="63" t="n">
        <f aca="false">G357+I357+K357</f>
        <v>162</v>
      </c>
      <c r="M357" s="64" t="n">
        <f aca="false">L357/300*100</f>
        <v>54</v>
      </c>
      <c r="N357" s="34" t="str">
        <f aca="false">IF(M357&gt;=90,"A+",IF(M357&gt;=80,"A",IF(M357&gt;=70,"B+",IF(M357&gt;=60,"B",IF(M357&gt;=50,"C","F")))))</f>
        <v>C</v>
      </c>
      <c r="O357" s="65" t="n">
        <f aca="false">IF(M357&gt;=90,4,IF(M357&gt;=80,3.7,IF(M357&gt;=70,3.3,IF(M357&gt;=60,3,IF(M357&gt;=50,2,0)))))</f>
        <v>2</v>
      </c>
      <c r="P357" s="38" t="n">
        <v>0.936</v>
      </c>
      <c r="Q357" s="66" t="n">
        <v>85</v>
      </c>
      <c r="R357" s="66" t="n">
        <v>40.2</v>
      </c>
      <c r="S357" s="34" t="str">
        <f aca="false">IF(M357&gt;=40,"Pass","Fail")</f>
        <v>Pass</v>
      </c>
      <c r="T357" s="34" t="str">
        <f aca="false">IF(M357&gt;=80,"Yes","No")</f>
        <v>No</v>
      </c>
    </row>
    <row r="358" customFormat="false" ht="15" hidden="false" customHeight="false" outlineLevel="0" collapsed="false">
      <c r="A358" s="43" t="s">
        <v>3483</v>
      </c>
      <c r="B358" s="44" t="s">
        <v>3484</v>
      </c>
      <c r="C358" s="43" t="s">
        <v>2851</v>
      </c>
      <c r="D358" s="51" t="n">
        <v>8</v>
      </c>
      <c r="E358" s="43" t="s">
        <v>2782</v>
      </c>
      <c r="F358" s="44" t="s">
        <v>2764</v>
      </c>
      <c r="G358" s="67" t="n">
        <v>24</v>
      </c>
      <c r="H358" s="44" t="s">
        <v>2765</v>
      </c>
      <c r="I358" s="67" t="n">
        <v>73</v>
      </c>
      <c r="J358" s="44" t="s">
        <v>2783</v>
      </c>
      <c r="K358" s="67" t="n">
        <v>53</v>
      </c>
      <c r="L358" s="67" t="n">
        <f aca="false">G358+I358+K358</f>
        <v>150</v>
      </c>
      <c r="M358" s="68" t="n">
        <f aca="false">L358/300*100</f>
        <v>50</v>
      </c>
      <c r="N358" s="43" t="str">
        <f aca="false">IF(M358&gt;=90,"A+",IF(M358&gt;=80,"A",IF(M358&gt;=70,"B+",IF(M358&gt;=60,"B",IF(M358&gt;=50,"C","F")))))</f>
        <v>C</v>
      </c>
      <c r="O358" s="69" t="n">
        <f aca="false">IF(M358&gt;=90,4,IF(M358&gt;=80,3.7,IF(M358&gt;=70,3.3,IF(M358&gt;=60,3,IF(M358&gt;=50,2,0)))))</f>
        <v>2</v>
      </c>
      <c r="P358" s="47" t="n">
        <v>0.826</v>
      </c>
      <c r="Q358" s="70" t="n">
        <v>77.9</v>
      </c>
      <c r="R358" s="70" t="n">
        <v>54.1</v>
      </c>
      <c r="S358" s="43" t="str">
        <f aca="false">IF(M358&gt;=40,"Pass","Fail")</f>
        <v>Pass</v>
      </c>
      <c r="T358" s="43" t="str">
        <f aca="false">IF(M358&gt;=80,"Yes","No")</f>
        <v>No</v>
      </c>
    </row>
    <row r="359" customFormat="false" ht="15" hidden="false" customHeight="false" outlineLevel="0" collapsed="false">
      <c r="A359" s="34" t="s">
        <v>3485</v>
      </c>
      <c r="B359" s="35" t="s">
        <v>3486</v>
      </c>
      <c r="C359" s="34" t="s">
        <v>2803</v>
      </c>
      <c r="D359" s="42" t="n">
        <v>8</v>
      </c>
      <c r="E359" s="34" t="s">
        <v>2782</v>
      </c>
      <c r="F359" s="35" t="s">
        <v>2783</v>
      </c>
      <c r="G359" s="63" t="n">
        <v>57</v>
      </c>
      <c r="H359" s="35" t="s">
        <v>2771</v>
      </c>
      <c r="I359" s="63" t="n">
        <v>82</v>
      </c>
      <c r="J359" s="35" t="s">
        <v>2765</v>
      </c>
      <c r="K359" s="63" t="n">
        <v>82</v>
      </c>
      <c r="L359" s="63" t="n">
        <f aca="false">G359+I359+K359</f>
        <v>221</v>
      </c>
      <c r="M359" s="64" t="n">
        <f aca="false">L359/300*100</f>
        <v>73.6666666666667</v>
      </c>
      <c r="N359" s="34" t="str">
        <f aca="false">IF(M359&gt;=90,"A+",IF(M359&gt;=80,"A",IF(M359&gt;=70,"B+",IF(M359&gt;=60,"B",IF(M359&gt;=50,"C","F")))))</f>
        <v>B+</v>
      </c>
      <c r="O359" s="65" t="n">
        <f aca="false">IF(M359&gt;=90,4,IF(M359&gt;=80,3.7,IF(M359&gt;=70,3.3,IF(M359&gt;=60,3,IF(M359&gt;=50,2,0)))))</f>
        <v>3.3</v>
      </c>
      <c r="P359" s="38" t="n">
        <v>0.909</v>
      </c>
      <c r="Q359" s="66" t="n">
        <v>63.5</v>
      </c>
      <c r="R359" s="66" t="n">
        <v>61.4</v>
      </c>
      <c r="S359" s="34" t="str">
        <f aca="false">IF(M359&gt;=40,"Pass","Fail")</f>
        <v>Pass</v>
      </c>
      <c r="T359" s="34" t="str">
        <f aca="false">IF(M359&gt;=80,"Yes","No")</f>
        <v>No</v>
      </c>
    </row>
    <row r="360" customFormat="false" ht="15" hidden="false" customHeight="false" outlineLevel="0" collapsed="false">
      <c r="A360" s="43" t="s">
        <v>3487</v>
      </c>
      <c r="B360" s="44" t="s">
        <v>3488</v>
      </c>
      <c r="C360" s="43" t="s">
        <v>2762</v>
      </c>
      <c r="D360" s="51" t="n">
        <v>5</v>
      </c>
      <c r="E360" s="43" t="s">
        <v>2774</v>
      </c>
      <c r="F360" s="44" t="s">
        <v>2765</v>
      </c>
      <c r="G360" s="67" t="n">
        <v>73</v>
      </c>
      <c r="H360" s="44" t="s">
        <v>2792</v>
      </c>
      <c r="I360" s="67" t="n">
        <v>77</v>
      </c>
      <c r="J360" s="44" t="s">
        <v>2771</v>
      </c>
      <c r="K360" s="67" t="n">
        <v>61</v>
      </c>
      <c r="L360" s="67" t="n">
        <f aca="false">G360+I360+K360</f>
        <v>211</v>
      </c>
      <c r="M360" s="68" t="n">
        <f aca="false">L360/300*100</f>
        <v>70.3333333333333</v>
      </c>
      <c r="N360" s="43" t="str">
        <f aca="false">IF(M360&gt;=90,"A+",IF(M360&gt;=80,"A",IF(M360&gt;=70,"B+",IF(M360&gt;=60,"B",IF(M360&gt;=50,"C","F")))))</f>
        <v>B+</v>
      </c>
      <c r="O360" s="69" t="n">
        <f aca="false">IF(M360&gt;=90,4,IF(M360&gt;=80,3.7,IF(M360&gt;=70,3.3,IF(M360&gt;=60,3,IF(M360&gt;=50,2,0)))))</f>
        <v>3.3</v>
      </c>
      <c r="P360" s="47" t="n">
        <v>0.661</v>
      </c>
      <c r="Q360" s="70" t="n">
        <v>65.5</v>
      </c>
      <c r="R360" s="70" t="n">
        <v>50.6</v>
      </c>
      <c r="S360" s="43" t="str">
        <f aca="false">IF(M360&gt;=40,"Pass","Fail")</f>
        <v>Pass</v>
      </c>
      <c r="T360" s="43" t="str">
        <f aca="false">IF(M360&gt;=80,"Yes","No")</f>
        <v>No</v>
      </c>
    </row>
    <row r="361" customFormat="false" ht="15" hidden="false" customHeight="false" outlineLevel="0" collapsed="false">
      <c r="A361" s="34" t="s">
        <v>3489</v>
      </c>
      <c r="B361" s="35" t="s">
        <v>3490</v>
      </c>
      <c r="C361" s="34" t="s">
        <v>2803</v>
      </c>
      <c r="D361" s="42" t="n">
        <v>2</v>
      </c>
      <c r="E361" s="34" t="s">
        <v>2763</v>
      </c>
      <c r="F361" s="35" t="s">
        <v>2791</v>
      </c>
      <c r="G361" s="63" t="n">
        <v>82</v>
      </c>
      <c r="H361" s="35" t="s">
        <v>2783</v>
      </c>
      <c r="I361" s="63" t="n">
        <v>96</v>
      </c>
      <c r="J361" s="35" t="s">
        <v>2770</v>
      </c>
      <c r="K361" s="63" t="n">
        <v>72</v>
      </c>
      <c r="L361" s="63" t="n">
        <f aca="false">G361+I361+K361</f>
        <v>250</v>
      </c>
      <c r="M361" s="64" t="n">
        <f aca="false">L361/300*100</f>
        <v>83.3333333333333</v>
      </c>
      <c r="N361" s="34" t="str">
        <f aca="false">IF(M361&gt;=90,"A+",IF(M361&gt;=80,"A",IF(M361&gt;=70,"B+",IF(M361&gt;=60,"B",IF(M361&gt;=50,"C","F")))))</f>
        <v>A</v>
      </c>
      <c r="O361" s="65" t="n">
        <f aca="false">IF(M361&gt;=90,4,IF(M361&gt;=80,3.7,IF(M361&gt;=70,3.3,IF(M361&gt;=60,3,IF(M361&gt;=50,2,0)))))</f>
        <v>3.7</v>
      </c>
      <c r="P361" s="38" t="n">
        <v>0.859</v>
      </c>
      <c r="Q361" s="66" t="n">
        <v>41.7</v>
      </c>
      <c r="R361" s="66" t="n">
        <v>56.1</v>
      </c>
      <c r="S361" s="34" t="str">
        <f aca="false">IF(M361&gt;=40,"Pass","Fail")</f>
        <v>Pass</v>
      </c>
      <c r="T361" s="34" t="str">
        <f aca="false">IF(M361&gt;=80,"Yes","No")</f>
        <v>Yes</v>
      </c>
    </row>
    <row r="362" customFormat="false" ht="15" hidden="false" customHeight="false" outlineLevel="0" collapsed="false">
      <c r="A362" s="43" t="s">
        <v>3491</v>
      </c>
      <c r="B362" s="44" t="s">
        <v>3492</v>
      </c>
      <c r="C362" s="43" t="s">
        <v>2781</v>
      </c>
      <c r="D362" s="51" t="n">
        <v>7</v>
      </c>
      <c r="E362" s="43" t="s">
        <v>2774</v>
      </c>
      <c r="F362" s="44" t="s">
        <v>2766</v>
      </c>
      <c r="G362" s="67" t="n">
        <v>60</v>
      </c>
      <c r="H362" s="44" t="s">
        <v>2778</v>
      </c>
      <c r="I362" s="67" t="n">
        <v>72</v>
      </c>
      <c r="J362" s="44" t="s">
        <v>2771</v>
      </c>
      <c r="K362" s="67" t="n">
        <v>70</v>
      </c>
      <c r="L362" s="67" t="n">
        <f aca="false">G362+I362+K362</f>
        <v>202</v>
      </c>
      <c r="M362" s="68" t="n">
        <f aca="false">L362/300*100</f>
        <v>67.3333333333333</v>
      </c>
      <c r="N362" s="43" t="str">
        <f aca="false">IF(M362&gt;=90,"A+",IF(M362&gt;=80,"A",IF(M362&gt;=70,"B+",IF(M362&gt;=60,"B",IF(M362&gt;=50,"C","F")))))</f>
        <v>B</v>
      </c>
      <c r="O362" s="69" t="n">
        <f aca="false">IF(M362&gt;=90,4,IF(M362&gt;=80,3.7,IF(M362&gt;=70,3.3,IF(M362&gt;=60,3,IF(M362&gt;=50,2,0)))))</f>
        <v>3</v>
      </c>
      <c r="P362" s="47" t="n">
        <v>0.914</v>
      </c>
      <c r="Q362" s="70" t="n">
        <v>65.5</v>
      </c>
      <c r="R362" s="70" t="n">
        <v>55.6</v>
      </c>
      <c r="S362" s="43" t="str">
        <f aca="false">IF(M362&gt;=40,"Pass","Fail")</f>
        <v>Pass</v>
      </c>
      <c r="T362" s="43" t="str">
        <f aca="false">IF(M362&gt;=80,"Yes","No")</f>
        <v>No</v>
      </c>
    </row>
    <row r="363" customFormat="false" ht="15" hidden="false" customHeight="false" outlineLevel="0" collapsed="false">
      <c r="A363" s="34" t="s">
        <v>3493</v>
      </c>
      <c r="B363" s="35" t="s">
        <v>3494</v>
      </c>
      <c r="C363" s="34" t="s">
        <v>2851</v>
      </c>
      <c r="D363" s="42" t="n">
        <v>5</v>
      </c>
      <c r="E363" s="34" t="s">
        <v>2763</v>
      </c>
      <c r="F363" s="35" t="s">
        <v>2765</v>
      </c>
      <c r="G363" s="63" t="n">
        <v>59</v>
      </c>
      <c r="H363" s="35" t="s">
        <v>2778</v>
      </c>
      <c r="I363" s="63" t="n">
        <v>77</v>
      </c>
      <c r="J363" s="35" t="s">
        <v>2775</v>
      </c>
      <c r="K363" s="63" t="n">
        <v>72</v>
      </c>
      <c r="L363" s="63" t="n">
        <f aca="false">G363+I363+K363</f>
        <v>208</v>
      </c>
      <c r="M363" s="64" t="n">
        <f aca="false">L363/300*100</f>
        <v>69.3333333333333</v>
      </c>
      <c r="N363" s="34" t="str">
        <f aca="false">IF(M363&gt;=90,"A+",IF(M363&gt;=80,"A",IF(M363&gt;=70,"B+",IF(M363&gt;=60,"B",IF(M363&gt;=50,"C","F")))))</f>
        <v>B</v>
      </c>
      <c r="O363" s="65" t="n">
        <f aca="false">IF(M363&gt;=90,4,IF(M363&gt;=80,3.7,IF(M363&gt;=70,3.3,IF(M363&gt;=60,3,IF(M363&gt;=50,2,0)))))</f>
        <v>3</v>
      </c>
      <c r="P363" s="38" t="n">
        <v>0.65</v>
      </c>
      <c r="Q363" s="66" t="n">
        <v>92.5</v>
      </c>
      <c r="R363" s="66" t="n">
        <v>72.2</v>
      </c>
      <c r="S363" s="34" t="str">
        <f aca="false">IF(M363&gt;=40,"Pass","Fail")</f>
        <v>Pass</v>
      </c>
      <c r="T363" s="34" t="str">
        <f aca="false">IF(M363&gt;=80,"Yes","No")</f>
        <v>No</v>
      </c>
    </row>
    <row r="364" customFormat="false" ht="15" hidden="false" customHeight="false" outlineLevel="0" collapsed="false">
      <c r="A364" s="43" t="s">
        <v>3495</v>
      </c>
      <c r="B364" s="44" t="s">
        <v>3496</v>
      </c>
      <c r="C364" s="43" t="s">
        <v>2786</v>
      </c>
      <c r="D364" s="51" t="n">
        <v>2</v>
      </c>
      <c r="E364" s="43" t="s">
        <v>2782</v>
      </c>
      <c r="F364" s="44" t="s">
        <v>2764</v>
      </c>
      <c r="G364" s="67" t="n">
        <v>97</v>
      </c>
      <c r="H364" s="44" t="s">
        <v>2778</v>
      </c>
      <c r="I364" s="67" t="n">
        <v>89</v>
      </c>
      <c r="J364" s="44" t="s">
        <v>2783</v>
      </c>
      <c r="K364" s="67" t="n">
        <v>22</v>
      </c>
      <c r="L364" s="67" t="n">
        <f aca="false">G364+I364+K364</f>
        <v>208</v>
      </c>
      <c r="M364" s="68" t="n">
        <f aca="false">L364/300*100</f>
        <v>69.3333333333333</v>
      </c>
      <c r="N364" s="43" t="str">
        <f aca="false">IF(M364&gt;=90,"A+",IF(M364&gt;=80,"A",IF(M364&gt;=70,"B+",IF(M364&gt;=60,"B",IF(M364&gt;=50,"C","F")))))</f>
        <v>B</v>
      </c>
      <c r="O364" s="69" t="n">
        <f aca="false">IF(M364&gt;=90,4,IF(M364&gt;=80,3.7,IF(M364&gt;=70,3.3,IF(M364&gt;=60,3,IF(M364&gt;=50,2,0)))))</f>
        <v>3</v>
      </c>
      <c r="P364" s="47" t="n">
        <v>0.978</v>
      </c>
      <c r="Q364" s="70" t="n">
        <v>41.3</v>
      </c>
      <c r="R364" s="70" t="n">
        <v>62.8</v>
      </c>
      <c r="S364" s="43" t="str">
        <f aca="false">IF(M364&gt;=40,"Pass","Fail")</f>
        <v>Pass</v>
      </c>
      <c r="T364" s="43" t="str">
        <f aca="false">IF(M364&gt;=80,"Yes","No")</f>
        <v>No</v>
      </c>
    </row>
    <row r="365" customFormat="false" ht="15" hidden="false" customHeight="false" outlineLevel="0" collapsed="false">
      <c r="A365" s="34" t="s">
        <v>3497</v>
      </c>
      <c r="B365" s="35" t="s">
        <v>3498</v>
      </c>
      <c r="C365" s="34" t="s">
        <v>2786</v>
      </c>
      <c r="D365" s="42" t="n">
        <v>6</v>
      </c>
      <c r="E365" s="34" t="s">
        <v>2763</v>
      </c>
      <c r="F365" s="35" t="s">
        <v>2766</v>
      </c>
      <c r="G365" s="63" t="n">
        <v>86</v>
      </c>
      <c r="H365" s="35" t="s">
        <v>2792</v>
      </c>
      <c r="I365" s="63" t="n">
        <v>46</v>
      </c>
      <c r="J365" s="35" t="s">
        <v>2775</v>
      </c>
      <c r="K365" s="63" t="n">
        <v>66</v>
      </c>
      <c r="L365" s="63" t="n">
        <f aca="false">G365+I365+K365</f>
        <v>198</v>
      </c>
      <c r="M365" s="64" t="n">
        <f aca="false">L365/300*100</f>
        <v>66</v>
      </c>
      <c r="N365" s="34" t="str">
        <f aca="false">IF(M365&gt;=90,"A+",IF(M365&gt;=80,"A",IF(M365&gt;=70,"B+",IF(M365&gt;=60,"B",IF(M365&gt;=50,"C","F")))))</f>
        <v>B</v>
      </c>
      <c r="O365" s="65" t="n">
        <f aca="false">IF(M365&gt;=90,4,IF(M365&gt;=80,3.7,IF(M365&gt;=70,3.3,IF(M365&gt;=60,3,IF(M365&gt;=50,2,0)))))</f>
        <v>3</v>
      </c>
      <c r="P365" s="38" t="n">
        <v>0.791</v>
      </c>
      <c r="Q365" s="66" t="n">
        <v>99.1</v>
      </c>
      <c r="R365" s="66" t="n">
        <v>90.3</v>
      </c>
      <c r="S365" s="34" t="str">
        <f aca="false">IF(M365&gt;=40,"Pass","Fail")</f>
        <v>Pass</v>
      </c>
      <c r="T365" s="34" t="str">
        <f aca="false">IF(M365&gt;=80,"Yes","No")</f>
        <v>No</v>
      </c>
    </row>
    <row r="366" customFormat="false" ht="15" hidden="false" customHeight="false" outlineLevel="0" collapsed="false">
      <c r="A366" s="43" t="s">
        <v>3499</v>
      </c>
      <c r="B366" s="44" t="s">
        <v>3500</v>
      </c>
      <c r="C366" s="43" t="s">
        <v>2762</v>
      </c>
      <c r="D366" s="51" t="n">
        <v>4</v>
      </c>
      <c r="E366" s="43" t="s">
        <v>2763</v>
      </c>
      <c r="F366" s="44" t="s">
        <v>2783</v>
      </c>
      <c r="G366" s="67" t="n">
        <v>72</v>
      </c>
      <c r="H366" s="44" t="s">
        <v>2778</v>
      </c>
      <c r="I366" s="67" t="n">
        <v>47</v>
      </c>
      <c r="J366" s="44" t="s">
        <v>2766</v>
      </c>
      <c r="K366" s="67" t="n">
        <v>90</v>
      </c>
      <c r="L366" s="67" t="n">
        <f aca="false">G366+I366+K366</f>
        <v>209</v>
      </c>
      <c r="M366" s="68" t="n">
        <f aca="false">L366/300*100</f>
        <v>69.6666666666667</v>
      </c>
      <c r="N366" s="43" t="str">
        <f aca="false">IF(M366&gt;=90,"A+",IF(M366&gt;=80,"A",IF(M366&gt;=70,"B+",IF(M366&gt;=60,"B",IF(M366&gt;=50,"C","F")))))</f>
        <v>B</v>
      </c>
      <c r="O366" s="69" t="n">
        <f aca="false">IF(M366&gt;=90,4,IF(M366&gt;=80,3.7,IF(M366&gt;=70,3.3,IF(M366&gt;=60,3,IF(M366&gt;=50,2,0)))))</f>
        <v>3</v>
      </c>
      <c r="P366" s="47" t="n">
        <v>0.88</v>
      </c>
      <c r="Q366" s="70" t="n">
        <v>96.4</v>
      </c>
      <c r="R366" s="70" t="n">
        <v>42.2</v>
      </c>
      <c r="S366" s="43" t="str">
        <f aca="false">IF(M366&gt;=40,"Pass","Fail")</f>
        <v>Pass</v>
      </c>
      <c r="T366" s="43" t="str">
        <f aca="false">IF(M366&gt;=80,"Yes","No")</f>
        <v>No</v>
      </c>
    </row>
    <row r="367" customFormat="false" ht="15" hidden="false" customHeight="false" outlineLevel="0" collapsed="false">
      <c r="A367" s="34" t="s">
        <v>3501</v>
      </c>
      <c r="B367" s="35" t="s">
        <v>3502</v>
      </c>
      <c r="C367" s="34" t="s">
        <v>2851</v>
      </c>
      <c r="D367" s="42" t="n">
        <v>2</v>
      </c>
      <c r="E367" s="34" t="s">
        <v>2782</v>
      </c>
      <c r="F367" s="35" t="s">
        <v>2791</v>
      </c>
      <c r="G367" s="63" t="n">
        <v>40</v>
      </c>
      <c r="H367" s="35" t="s">
        <v>2770</v>
      </c>
      <c r="I367" s="63" t="n">
        <v>56</v>
      </c>
      <c r="J367" s="35" t="s">
        <v>2775</v>
      </c>
      <c r="K367" s="63" t="n">
        <v>58</v>
      </c>
      <c r="L367" s="63" t="n">
        <f aca="false">G367+I367+K367</f>
        <v>154</v>
      </c>
      <c r="M367" s="64" t="n">
        <f aca="false">L367/300*100</f>
        <v>51.3333333333333</v>
      </c>
      <c r="N367" s="34" t="str">
        <f aca="false">IF(M367&gt;=90,"A+",IF(M367&gt;=80,"A",IF(M367&gt;=70,"B+",IF(M367&gt;=60,"B",IF(M367&gt;=50,"C","F")))))</f>
        <v>C</v>
      </c>
      <c r="O367" s="65" t="n">
        <f aca="false">IF(M367&gt;=90,4,IF(M367&gt;=80,3.7,IF(M367&gt;=70,3.3,IF(M367&gt;=60,3,IF(M367&gt;=50,2,0)))))</f>
        <v>2</v>
      </c>
      <c r="P367" s="38" t="n">
        <v>0.561</v>
      </c>
      <c r="Q367" s="66" t="n">
        <v>77.9</v>
      </c>
      <c r="R367" s="66" t="n">
        <v>81.3</v>
      </c>
      <c r="S367" s="34" t="str">
        <f aca="false">IF(M367&gt;=40,"Pass","Fail")</f>
        <v>Pass</v>
      </c>
      <c r="T367" s="34" t="str">
        <f aca="false">IF(M367&gt;=80,"Yes","No")</f>
        <v>No</v>
      </c>
    </row>
    <row r="368" customFormat="false" ht="15" hidden="false" customHeight="false" outlineLevel="0" collapsed="false">
      <c r="A368" s="43" t="s">
        <v>3503</v>
      </c>
      <c r="B368" s="44" t="s">
        <v>3504</v>
      </c>
      <c r="C368" s="43" t="s">
        <v>2851</v>
      </c>
      <c r="D368" s="51" t="n">
        <v>5</v>
      </c>
      <c r="E368" s="43" t="s">
        <v>2782</v>
      </c>
      <c r="F368" s="44" t="s">
        <v>2792</v>
      </c>
      <c r="G368" s="67" t="n">
        <v>36</v>
      </c>
      <c r="H368" s="44" t="s">
        <v>2791</v>
      </c>
      <c r="I368" s="67" t="n">
        <v>54</v>
      </c>
      <c r="J368" s="44" t="s">
        <v>2766</v>
      </c>
      <c r="K368" s="67" t="n">
        <v>30</v>
      </c>
      <c r="L368" s="67" t="n">
        <f aca="false">G368+I368+K368</f>
        <v>120</v>
      </c>
      <c r="M368" s="68" t="n">
        <f aca="false">L368/300*100</f>
        <v>40</v>
      </c>
      <c r="N368" s="43" t="str">
        <f aca="false">IF(M368&gt;=90,"A+",IF(M368&gt;=80,"A",IF(M368&gt;=70,"B+",IF(M368&gt;=60,"B",IF(M368&gt;=50,"C","F")))))</f>
        <v>F</v>
      </c>
      <c r="O368" s="69" t="n">
        <f aca="false">IF(M368&gt;=90,4,IF(M368&gt;=80,3.7,IF(M368&gt;=70,3.3,IF(M368&gt;=60,3,IF(M368&gt;=50,2,0)))))</f>
        <v>0</v>
      </c>
      <c r="P368" s="47" t="n">
        <v>0.584</v>
      </c>
      <c r="Q368" s="70" t="n">
        <v>70.3</v>
      </c>
      <c r="R368" s="70" t="n">
        <v>82.2</v>
      </c>
      <c r="S368" s="43" t="str">
        <f aca="false">IF(M368&gt;=40,"Pass","Fail")</f>
        <v>Pass</v>
      </c>
      <c r="T368" s="43" t="str">
        <f aca="false">IF(M368&gt;=80,"Yes","No")</f>
        <v>No</v>
      </c>
    </row>
    <row r="369" customFormat="false" ht="15" hidden="false" customHeight="false" outlineLevel="0" collapsed="false">
      <c r="A369" s="34" t="s">
        <v>3505</v>
      </c>
      <c r="B369" s="35" t="s">
        <v>3506</v>
      </c>
      <c r="C369" s="34" t="s">
        <v>2769</v>
      </c>
      <c r="D369" s="42" t="n">
        <v>7</v>
      </c>
      <c r="E369" s="34" t="s">
        <v>2774</v>
      </c>
      <c r="F369" s="35" t="s">
        <v>2775</v>
      </c>
      <c r="G369" s="63" t="n">
        <v>32</v>
      </c>
      <c r="H369" s="35" t="s">
        <v>2766</v>
      </c>
      <c r="I369" s="63" t="n">
        <v>95</v>
      </c>
      <c r="J369" s="35" t="s">
        <v>2783</v>
      </c>
      <c r="K369" s="63" t="n">
        <v>70</v>
      </c>
      <c r="L369" s="63" t="n">
        <f aca="false">G369+I369+K369</f>
        <v>197</v>
      </c>
      <c r="M369" s="64" t="n">
        <f aca="false">L369/300*100</f>
        <v>65.6666666666667</v>
      </c>
      <c r="N369" s="34" t="str">
        <f aca="false">IF(M369&gt;=90,"A+",IF(M369&gt;=80,"A",IF(M369&gt;=70,"B+",IF(M369&gt;=60,"B",IF(M369&gt;=50,"C","F")))))</f>
        <v>B</v>
      </c>
      <c r="O369" s="65" t="n">
        <f aca="false">IF(M369&gt;=90,4,IF(M369&gt;=80,3.7,IF(M369&gt;=70,3.3,IF(M369&gt;=60,3,IF(M369&gt;=50,2,0)))))</f>
        <v>3</v>
      </c>
      <c r="P369" s="38" t="n">
        <v>0.637</v>
      </c>
      <c r="Q369" s="66" t="n">
        <v>76.3</v>
      </c>
      <c r="R369" s="66" t="n">
        <v>58.7</v>
      </c>
      <c r="S369" s="34" t="str">
        <f aca="false">IF(M369&gt;=40,"Pass","Fail")</f>
        <v>Pass</v>
      </c>
      <c r="T369" s="34" t="str">
        <f aca="false">IF(M369&gt;=80,"Yes","No")</f>
        <v>No</v>
      </c>
    </row>
    <row r="370" customFormat="false" ht="15" hidden="false" customHeight="false" outlineLevel="0" collapsed="false">
      <c r="A370" s="43" t="s">
        <v>3507</v>
      </c>
      <c r="B370" s="44" t="s">
        <v>3508</v>
      </c>
      <c r="C370" s="43" t="s">
        <v>2803</v>
      </c>
      <c r="D370" s="51" t="n">
        <v>7</v>
      </c>
      <c r="E370" s="43" t="s">
        <v>2782</v>
      </c>
      <c r="F370" s="44" t="s">
        <v>2775</v>
      </c>
      <c r="G370" s="67" t="n">
        <v>78</v>
      </c>
      <c r="H370" s="44" t="s">
        <v>2771</v>
      </c>
      <c r="I370" s="67" t="n">
        <v>45</v>
      </c>
      <c r="J370" s="44" t="s">
        <v>2766</v>
      </c>
      <c r="K370" s="67" t="n">
        <v>32</v>
      </c>
      <c r="L370" s="67" t="n">
        <f aca="false">G370+I370+K370</f>
        <v>155</v>
      </c>
      <c r="M370" s="68" t="n">
        <f aca="false">L370/300*100</f>
        <v>51.6666666666667</v>
      </c>
      <c r="N370" s="43" t="str">
        <f aca="false">IF(M370&gt;=90,"A+",IF(M370&gt;=80,"A",IF(M370&gt;=70,"B+",IF(M370&gt;=60,"B",IF(M370&gt;=50,"C","F")))))</f>
        <v>C</v>
      </c>
      <c r="O370" s="69" t="n">
        <f aca="false">IF(M370&gt;=90,4,IF(M370&gt;=80,3.7,IF(M370&gt;=70,3.3,IF(M370&gt;=60,3,IF(M370&gt;=50,2,0)))))</f>
        <v>2</v>
      </c>
      <c r="P370" s="47" t="n">
        <v>0.669</v>
      </c>
      <c r="Q370" s="70" t="n">
        <v>79.4</v>
      </c>
      <c r="R370" s="70" t="n">
        <v>68.3</v>
      </c>
      <c r="S370" s="43" t="str">
        <f aca="false">IF(M370&gt;=40,"Pass","Fail")</f>
        <v>Pass</v>
      </c>
      <c r="T370" s="43" t="str">
        <f aca="false">IF(M370&gt;=80,"Yes","No")</f>
        <v>No</v>
      </c>
    </row>
    <row r="371" customFormat="false" ht="15" hidden="false" customHeight="false" outlineLevel="0" collapsed="false">
      <c r="A371" s="34" t="s">
        <v>3509</v>
      </c>
      <c r="B371" s="35" t="s">
        <v>3510</v>
      </c>
      <c r="C371" s="34" t="s">
        <v>2803</v>
      </c>
      <c r="D371" s="42" t="n">
        <v>7</v>
      </c>
      <c r="E371" s="34" t="s">
        <v>2774</v>
      </c>
      <c r="F371" s="35" t="s">
        <v>2765</v>
      </c>
      <c r="G371" s="63" t="n">
        <v>81</v>
      </c>
      <c r="H371" s="35" t="s">
        <v>2791</v>
      </c>
      <c r="I371" s="63" t="n">
        <v>56</v>
      </c>
      <c r="J371" s="35" t="s">
        <v>2771</v>
      </c>
      <c r="K371" s="63" t="n">
        <v>88</v>
      </c>
      <c r="L371" s="63" t="n">
        <f aca="false">G371+I371+K371</f>
        <v>225</v>
      </c>
      <c r="M371" s="64" t="n">
        <f aca="false">L371/300*100</f>
        <v>75</v>
      </c>
      <c r="N371" s="34" t="str">
        <f aca="false">IF(M371&gt;=90,"A+",IF(M371&gt;=80,"A",IF(M371&gt;=70,"B+",IF(M371&gt;=60,"B",IF(M371&gt;=50,"C","F")))))</f>
        <v>B+</v>
      </c>
      <c r="O371" s="65" t="n">
        <f aca="false">IF(M371&gt;=90,4,IF(M371&gt;=80,3.7,IF(M371&gt;=70,3.3,IF(M371&gt;=60,3,IF(M371&gt;=50,2,0)))))</f>
        <v>3.3</v>
      </c>
      <c r="P371" s="38" t="n">
        <v>0.778</v>
      </c>
      <c r="Q371" s="66" t="n">
        <v>62.9</v>
      </c>
      <c r="R371" s="66" t="n">
        <v>99.6</v>
      </c>
      <c r="S371" s="34" t="str">
        <f aca="false">IF(M371&gt;=40,"Pass","Fail")</f>
        <v>Pass</v>
      </c>
      <c r="T371" s="34" t="str">
        <f aca="false">IF(M371&gt;=80,"Yes","No")</f>
        <v>No</v>
      </c>
    </row>
    <row r="372" customFormat="false" ht="15" hidden="false" customHeight="false" outlineLevel="0" collapsed="false">
      <c r="A372" s="43" t="s">
        <v>3511</v>
      </c>
      <c r="B372" s="44" t="s">
        <v>3512</v>
      </c>
      <c r="C372" s="43" t="s">
        <v>2769</v>
      </c>
      <c r="D372" s="51" t="n">
        <v>7</v>
      </c>
      <c r="E372" s="43" t="s">
        <v>2763</v>
      </c>
      <c r="F372" s="44" t="s">
        <v>2766</v>
      </c>
      <c r="G372" s="67" t="n">
        <v>48</v>
      </c>
      <c r="H372" s="44" t="s">
        <v>2792</v>
      </c>
      <c r="I372" s="67" t="n">
        <v>93</v>
      </c>
      <c r="J372" s="44" t="s">
        <v>2770</v>
      </c>
      <c r="K372" s="67" t="n">
        <v>23</v>
      </c>
      <c r="L372" s="67" t="n">
        <f aca="false">G372+I372+K372</f>
        <v>164</v>
      </c>
      <c r="M372" s="68" t="n">
        <f aca="false">L372/300*100</f>
        <v>54.6666666666667</v>
      </c>
      <c r="N372" s="43" t="str">
        <f aca="false">IF(M372&gt;=90,"A+",IF(M372&gt;=80,"A",IF(M372&gt;=70,"B+",IF(M372&gt;=60,"B",IF(M372&gt;=50,"C","F")))))</f>
        <v>C</v>
      </c>
      <c r="O372" s="69" t="n">
        <f aca="false">IF(M372&gt;=90,4,IF(M372&gt;=80,3.7,IF(M372&gt;=70,3.3,IF(M372&gt;=60,3,IF(M372&gt;=50,2,0)))))</f>
        <v>2</v>
      </c>
      <c r="P372" s="47" t="n">
        <v>0.729</v>
      </c>
      <c r="Q372" s="70" t="n">
        <v>53.9</v>
      </c>
      <c r="R372" s="70" t="n">
        <v>62.2</v>
      </c>
      <c r="S372" s="43" t="str">
        <f aca="false">IF(M372&gt;=40,"Pass","Fail")</f>
        <v>Pass</v>
      </c>
      <c r="T372" s="43" t="str">
        <f aca="false">IF(M372&gt;=80,"Yes","No")</f>
        <v>No</v>
      </c>
    </row>
    <row r="373" customFormat="false" ht="15" hidden="false" customHeight="false" outlineLevel="0" collapsed="false">
      <c r="A373" s="34" t="s">
        <v>3513</v>
      </c>
      <c r="B373" s="35" t="s">
        <v>3514</v>
      </c>
      <c r="C373" s="34" t="s">
        <v>2806</v>
      </c>
      <c r="D373" s="42" t="n">
        <v>2</v>
      </c>
      <c r="E373" s="34" t="s">
        <v>2782</v>
      </c>
      <c r="F373" s="35" t="s">
        <v>2771</v>
      </c>
      <c r="G373" s="63" t="n">
        <v>100</v>
      </c>
      <c r="H373" s="35" t="s">
        <v>2778</v>
      </c>
      <c r="I373" s="63" t="n">
        <v>30</v>
      </c>
      <c r="J373" s="35" t="s">
        <v>2783</v>
      </c>
      <c r="K373" s="63" t="n">
        <v>32</v>
      </c>
      <c r="L373" s="63" t="n">
        <f aca="false">G373+I373+K373</f>
        <v>162</v>
      </c>
      <c r="M373" s="64" t="n">
        <f aca="false">L373/300*100</f>
        <v>54</v>
      </c>
      <c r="N373" s="34" t="str">
        <f aca="false">IF(M373&gt;=90,"A+",IF(M373&gt;=80,"A",IF(M373&gt;=70,"B+",IF(M373&gt;=60,"B",IF(M373&gt;=50,"C","F")))))</f>
        <v>C</v>
      </c>
      <c r="O373" s="65" t="n">
        <f aca="false">IF(M373&gt;=90,4,IF(M373&gt;=80,3.7,IF(M373&gt;=70,3.3,IF(M373&gt;=60,3,IF(M373&gt;=50,2,0)))))</f>
        <v>2</v>
      </c>
      <c r="P373" s="38" t="n">
        <v>0.802</v>
      </c>
      <c r="Q373" s="66" t="n">
        <v>52.5</v>
      </c>
      <c r="R373" s="66" t="n">
        <v>96.5</v>
      </c>
      <c r="S373" s="34" t="str">
        <f aca="false">IF(M373&gt;=40,"Pass","Fail")</f>
        <v>Pass</v>
      </c>
      <c r="T373" s="34" t="str">
        <f aca="false">IF(M373&gt;=80,"Yes","No")</f>
        <v>No</v>
      </c>
    </row>
    <row r="374" customFormat="false" ht="15" hidden="false" customHeight="false" outlineLevel="0" collapsed="false">
      <c r="A374" s="43" t="s">
        <v>3515</v>
      </c>
      <c r="B374" s="44" t="s">
        <v>3516</v>
      </c>
      <c r="C374" s="43" t="s">
        <v>2806</v>
      </c>
      <c r="D374" s="51" t="n">
        <v>4</v>
      </c>
      <c r="E374" s="43" t="s">
        <v>2774</v>
      </c>
      <c r="F374" s="44" t="s">
        <v>2783</v>
      </c>
      <c r="G374" s="67" t="n">
        <v>86</v>
      </c>
      <c r="H374" s="44" t="s">
        <v>2791</v>
      </c>
      <c r="I374" s="67" t="n">
        <v>92</v>
      </c>
      <c r="J374" s="44" t="s">
        <v>2770</v>
      </c>
      <c r="K374" s="67" t="n">
        <v>49</v>
      </c>
      <c r="L374" s="67" t="n">
        <f aca="false">G374+I374+K374</f>
        <v>227</v>
      </c>
      <c r="M374" s="68" t="n">
        <f aca="false">L374/300*100</f>
        <v>75.6666666666667</v>
      </c>
      <c r="N374" s="43" t="str">
        <f aca="false">IF(M374&gt;=90,"A+",IF(M374&gt;=80,"A",IF(M374&gt;=70,"B+",IF(M374&gt;=60,"B",IF(M374&gt;=50,"C","F")))))</f>
        <v>B+</v>
      </c>
      <c r="O374" s="69" t="n">
        <f aca="false">IF(M374&gt;=90,4,IF(M374&gt;=80,3.7,IF(M374&gt;=70,3.3,IF(M374&gt;=60,3,IF(M374&gt;=50,2,0)))))</f>
        <v>3.3</v>
      </c>
      <c r="P374" s="47" t="n">
        <v>0.577</v>
      </c>
      <c r="Q374" s="70" t="n">
        <v>69.6</v>
      </c>
      <c r="R374" s="70" t="n">
        <v>64.7</v>
      </c>
      <c r="S374" s="43" t="str">
        <f aca="false">IF(M374&gt;=40,"Pass","Fail")</f>
        <v>Pass</v>
      </c>
      <c r="T374" s="43" t="str">
        <f aca="false">IF(M374&gt;=80,"Yes","No")</f>
        <v>No</v>
      </c>
    </row>
    <row r="375" customFormat="false" ht="15" hidden="false" customHeight="false" outlineLevel="0" collapsed="false">
      <c r="A375" s="34" t="s">
        <v>3517</v>
      </c>
      <c r="B375" s="35" t="s">
        <v>3518</v>
      </c>
      <c r="C375" s="34" t="s">
        <v>2769</v>
      </c>
      <c r="D375" s="42" t="n">
        <v>6</v>
      </c>
      <c r="E375" s="34" t="s">
        <v>2774</v>
      </c>
      <c r="F375" s="35" t="s">
        <v>2775</v>
      </c>
      <c r="G375" s="63" t="n">
        <v>20</v>
      </c>
      <c r="H375" s="35" t="s">
        <v>2778</v>
      </c>
      <c r="I375" s="63" t="n">
        <v>54</v>
      </c>
      <c r="J375" s="35" t="s">
        <v>2791</v>
      </c>
      <c r="K375" s="63" t="n">
        <v>46</v>
      </c>
      <c r="L375" s="63" t="n">
        <f aca="false">G375+I375+K375</f>
        <v>120</v>
      </c>
      <c r="M375" s="64" t="n">
        <f aca="false">L375/300*100</f>
        <v>40</v>
      </c>
      <c r="N375" s="34" t="str">
        <f aca="false">IF(M375&gt;=90,"A+",IF(M375&gt;=80,"A",IF(M375&gt;=70,"B+",IF(M375&gt;=60,"B",IF(M375&gt;=50,"C","F")))))</f>
        <v>F</v>
      </c>
      <c r="O375" s="65" t="n">
        <f aca="false">IF(M375&gt;=90,4,IF(M375&gt;=80,3.7,IF(M375&gt;=70,3.3,IF(M375&gt;=60,3,IF(M375&gt;=50,2,0)))))</f>
        <v>0</v>
      </c>
      <c r="P375" s="38" t="n">
        <v>0.89</v>
      </c>
      <c r="Q375" s="66" t="n">
        <v>87.7</v>
      </c>
      <c r="R375" s="66" t="n">
        <v>72.7</v>
      </c>
      <c r="S375" s="34" t="str">
        <f aca="false">IF(M375&gt;=40,"Pass","Fail")</f>
        <v>Pass</v>
      </c>
      <c r="T375" s="34" t="str">
        <f aca="false">IF(M375&gt;=80,"Yes","No")</f>
        <v>No</v>
      </c>
    </row>
    <row r="376" customFormat="false" ht="15" hidden="false" customHeight="false" outlineLevel="0" collapsed="false">
      <c r="A376" s="43" t="s">
        <v>3519</v>
      </c>
      <c r="B376" s="44" t="s">
        <v>3520</v>
      </c>
      <c r="C376" s="43" t="s">
        <v>2803</v>
      </c>
      <c r="D376" s="51" t="n">
        <v>4</v>
      </c>
      <c r="E376" s="43" t="s">
        <v>2763</v>
      </c>
      <c r="F376" s="44" t="s">
        <v>2770</v>
      </c>
      <c r="G376" s="67" t="n">
        <v>33</v>
      </c>
      <c r="H376" s="44" t="s">
        <v>2764</v>
      </c>
      <c r="I376" s="67" t="n">
        <v>74</v>
      </c>
      <c r="J376" s="44" t="s">
        <v>2792</v>
      </c>
      <c r="K376" s="67" t="n">
        <v>29</v>
      </c>
      <c r="L376" s="67" t="n">
        <f aca="false">G376+I376+K376</f>
        <v>136</v>
      </c>
      <c r="M376" s="68" t="n">
        <f aca="false">L376/300*100</f>
        <v>45.3333333333333</v>
      </c>
      <c r="N376" s="43" t="str">
        <f aca="false">IF(M376&gt;=90,"A+",IF(M376&gt;=80,"A",IF(M376&gt;=70,"B+",IF(M376&gt;=60,"B",IF(M376&gt;=50,"C","F")))))</f>
        <v>F</v>
      </c>
      <c r="O376" s="69" t="n">
        <f aca="false">IF(M376&gt;=90,4,IF(M376&gt;=80,3.7,IF(M376&gt;=70,3.3,IF(M376&gt;=60,3,IF(M376&gt;=50,2,0)))))</f>
        <v>0</v>
      </c>
      <c r="P376" s="47" t="n">
        <v>0.719</v>
      </c>
      <c r="Q376" s="70" t="n">
        <v>85.4</v>
      </c>
      <c r="R376" s="70" t="n">
        <v>49.7</v>
      </c>
      <c r="S376" s="43" t="str">
        <f aca="false">IF(M376&gt;=40,"Pass","Fail")</f>
        <v>Pass</v>
      </c>
      <c r="T376" s="43" t="str">
        <f aca="false">IF(M376&gt;=80,"Yes","No")</f>
        <v>No</v>
      </c>
    </row>
    <row r="377" customFormat="false" ht="15" hidden="false" customHeight="false" outlineLevel="0" collapsed="false">
      <c r="A377" s="34" t="s">
        <v>3521</v>
      </c>
      <c r="B377" s="35" t="s">
        <v>3522</v>
      </c>
      <c r="C377" s="34" t="s">
        <v>2769</v>
      </c>
      <c r="D377" s="42" t="n">
        <v>2</v>
      </c>
      <c r="E377" s="34" t="s">
        <v>2774</v>
      </c>
      <c r="F377" s="35" t="s">
        <v>2765</v>
      </c>
      <c r="G377" s="63" t="n">
        <v>24</v>
      </c>
      <c r="H377" s="35" t="s">
        <v>2770</v>
      </c>
      <c r="I377" s="63" t="n">
        <v>74</v>
      </c>
      <c r="J377" s="35" t="s">
        <v>2792</v>
      </c>
      <c r="K377" s="63" t="n">
        <v>83</v>
      </c>
      <c r="L377" s="63" t="n">
        <f aca="false">G377+I377+K377</f>
        <v>181</v>
      </c>
      <c r="M377" s="64" t="n">
        <f aca="false">L377/300*100</f>
        <v>60.3333333333333</v>
      </c>
      <c r="N377" s="34" t="str">
        <f aca="false">IF(M377&gt;=90,"A+",IF(M377&gt;=80,"A",IF(M377&gt;=70,"B+",IF(M377&gt;=60,"B",IF(M377&gt;=50,"C","F")))))</f>
        <v>B</v>
      </c>
      <c r="O377" s="65" t="n">
        <f aca="false">IF(M377&gt;=90,4,IF(M377&gt;=80,3.7,IF(M377&gt;=70,3.3,IF(M377&gt;=60,3,IF(M377&gt;=50,2,0)))))</f>
        <v>3</v>
      </c>
      <c r="P377" s="38" t="n">
        <v>0.627</v>
      </c>
      <c r="Q377" s="66" t="n">
        <v>88.2</v>
      </c>
      <c r="R377" s="66" t="n">
        <v>69.2</v>
      </c>
      <c r="S377" s="34" t="str">
        <f aca="false">IF(M377&gt;=40,"Pass","Fail")</f>
        <v>Pass</v>
      </c>
      <c r="T377" s="34" t="str">
        <f aca="false">IF(M377&gt;=80,"Yes","No")</f>
        <v>No</v>
      </c>
    </row>
    <row r="378" customFormat="false" ht="15" hidden="false" customHeight="false" outlineLevel="0" collapsed="false">
      <c r="A378" s="43" t="s">
        <v>3523</v>
      </c>
      <c r="B378" s="44" t="s">
        <v>3524</v>
      </c>
      <c r="C378" s="43" t="s">
        <v>2769</v>
      </c>
      <c r="D378" s="51" t="n">
        <v>7</v>
      </c>
      <c r="E378" s="43" t="s">
        <v>2763</v>
      </c>
      <c r="F378" s="44" t="s">
        <v>2775</v>
      </c>
      <c r="G378" s="67" t="n">
        <v>75</v>
      </c>
      <c r="H378" s="44" t="s">
        <v>2771</v>
      </c>
      <c r="I378" s="67" t="n">
        <v>57</v>
      </c>
      <c r="J378" s="44" t="s">
        <v>2792</v>
      </c>
      <c r="K378" s="67" t="n">
        <v>54</v>
      </c>
      <c r="L378" s="67" t="n">
        <f aca="false">G378+I378+K378</f>
        <v>186</v>
      </c>
      <c r="M378" s="68" t="n">
        <f aca="false">L378/300*100</f>
        <v>62</v>
      </c>
      <c r="N378" s="43" t="str">
        <f aca="false">IF(M378&gt;=90,"A+",IF(M378&gt;=80,"A",IF(M378&gt;=70,"B+",IF(M378&gt;=60,"B",IF(M378&gt;=50,"C","F")))))</f>
        <v>B</v>
      </c>
      <c r="O378" s="69" t="n">
        <f aca="false">IF(M378&gt;=90,4,IF(M378&gt;=80,3.7,IF(M378&gt;=70,3.3,IF(M378&gt;=60,3,IF(M378&gt;=50,2,0)))))</f>
        <v>3</v>
      </c>
      <c r="P378" s="47" t="n">
        <v>0.785</v>
      </c>
      <c r="Q378" s="70" t="n">
        <v>76.9</v>
      </c>
      <c r="R378" s="70" t="n">
        <v>62.3</v>
      </c>
      <c r="S378" s="43" t="str">
        <f aca="false">IF(M378&gt;=40,"Pass","Fail")</f>
        <v>Pass</v>
      </c>
      <c r="T378" s="43" t="str">
        <f aca="false">IF(M378&gt;=80,"Yes","No")</f>
        <v>No</v>
      </c>
    </row>
    <row r="379" customFormat="false" ht="15" hidden="false" customHeight="false" outlineLevel="0" collapsed="false">
      <c r="A379" s="34" t="s">
        <v>3525</v>
      </c>
      <c r="B379" s="35" t="s">
        <v>3526</v>
      </c>
      <c r="C379" s="34" t="s">
        <v>2769</v>
      </c>
      <c r="D379" s="42" t="n">
        <v>3</v>
      </c>
      <c r="E379" s="34" t="s">
        <v>2774</v>
      </c>
      <c r="F379" s="35" t="s">
        <v>2771</v>
      </c>
      <c r="G379" s="63" t="n">
        <v>98</v>
      </c>
      <c r="H379" s="35" t="s">
        <v>2766</v>
      </c>
      <c r="I379" s="63" t="n">
        <v>67</v>
      </c>
      <c r="J379" s="35" t="s">
        <v>2765</v>
      </c>
      <c r="K379" s="63" t="n">
        <v>86</v>
      </c>
      <c r="L379" s="63" t="n">
        <f aca="false">G379+I379+K379</f>
        <v>251</v>
      </c>
      <c r="M379" s="64" t="n">
        <f aca="false">L379/300*100</f>
        <v>83.6666666666667</v>
      </c>
      <c r="N379" s="34" t="str">
        <f aca="false">IF(M379&gt;=90,"A+",IF(M379&gt;=80,"A",IF(M379&gt;=70,"B+",IF(M379&gt;=60,"B",IF(M379&gt;=50,"C","F")))))</f>
        <v>A</v>
      </c>
      <c r="O379" s="65" t="n">
        <f aca="false">IF(M379&gt;=90,4,IF(M379&gt;=80,3.7,IF(M379&gt;=70,3.3,IF(M379&gt;=60,3,IF(M379&gt;=50,2,0)))))</f>
        <v>3.7</v>
      </c>
      <c r="P379" s="38" t="n">
        <v>0.822</v>
      </c>
      <c r="Q379" s="66" t="n">
        <v>68.3</v>
      </c>
      <c r="R379" s="66" t="n">
        <v>52.6</v>
      </c>
      <c r="S379" s="34" t="str">
        <f aca="false">IF(M379&gt;=40,"Pass","Fail")</f>
        <v>Pass</v>
      </c>
      <c r="T379" s="34" t="str">
        <f aca="false">IF(M379&gt;=80,"Yes","No")</f>
        <v>Yes</v>
      </c>
    </row>
    <row r="380" customFormat="false" ht="15" hidden="false" customHeight="false" outlineLevel="0" collapsed="false">
      <c r="A380" s="43" t="s">
        <v>3527</v>
      </c>
      <c r="B380" s="44" t="s">
        <v>3528</v>
      </c>
      <c r="C380" s="43" t="s">
        <v>2803</v>
      </c>
      <c r="D380" s="51" t="n">
        <v>3</v>
      </c>
      <c r="E380" s="43" t="s">
        <v>2774</v>
      </c>
      <c r="F380" s="44" t="s">
        <v>2766</v>
      </c>
      <c r="G380" s="67" t="n">
        <v>60</v>
      </c>
      <c r="H380" s="44" t="s">
        <v>2770</v>
      </c>
      <c r="I380" s="67" t="n">
        <v>73</v>
      </c>
      <c r="J380" s="44" t="s">
        <v>2775</v>
      </c>
      <c r="K380" s="67" t="n">
        <v>42</v>
      </c>
      <c r="L380" s="67" t="n">
        <f aca="false">G380+I380+K380</f>
        <v>175</v>
      </c>
      <c r="M380" s="68" t="n">
        <f aca="false">L380/300*100</f>
        <v>58.3333333333333</v>
      </c>
      <c r="N380" s="43" t="str">
        <f aca="false">IF(M380&gt;=90,"A+",IF(M380&gt;=80,"A",IF(M380&gt;=70,"B+",IF(M380&gt;=60,"B",IF(M380&gt;=50,"C","F")))))</f>
        <v>C</v>
      </c>
      <c r="O380" s="69" t="n">
        <f aca="false">IF(M380&gt;=90,4,IF(M380&gt;=80,3.7,IF(M380&gt;=70,3.3,IF(M380&gt;=60,3,IF(M380&gt;=50,2,0)))))</f>
        <v>2</v>
      </c>
      <c r="P380" s="47" t="n">
        <v>0.618</v>
      </c>
      <c r="Q380" s="70" t="n">
        <v>44</v>
      </c>
      <c r="R380" s="70" t="n">
        <v>98.6</v>
      </c>
      <c r="S380" s="43" t="str">
        <f aca="false">IF(M380&gt;=40,"Pass","Fail")</f>
        <v>Pass</v>
      </c>
      <c r="T380" s="43" t="str">
        <f aca="false">IF(M380&gt;=80,"Yes","No")</f>
        <v>No</v>
      </c>
    </row>
    <row r="381" customFormat="false" ht="15" hidden="false" customHeight="false" outlineLevel="0" collapsed="false">
      <c r="A381" s="34" t="s">
        <v>3529</v>
      </c>
      <c r="B381" s="35" t="s">
        <v>3530</v>
      </c>
      <c r="C381" s="34" t="s">
        <v>2803</v>
      </c>
      <c r="D381" s="42" t="n">
        <v>4</v>
      </c>
      <c r="E381" s="34" t="s">
        <v>2774</v>
      </c>
      <c r="F381" s="35" t="s">
        <v>2792</v>
      </c>
      <c r="G381" s="63" t="n">
        <v>62</v>
      </c>
      <c r="H381" s="35" t="s">
        <v>2766</v>
      </c>
      <c r="I381" s="63" t="n">
        <v>32</v>
      </c>
      <c r="J381" s="35" t="s">
        <v>2770</v>
      </c>
      <c r="K381" s="63" t="n">
        <v>27</v>
      </c>
      <c r="L381" s="63" t="n">
        <f aca="false">G381+I381+K381</f>
        <v>121</v>
      </c>
      <c r="M381" s="64" t="n">
        <f aca="false">L381/300*100</f>
        <v>40.3333333333333</v>
      </c>
      <c r="N381" s="34" t="str">
        <f aca="false">IF(M381&gt;=90,"A+",IF(M381&gt;=80,"A",IF(M381&gt;=70,"B+",IF(M381&gt;=60,"B",IF(M381&gt;=50,"C","F")))))</f>
        <v>F</v>
      </c>
      <c r="O381" s="65" t="n">
        <f aca="false">IF(M381&gt;=90,4,IF(M381&gt;=80,3.7,IF(M381&gt;=70,3.3,IF(M381&gt;=60,3,IF(M381&gt;=50,2,0)))))</f>
        <v>0</v>
      </c>
      <c r="P381" s="38" t="n">
        <v>0.831</v>
      </c>
      <c r="Q381" s="66" t="n">
        <v>75.7</v>
      </c>
      <c r="R381" s="66" t="n">
        <v>44</v>
      </c>
      <c r="S381" s="34" t="str">
        <f aca="false">IF(M381&gt;=40,"Pass","Fail")</f>
        <v>Pass</v>
      </c>
      <c r="T381" s="34" t="str">
        <f aca="false">IF(M381&gt;=80,"Yes","No")</f>
        <v>No</v>
      </c>
    </row>
    <row r="382" customFormat="false" ht="15" hidden="false" customHeight="false" outlineLevel="0" collapsed="false">
      <c r="A382" s="43" t="s">
        <v>3531</v>
      </c>
      <c r="B382" s="44" t="s">
        <v>3532</v>
      </c>
      <c r="C382" s="43" t="s">
        <v>2769</v>
      </c>
      <c r="D382" s="51" t="n">
        <v>4</v>
      </c>
      <c r="E382" s="43" t="s">
        <v>2763</v>
      </c>
      <c r="F382" s="44" t="s">
        <v>2775</v>
      </c>
      <c r="G382" s="67" t="n">
        <v>56</v>
      </c>
      <c r="H382" s="44" t="s">
        <v>2765</v>
      </c>
      <c r="I382" s="67" t="n">
        <v>74</v>
      </c>
      <c r="J382" s="44" t="s">
        <v>2771</v>
      </c>
      <c r="K382" s="67" t="n">
        <v>94</v>
      </c>
      <c r="L382" s="67" t="n">
        <f aca="false">G382+I382+K382</f>
        <v>224</v>
      </c>
      <c r="M382" s="68" t="n">
        <f aca="false">L382/300*100</f>
        <v>74.6666666666667</v>
      </c>
      <c r="N382" s="43" t="str">
        <f aca="false">IF(M382&gt;=90,"A+",IF(M382&gt;=80,"A",IF(M382&gt;=70,"B+",IF(M382&gt;=60,"B",IF(M382&gt;=50,"C","F")))))</f>
        <v>B+</v>
      </c>
      <c r="O382" s="69" t="n">
        <f aca="false">IF(M382&gt;=90,4,IF(M382&gt;=80,3.7,IF(M382&gt;=70,3.3,IF(M382&gt;=60,3,IF(M382&gt;=50,2,0)))))</f>
        <v>3.3</v>
      </c>
      <c r="P382" s="47" t="n">
        <v>0.878</v>
      </c>
      <c r="Q382" s="70" t="n">
        <v>62</v>
      </c>
      <c r="R382" s="70" t="n">
        <v>86</v>
      </c>
      <c r="S382" s="43" t="str">
        <f aca="false">IF(M382&gt;=40,"Pass","Fail")</f>
        <v>Pass</v>
      </c>
      <c r="T382" s="43" t="str">
        <f aca="false">IF(M382&gt;=80,"Yes","No")</f>
        <v>No</v>
      </c>
    </row>
    <row r="383" customFormat="false" ht="15" hidden="false" customHeight="false" outlineLevel="0" collapsed="false">
      <c r="A383" s="34" t="s">
        <v>3533</v>
      </c>
      <c r="B383" s="35" t="s">
        <v>3534</v>
      </c>
      <c r="C383" s="34" t="s">
        <v>2803</v>
      </c>
      <c r="D383" s="42" t="n">
        <v>4</v>
      </c>
      <c r="E383" s="34" t="s">
        <v>2774</v>
      </c>
      <c r="F383" s="35" t="s">
        <v>2764</v>
      </c>
      <c r="G383" s="63" t="n">
        <v>47</v>
      </c>
      <c r="H383" s="35" t="s">
        <v>2783</v>
      </c>
      <c r="I383" s="63" t="n">
        <v>55</v>
      </c>
      <c r="J383" s="35" t="s">
        <v>2792</v>
      </c>
      <c r="K383" s="63" t="n">
        <v>42</v>
      </c>
      <c r="L383" s="63" t="n">
        <f aca="false">G383+I383+K383</f>
        <v>144</v>
      </c>
      <c r="M383" s="64" t="n">
        <f aca="false">L383/300*100</f>
        <v>48</v>
      </c>
      <c r="N383" s="34" t="str">
        <f aca="false">IF(M383&gt;=90,"A+",IF(M383&gt;=80,"A",IF(M383&gt;=70,"B+",IF(M383&gt;=60,"B",IF(M383&gt;=50,"C","F")))))</f>
        <v>F</v>
      </c>
      <c r="O383" s="65" t="n">
        <f aca="false">IF(M383&gt;=90,4,IF(M383&gt;=80,3.7,IF(M383&gt;=70,3.3,IF(M383&gt;=60,3,IF(M383&gt;=50,2,0)))))</f>
        <v>0</v>
      </c>
      <c r="P383" s="38" t="n">
        <v>0.668</v>
      </c>
      <c r="Q383" s="66" t="n">
        <v>46.1</v>
      </c>
      <c r="R383" s="66" t="n">
        <v>87.8</v>
      </c>
      <c r="S383" s="34" t="str">
        <f aca="false">IF(M383&gt;=40,"Pass","Fail")</f>
        <v>Pass</v>
      </c>
      <c r="T383" s="34" t="str">
        <f aca="false">IF(M383&gt;=80,"Yes","No")</f>
        <v>No</v>
      </c>
    </row>
    <row r="384" customFormat="false" ht="15" hidden="false" customHeight="false" outlineLevel="0" collapsed="false">
      <c r="A384" s="43" t="s">
        <v>3535</v>
      </c>
      <c r="B384" s="44" t="s">
        <v>3536</v>
      </c>
      <c r="C384" s="43" t="s">
        <v>2806</v>
      </c>
      <c r="D384" s="51" t="n">
        <v>7</v>
      </c>
      <c r="E384" s="43" t="s">
        <v>2763</v>
      </c>
      <c r="F384" s="44" t="s">
        <v>2764</v>
      </c>
      <c r="G384" s="67" t="n">
        <v>46</v>
      </c>
      <c r="H384" s="44" t="s">
        <v>2771</v>
      </c>
      <c r="I384" s="67" t="n">
        <v>41</v>
      </c>
      <c r="J384" s="44" t="s">
        <v>2770</v>
      </c>
      <c r="K384" s="67" t="n">
        <v>20</v>
      </c>
      <c r="L384" s="67" t="n">
        <f aca="false">G384+I384+K384</f>
        <v>107</v>
      </c>
      <c r="M384" s="68" t="n">
        <f aca="false">L384/300*100</f>
        <v>35.6666666666667</v>
      </c>
      <c r="N384" s="43" t="str">
        <f aca="false">IF(M384&gt;=90,"A+",IF(M384&gt;=80,"A",IF(M384&gt;=70,"B+",IF(M384&gt;=60,"B",IF(M384&gt;=50,"C","F")))))</f>
        <v>F</v>
      </c>
      <c r="O384" s="69" t="n">
        <f aca="false">IF(M384&gt;=90,4,IF(M384&gt;=80,3.7,IF(M384&gt;=70,3.3,IF(M384&gt;=60,3,IF(M384&gt;=50,2,0)))))</f>
        <v>0</v>
      </c>
      <c r="P384" s="47" t="n">
        <v>0.903</v>
      </c>
      <c r="Q384" s="70" t="n">
        <v>99.3</v>
      </c>
      <c r="R384" s="70" t="n">
        <v>45.5</v>
      </c>
      <c r="S384" s="43" t="str">
        <f aca="false">IF(M384&gt;=40,"Pass","Fail")</f>
        <v>Fail</v>
      </c>
      <c r="T384" s="43" t="str">
        <f aca="false">IF(M384&gt;=80,"Yes","No")</f>
        <v>No</v>
      </c>
    </row>
    <row r="385" customFormat="false" ht="15" hidden="false" customHeight="false" outlineLevel="0" collapsed="false">
      <c r="A385" s="34" t="s">
        <v>3537</v>
      </c>
      <c r="B385" s="35" t="s">
        <v>3538</v>
      </c>
      <c r="C385" s="34" t="s">
        <v>2786</v>
      </c>
      <c r="D385" s="42" t="n">
        <v>3</v>
      </c>
      <c r="E385" s="34" t="s">
        <v>2774</v>
      </c>
      <c r="F385" s="35" t="s">
        <v>2783</v>
      </c>
      <c r="G385" s="63" t="n">
        <v>61</v>
      </c>
      <c r="H385" s="35" t="s">
        <v>2770</v>
      </c>
      <c r="I385" s="63" t="n">
        <v>29</v>
      </c>
      <c r="J385" s="35" t="s">
        <v>2775</v>
      </c>
      <c r="K385" s="63" t="n">
        <v>26</v>
      </c>
      <c r="L385" s="63" t="n">
        <f aca="false">G385+I385+K385</f>
        <v>116</v>
      </c>
      <c r="M385" s="64" t="n">
        <f aca="false">L385/300*100</f>
        <v>38.6666666666667</v>
      </c>
      <c r="N385" s="34" t="str">
        <f aca="false">IF(M385&gt;=90,"A+",IF(M385&gt;=80,"A",IF(M385&gt;=70,"B+",IF(M385&gt;=60,"B",IF(M385&gt;=50,"C","F")))))</f>
        <v>F</v>
      </c>
      <c r="O385" s="65" t="n">
        <f aca="false">IF(M385&gt;=90,4,IF(M385&gt;=80,3.7,IF(M385&gt;=70,3.3,IF(M385&gt;=60,3,IF(M385&gt;=50,2,0)))))</f>
        <v>0</v>
      </c>
      <c r="P385" s="38" t="n">
        <v>0.612</v>
      </c>
      <c r="Q385" s="66" t="n">
        <v>88.4</v>
      </c>
      <c r="R385" s="66" t="n">
        <v>65.5</v>
      </c>
      <c r="S385" s="34" t="str">
        <f aca="false">IF(M385&gt;=40,"Pass","Fail")</f>
        <v>Fail</v>
      </c>
      <c r="T385" s="34" t="str">
        <f aca="false">IF(M385&gt;=80,"Yes","No")</f>
        <v>No</v>
      </c>
    </row>
    <row r="386" customFormat="false" ht="15" hidden="false" customHeight="false" outlineLevel="0" collapsed="false">
      <c r="A386" s="43" t="s">
        <v>3539</v>
      </c>
      <c r="B386" s="44" t="s">
        <v>3540</v>
      </c>
      <c r="C386" s="43" t="s">
        <v>2762</v>
      </c>
      <c r="D386" s="51" t="n">
        <v>6</v>
      </c>
      <c r="E386" s="43" t="s">
        <v>2763</v>
      </c>
      <c r="F386" s="44" t="s">
        <v>2766</v>
      </c>
      <c r="G386" s="67" t="n">
        <v>91</v>
      </c>
      <c r="H386" s="44" t="s">
        <v>2792</v>
      </c>
      <c r="I386" s="67" t="n">
        <v>70</v>
      </c>
      <c r="J386" s="44" t="s">
        <v>2765</v>
      </c>
      <c r="K386" s="67" t="n">
        <v>68</v>
      </c>
      <c r="L386" s="67" t="n">
        <f aca="false">G386+I386+K386</f>
        <v>229</v>
      </c>
      <c r="M386" s="68" t="n">
        <f aca="false">L386/300*100</f>
        <v>76.3333333333333</v>
      </c>
      <c r="N386" s="43" t="str">
        <f aca="false">IF(M386&gt;=90,"A+",IF(M386&gt;=80,"A",IF(M386&gt;=70,"B+",IF(M386&gt;=60,"B",IF(M386&gt;=50,"C","F")))))</f>
        <v>B+</v>
      </c>
      <c r="O386" s="69" t="n">
        <f aca="false">IF(M386&gt;=90,4,IF(M386&gt;=80,3.7,IF(M386&gt;=70,3.3,IF(M386&gt;=60,3,IF(M386&gt;=50,2,0)))))</f>
        <v>3.3</v>
      </c>
      <c r="P386" s="47" t="n">
        <v>0.898</v>
      </c>
      <c r="Q386" s="70" t="n">
        <v>82.4</v>
      </c>
      <c r="R386" s="70" t="n">
        <v>61.3</v>
      </c>
      <c r="S386" s="43" t="str">
        <f aca="false">IF(M386&gt;=40,"Pass","Fail")</f>
        <v>Pass</v>
      </c>
      <c r="T386" s="43" t="str">
        <f aca="false">IF(M386&gt;=80,"Yes","No")</f>
        <v>No</v>
      </c>
    </row>
    <row r="387" customFormat="false" ht="15" hidden="false" customHeight="false" outlineLevel="0" collapsed="false">
      <c r="A387" s="34" t="s">
        <v>3541</v>
      </c>
      <c r="B387" s="35" t="s">
        <v>3542</v>
      </c>
      <c r="C387" s="34" t="s">
        <v>2786</v>
      </c>
      <c r="D387" s="42" t="n">
        <v>6</v>
      </c>
      <c r="E387" s="34" t="s">
        <v>2782</v>
      </c>
      <c r="F387" s="35" t="s">
        <v>2792</v>
      </c>
      <c r="G387" s="63" t="n">
        <v>55</v>
      </c>
      <c r="H387" s="35" t="s">
        <v>2765</v>
      </c>
      <c r="I387" s="63" t="n">
        <v>38</v>
      </c>
      <c r="J387" s="35" t="s">
        <v>2783</v>
      </c>
      <c r="K387" s="63" t="n">
        <v>75</v>
      </c>
      <c r="L387" s="63" t="n">
        <f aca="false">G387+I387+K387</f>
        <v>168</v>
      </c>
      <c r="M387" s="64" t="n">
        <f aca="false">L387/300*100</f>
        <v>56</v>
      </c>
      <c r="N387" s="34" t="str">
        <f aca="false">IF(M387&gt;=90,"A+",IF(M387&gt;=80,"A",IF(M387&gt;=70,"B+",IF(M387&gt;=60,"B",IF(M387&gt;=50,"C","F")))))</f>
        <v>C</v>
      </c>
      <c r="O387" s="65" t="n">
        <f aca="false">IF(M387&gt;=90,4,IF(M387&gt;=80,3.7,IF(M387&gt;=70,3.3,IF(M387&gt;=60,3,IF(M387&gt;=50,2,0)))))</f>
        <v>2</v>
      </c>
      <c r="P387" s="38" t="n">
        <v>0.802</v>
      </c>
      <c r="Q387" s="66" t="n">
        <v>69.4</v>
      </c>
      <c r="R387" s="66" t="n">
        <v>87.3</v>
      </c>
      <c r="S387" s="34" t="str">
        <f aca="false">IF(M387&gt;=40,"Pass","Fail")</f>
        <v>Pass</v>
      </c>
      <c r="T387" s="34" t="str">
        <f aca="false">IF(M387&gt;=80,"Yes","No")</f>
        <v>No</v>
      </c>
    </row>
    <row r="388" customFormat="false" ht="15" hidden="false" customHeight="false" outlineLevel="0" collapsed="false">
      <c r="A388" s="43" t="s">
        <v>3543</v>
      </c>
      <c r="B388" s="44" t="s">
        <v>3544</v>
      </c>
      <c r="C388" s="43" t="s">
        <v>2769</v>
      </c>
      <c r="D388" s="51" t="n">
        <v>2</v>
      </c>
      <c r="E388" s="43" t="s">
        <v>2782</v>
      </c>
      <c r="F388" s="44" t="s">
        <v>2791</v>
      </c>
      <c r="G388" s="67" t="n">
        <v>23</v>
      </c>
      <c r="H388" s="44" t="s">
        <v>2778</v>
      </c>
      <c r="I388" s="67" t="n">
        <v>66</v>
      </c>
      <c r="J388" s="44" t="s">
        <v>2783</v>
      </c>
      <c r="K388" s="67" t="n">
        <v>79</v>
      </c>
      <c r="L388" s="67" t="n">
        <f aca="false">G388+I388+K388</f>
        <v>168</v>
      </c>
      <c r="M388" s="68" t="n">
        <f aca="false">L388/300*100</f>
        <v>56</v>
      </c>
      <c r="N388" s="43" t="str">
        <f aca="false">IF(M388&gt;=90,"A+",IF(M388&gt;=80,"A",IF(M388&gt;=70,"B+",IF(M388&gt;=60,"B",IF(M388&gt;=50,"C","F")))))</f>
        <v>C</v>
      </c>
      <c r="O388" s="69" t="n">
        <f aca="false">IF(M388&gt;=90,4,IF(M388&gt;=80,3.7,IF(M388&gt;=70,3.3,IF(M388&gt;=60,3,IF(M388&gt;=50,2,0)))))</f>
        <v>2</v>
      </c>
      <c r="P388" s="47" t="n">
        <v>0.897</v>
      </c>
      <c r="Q388" s="70" t="n">
        <v>60.8</v>
      </c>
      <c r="R388" s="70" t="n">
        <v>65.4</v>
      </c>
      <c r="S388" s="43" t="str">
        <f aca="false">IF(M388&gt;=40,"Pass","Fail")</f>
        <v>Pass</v>
      </c>
      <c r="T388" s="43" t="str">
        <f aca="false">IF(M388&gt;=80,"Yes","No")</f>
        <v>No</v>
      </c>
    </row>
    <row r="389" customFormat="false" ht="15" hidden="false" customHeight="false" outlineLevel="0" collapsed="false">
      <c r="A389" s="34" t="s">
        <v>3545</v>
      </c>
      <c r="B389" s="35" t="s">
        <v>3546</v>
      </c>
      <c r="C389" s="34" t="s">
        <v>2806</v>
      </c>
      <c r="D389" s="42" t="n">
        <v>4</v>
      </c>
      <c r="E389" s="34" t="s">
        <v>2763</v>
      </c>
      <c r="F389" s="35" t="s">
        <v>2778</v>
      </c>
      <c r="G389" s="63" t="n">
        <v>45</v>
      </c>
      <c r="H389" s="35" t="s">
        <v>2783</v>
      </c>
      <c r="I389" s="63" t="n">
        <v>76</v>
      </c>
      <c r="J389" s="35" t="s">
        <v>2775</v>
      </c>
      <c r="K389" s="63" t="n">
        <v>66</v>
      </c>
      <c r="L389" s="63" t="n">
        <f aca="false">G389+I389+K389</f>
        <v>187</v>
      </c>
      <c r="M389" s="64" t="n">
        <f aca="false">L389/300*100</f>
        <v>62.3333333333333</v>
      </c>
      <c r="N389" s="34" t="str">
        <f aca="false">IF(M389&gt;=90,"A+",IF(M389&gt;=80,"A",IF(M389&gt;=70,"B+",IF(M389&gt;=60,"B",IF(M389&gt;=50,"C","F")))))</f>
        <v>B</v>
      </c>
      <c r="O389" s="65" t="n">
        <f aca="false">IF(M389&gt;=90,4,IF(M389&gt;=80,3.7,IF(M389&gt;=70,3.3,IF(M389&gt;=60,3,IF(M389&gt;=50,2,0)))))</f>
        <v>3</v>
      </c>
      <c r="P389" s="38" t="n">
        <v>0.787</v>
      </c>
      <c r="Q389" s="66" t="n">
        <v>40.3</v>
      </c>
      <c r="R389" s="66" t="n">
        <v>58.6</v>
      </c>
      <c r="S389" s="34" t="str">
        <f aca="false">IF(M389&gt;=40,"Pass","Fail")</f>
        <v>Pass</v>
      </c>
      <c r="T389" s="34" t="str">
        <f aca="false">IF(M389&gt;=80,"Yes","No")</f>
        <v>No</v>
      </c>
    </row>
    <row r="390" customFormat="false" ht="15" hidden="false" customHeight="false" outlineLevel="0" collapsed="false">
      <c r="A390" s="43" t="s">
        <v>3547</v>
      </c>
      <c r="B390" s="44" t="s">
        <v>3548</v>
      </c>
      <c r="C390" s="43" t="s">
        <v>2851</v>
      </c>
      <c r="D390" s="51" t="n">
        <v>6</v>
      </c>
      <c r="E390" s="43" t="s">
        <v>2763</v>
      </c>
      <c r="F390" s="44" t="s">
        <v>2766</v>
      </c>
      <c r="G390" s="67" t="n">
        <v>24</v>
      </c>
      <c r="H390" s="44" t="s">
        <v>2775</v>
      </c>
      <c r="I390" s="67" t="n">
        <v>55</v>
      </c>
      <c r="J390" s="44" t="s">
        <v>2771</v>
      </c>
      <c r="K390" s="67" t="n">
        <v>81</v>
      </c>
      <c r="L390" s="67" t="n">
        <f aca="false">G390+I390+K390</f>
        <v>160</v>
      </c>
      <c r="M390" s="68" t="n">
        <f aca="false">L390/300*100</f>
        <v>53.3333333333333</v>
      </c>
      <c r="N390" s="43" t="str">
        <f aca="false">IF(M390&gt;=90,"A+",IF(M390&gt;=80,"A",IF(M390&gt;=70,"B+",IF(M390&gt;=60,"B",IF(M390&gt;=50,"C","F")))))</f>
        <v>C</v>
      </c>
      <c r="O390" s="69" t="n">
        <f aca="false">IF(M390&gt;=90,4,IF(M390&gt;=80,3.7,IF(M390&gt;=70,3.3,IF(M390&gt;=60,3,IF(M390&gt;=50,2,0)))))</f>
        <v>2</v>
      </c>
      <c r="P390" s="47" t="n">
        <v>0.729</v>
      </c>
      <c r="Q390" s="70" t="n">
        <v>99.7</v>
      </c>
      <c r="R390" s="70" t="n">
        <v>82.3</v>
      </c>
      <c r="S390" s="43" t="str">
        <f aca="false">IF(M390&gt;=40,"Pass","Fail")</f>
        <v>Pass</v>
      </c>
      <c r="T390" s="43" t="str">
        <f aca="false">IF(M390&gt;=80,"Yes","No")</f>
        <v>No</v>
      </c>
    </row>
    <row r="391" customFormat="false" ht="15" hidden="false" customHeight="false" outlineLevel="0" collapsed="false">
      <c r="A391" s="34" t="s">
        <v>3549</v>
      </c>
      <c r="B391" s="35" t="s">
        <v>3550</v>
      </c>
      <c r="C391" s="34" t="s">
        <v>2803</v>
      </c>
      <c r="D391" s="42" t="n">
        <v>1</v>
      </c>
      <c r="E391" s="34" t="s">
        <v>2782</v>
      </c>
      <c r="F391" s="35" t="s">
        <v>2775</v>
      </c>
      <c r="G391" s="63" t="n">
        <v>82</v>
      </c>
      <c r="H391" s="35" t="s">
        <v>2770</v>
      </c>
      <c r="I391" s="63" t="n">
        <v>42</v>
      </c>
      <c r="J391" s="35" t="s">
        <v>2766</v>
      </c>
      <c r="K391" s="63" t="n">
        <v>80</v>
      </c>
      <c r="L391" s="63" t="n">
        <f aca="false">G391+I391+K391</f>
        <v>204</v>
      </c>
      <c r="M391" s="64" t="n">
        <f aca="false">L391/300*100</f>
        <v>68</v>
      </c>
      <c r="N391" s="34" t="str">
        <f aca="false">IF(M391&gt;=90,"A+",IF(M391&gt;=80,"A",IF(M391&gt;=70,"B+",IF(M391&gt;=60,"B",IF(M391&gt;=50,"C","F")))))</f>
        <v>B</v>
      </c>
      <c r="O391" s="65" t="n">
        <f aca="false">IF(M391&gt;=90,4,IF(M391&gt;=80,3.7,IF(M391&gt;=70,3.3,IF(M391&gt;=60,3,IF(M391&gt;=50,2,0)))))</f>
        <v>3</v>
      </c>
      <c r="P391" s="38" t="n">
        <v>0.887</v>
      </c>
      <c r="Q391" s="66" t="n">
        <v>78.9</v>
      </c>
      <c r="R391" s="66" t="n">
        <v>72.7</v>
      </c>
      <c r="S391" s="34" t="str">
        <f aca="false">IF(M391&gt;=40,"Pass","Fail")</f>
        <v>Pass</v>
      </c>
      <c r="T391" s="34" t="str">
        <f aca="false">IF(M391&gt;=80,"Yes","No")</f>
        <v>No</v>
      </c>
    </row>
    <row r="392" customFormat="false" ht="15" hidden="false" customHeight="false" outlineLevel="0" collapsed="false">
      <c r="A392" s="43" t="s">
        <v>3551</v>
      </c>
      <c r="B392" s="44" t="s">
        <v>3552</v>
      </c>
      <c r="C392" s="43" t="s">
        <v>2851</v>
      </c>
      <c r="D392" s="51" t="n">
        <v>1</v>
      </c>
      <c r="E392" s="43" t="s">
        <v>2763</v>
      </c>
      <c r="F392" s="44" t="s">
        <v>2775</v>
      </c>
      <c r="G392" s="67" t="n">
        <v>36</v>
      </c>
      <c r="H392" s="44" t="s">
        <v>2783</v>
      </c>
      <c r="I392" s="67" t="n">
        <v>30</v>
      </c>
      <c r="J392" s="44" t="s">
        <v>2766</v>
      </c>
      <c r="K392" s="67" t="n">
        <v>73</v>
      </c>
      <c r="L392" s="67" t="n">
        <f aca="false">G392+I392+K392</f>
        <v>139</v>
      </c>
      <c r="M392" s="68" t="n">
        <f aca="false">L392/300*100</f>
        <v>46.3333333333333</v>
      </c>
      <c r="N392" s="43" t="str">
        <f aca="false">IF(M392&gt;=90,"A+",IF(M392&gt;=80,"A",IF(M392&gt;=70,"B+",IF(M392&gt;=60,"B",IF(M392&gt;=50,"C","F")))))</f>
        <v>F</v>
      </c>
      <c r="O392" s="69" t="n">
        <f aca="false">IF(M392&gt;=90,4,IF(M392&gt;=80,3.7,IF(M392&gt;=70,3.3,IF(M392&gt;=60,3,IF(M392&gt;=50,2,0)))))</f>
        <v>0</v>
      </c>
      <c r="P392" s="47" t="n">
        <v>0.925</v>
      </c>
      <c r="Q392" s="70" t="n">
        <v>47.2</v>
      </c>
      <c r="R392" s="70" t="n">
        <v>66.6</v>
      </c>
      <c r="S392" s="43" t="str">
        <f aca="false">IF(M392&gt;=40,"Pass","Fail")</f>
        <v>Pass</v>
      </c>
      <c r="T392" s="43" t="str">
        <f aca="false">IF(M392&gt;=80,"Yes","No")</f>
        <v>No</v>
      </c>
    </row>
    <row r="393" customFormat="false" ht="15" hidden="false" customHeight="false" outlineLevel="0" collapsed="false">
      <c r="A393" s="34" t="s">
        <v>3553</v>
      </c>
      <c r="B393" s="35" t="s">
        <v>3554</v>
      </c>
      <c r="C393" s="34" t="s">
        <v>2769</v>
      </c>
      <c r="D393" s="42" t="n">
        <v>1</v>
      </c>
      <c r="E393" s="34" t="s">
        <v>2763</v>
      </c>
      <c r="F393" s="35" t="s">
        <v>2792</v>
      </c>
      <c r="G393" s="63" t="n">
        <v>44</v>
      </c>
      <c r="H393" s="35" t="s">
        <v>2766</v>
      </c>
      <c r="I393" s="63" t="n">
        <v>98</v>
      </c>
      <c r="J393" s="35" t="s">
        <v>2771</v>
      </c>
      <c r="K393" s="63" t="n">
        <v>22</v>
      </c>
      <c r="L393" s="63" t="n">
        <f aca="false">G393+I393+K393</f>
        <v>164</v>
      </c>
      <c r="M393" s="64" t="n">
        <f aca="false">L393/300*100</f>
        <v>54.6666666666667</v>
      </c>
      <c r="N393" s="34" t="str">
        <f aca="false">IF(M393&gt;=90,"A+",IF(M393&gt;=80,"A",IF(M393&gt;=70,"B+",IF(M393&gt;=60,"B",IF(M393&gt;=50,"C","F")))))</f>
        <v>C</v>
      </c>
      <c r="O393" s="65" t="n">
        <f aca="false">IF(M393&gt;=90,4,IF(M393&gt;=80,3.7,IF(M393&gt;=70,3.3,IF(M393&gt;=60,3,IF(M393&gt;=50,2,0)))))</f>
        <v>2</v>
      </c>
      <c r="P393" s="38" t="n">
        <v>0.7</v>
      </c>
      <c r="Q393" s="66" t="n">
        <v>80.3</v>
      </c>
      <c r="R393" s="66" t="n">
        <v>94</v>
      </c>
      <c r="S393" s="34" t="str">
        <f aca="false">IF(M393&gt;=40,"Pass","Fail")</f>
        <v>Pass</v>
      </c>
      <c r="T393" s="34" t="str">
        <f aca="false">IF(M393&gt;=80,"Yes","No")</f>
        <v>No</v>
      </c>
    </row>
    <row r="394" customFormat="false" ht="15" hidden="false" customHeight="false" outlineLevel="0" collapsed="false">
      <c r="A394" s="43" t="s">
        <v>3555</v>
      </c>
      <c r="B394" s="44" t="s">
        <v>2461</v>
      </c>
      <c r="C394" s="43" t="s">
        <v>2769</v>
      </c>
      <c r="D394" s="51" t="n">
        <v>3</v>
      </c>
      <c r="E394" s="43" t="s">
        <v>2782</v>
      </c>
      <c r="F394" s="44" t="s">
        <v>2778</v>
      </c>
      <c r="G394" s="67" t="n">
        <v>71</v>
      </c>
      <c r="H394" s="44" t="s">
        <v>2766</v>
      </c>
      <c r="I394" s="67" t="n">
        <v>73</v>
      </c>
      <c r="J394" s="44" t="s">
        <v>2775</v>
      </c>
      <c r="K394" s="67" t="n">
        <v>27</v>
      </c>
      <c r="L394" s="67" t="n">
        <f aca="false">G394+I394+K394</f>
        <v>171</v>
      </c>
      <c r="M394" s="68" t="n">
        <f aca="false">L394/300*100</f>
        <v>57</v>
      </c>
      <c r="N394" s="43" t="str">
        <f aca="false">IF(M394&gt;=90,"A+",IF(M394&gt;=80,"A",IF(M394&gt;=70,"B+",IF(M394&gt;=60,"B",IF(M394&gt;=50,"C","F")))))</f>
        <v>C</v>
      </c>
      <c r="O394" s="69" t="n">
        <f aca="false">IF(M394&gt;=90,4,IF(M394&gt;=80,3.7,IF(M394&gt;=70,3.3,IF(M394&gt;=60,3,IF(M394&gt;=50,2,0)))))</f>
        <v>2</v>
      </c>
      <c r="P394" s="47" t="n">
        <v>0.579</v>
      </c>
      <c r="Q394" s="70" t="n">
        <v>89.5</v>
      </c>
      <c r="R394" s="70" t="n">
        <v>70.1</v>
      </c>
      <c r="S394" s="43" t="str">
        <f aca="false">IF(M394&gt;=40,"Pass","Fail")</f>
        <v>Pass</v>
      </c>
      <c r="T394" s="43" t="str">
        <f aca="false">IF(M394&gt;=80,"Yes","No")</f>
        <v>No</v>
      </c>
    </row>
    <row r="395" customFormat="false" ht="15" hidden="false" customHeight="false" outlineLevel="0" collapsed="false">
      <c r="A395" s="34" t="s">
        <v>3556</v>
      </c>
      <c r="B395" s="35" t="s">
        <v>3557</v>
      </c>
      <c r="C395" s="34" t="s">
        <v>2769</v>
      </c>
      <c r="D395" s="42" t="n">
        <v>5</v>
      </c>
      <c r="E395" s="34" t="s">
        <v>2774</v>
      </c>
      <c r="F395" s="35" t="s">
        <v>2783</v>
      </c>
      <c r="G395" s="63" t="n">
        <v>55</v>
      </c>
      <c r="H395" s="35" t="s">
        <v>2770</v>
      </c>
      <c r="I395" s="63" t="n">
        <v>97</v>
      </c>
      <c r="J395" s="35" t="s">
        <v>2775</v>
      </c>
      <c r="K395" s="63" t="n">
        <v>45</v>
      </c>
      <c r="L395" s="63" t="n">
        <f aca="false">G395+I395+K395</f>
        <v>197</v>
      </c>
      <c r="M395" s="64" t="n">
        <f aca="false">L395/300*100</f>
        <v>65.6666666666667</v>
      </c>
      <c r="N395" s="34" t="str">
        <f aca="false">IF(M395&gt;=90,"A+",IF(M395&gt;=80,"A",IF(M395&gt;=70,"B+",IF(M395&gt;=60,"B",IF(M395&gt;=50,"C","F")))))</f>
        <v>B</v>
      </c>
      <c r="O395" s="65" t="n">
        <f aca="false">IF(M395&gt;=90,4,IF(M395&gt;=80,3.7,IF(M395&gt;=70,3.3,IF(M395&gt;=60,3,IF(M395&gt;=50,2,0)))))</f>
        <v>3</v>
      </c>
      <c r="P395" s="38" t="n">
        <v>0.86</v>
      </c>
      <c r="Q395" s="66" t="n">
        <v>64.6</v>
      </c>
      <c r="R395" s="66" t="n">
        <v>78.1</v>
      </c>
      <c r="S395" s="34" t="str">
        <f aca="false">IF(M395&gt;=40,"Pass","Fail")</f>
        <v>Pass</v>
      </c>
      <c r="T395" s="34" t="str">
        <f aca="false">IF(M395&gt;=80,"Yes","No")</f>
        <v>No</v>
      </c>
    </row>
    <row r="396" customFormat="false" ht="15" hidden="false" customHeight="false" outlineLevel="0" collapsed="false">
      <c r="A396" s="43" t="s">
        <v>3558</v>
      </c>
      <c r="B396" s="44" t="s">
        <v>1650</v>
      </c>
      <c r="C396" s="43" t="s">
        <v>2786</v>
      </c>
      <c r="D396" s="51" t="n">
        <v>1</v>
      </c>
      <c r="E396" s="43" t="s">
        <v>2763</v>
      </c>
      <c r="F396" s="44" t="s">
        <v>2771</v>
      </c>
      <c r="G396" s="67" t="n">
        <v>35</v>
      </c>
      <c r="H396" s="44" t="s">
        <v>2766</v>
      </c>
      <c r="I396" s="67" t="n">
        <v>63</v>
      </c>
      <c r="J396" s="44" t="s">
        <v>2778</v>
      </c>
      <c r="K396" s="67" t="n">
        <v>79</v>
      </c>
      <c r="L396" s="67" t="n">
        <f aca="false">G396+I396+K396</f>
        <v>177</v>
      </c>
      <c r="M396" s="68" t="n">
        <f aca="false">L396/300*100</f>
        <v>59</v>
      </c>
      <c r="N396" s="43" t="str">
        <f aca="false">IF(M396&gt;=90,"A+",IF(M396&gt;=80,"A",IF(M396&gt;=70,"B+",IF(M396&gt;=60,"B",IF(M396&gt;=50,"C","F")))))</f>
        <v>C</v>
      </c>
      <c r="O396" s="69" t="n">
        <f aca="false">IF(M396&gt;=90,4,IF(M396&gt;=80,3.7,IF(M396&gt;=70,3.3,IF(M396&gt;=60,3,IF(M396&gt;=50,2,0)))))</f>
        <v>2</v>
      </c>
      <c r="P396" s="47" t="n">
        <v>0.806</v>
      </c>
      <c r="Q396" s="70" t="n">
        <v>81.8</v>
      </c>
      <c r="R396" s="70" t="n">
        <v>74</v>
      </c>
      <c r="S396" s="43" t="str">
        <f aca="false">IF(M396&gt;=40,"Pass","Fail")</f>
        <v>Pass</v>
      </c>
      <c r="T396" s="43" t="str">
        <f aca="false">IF(M396&gt;=80,"Yes","No")</f>
        <v>No</v>
      </c>
    </row>
    <row r="397" customFormat="false" ht="15" hidden="false" customHeight="false" outlineLevel="0" collapsed="false">
      <c r="A397" s="34" t="s">
        <v>3559</v>
      </c>
      <c r="B397" s="35" t="s">
        <v>3560</v>
      </c>
      <c r="C397" s="34" t="s">
        <v>2762</v>
      </c>
      <c r="D397" s="42" t="n">
        <v>2</v>
      </c>
      <c r="E397" s="34" t="s">
        <v>2774</v>
      </c>
      <c r="F397" s="35" t="s">
        <v>2792</v>
      </c>
      <c r="G397" s="63" t="n">
        <v>43</v>
      </c>
      <c r="H397" s="35" t="s">
        <v>2783</v>
      </c>
      <c r="I397" s="63" t="n">
        <v>60</v>
      </c>
      <c r="J397" s="35" t="s">
        <v>2764</v>
      </c>
      <c r="K397" s="63" t="n">
        <v>95</v>
      </c>
      <c r="L397" s="63" t="n">
        <f aca="false">G397+I397+K397</f>
        <v>198</v>
      </c>
      <c r="M397" s="64" t="n">
        <f aca="false">L397/300*100</f>
        <v>66</v>
      </c>
      <c r="N397" s="34" t="str">
        <f aca="false">IF(M397&gt;=90,"A+",IF(M397&gt;=80,"A",IF(M397&gt;=70,"B+",IF(M397&gt;=60,"B",IF(M397&gt;=50,"C","F")))))</f>
        <v>B</v>
      </c>
      <c r="O397" s="65" t="n">
        <f aca="false">IF(M397&gt;=90,4,IF(M397&gt;=80,3.7,IF(M397&gt;=70,3.3,IF(M397&gt;=60,3,IF(M397&gt;=50,2,0)))))</f>
        <v>3</v>
      </c>
      <c r="P397" s="38" t="n">
        <v>0.832</v>
      </c>
      <c r="Q397" s="66" t="n">
        <v>41.2</v>
      </c>
      <c r="R397" s="66" t="n">
        <v>50.2</v>
      </c>
      <c r="S397" s="34" t="str">
        <f aca="false">IF(M397&gt;=40,"Pass","Fail")</f>
        <v>Pass</v>
      </c>
      <c r="T397" s="34" t="str">
        <f aca="false">IF(M397&gt;=80,"Yes","No")</f>
        <v>No</v>
      </c>
    </row>
    <row r="398" customFormat="false" ht="15" hidden="false" customHeight="false" outlineLevel="0" collapsed="false">
      <c r="A398" s="43" t="s">
        <v>3561</v>
      </c>
      <c r="B398" s="44" t="s">
        <v>3562</v>
      </c>
      <c r="C398" s="43" t="s">
        <v>2851</v>
      </c>
      <c r="D398" s="51" t="n">
        <v>4</v>
      </c>
      <c r="E398" s="43" t="s">
        <v>2782</v>
      </c>
      <c r="F398" s="44" t="s">
        <v>2778</v>
      </c>
      <c r="G398" s="67" t="n">
        <v>51</v>
      </c>
      <c r="H398" s="44" t="s">
        <v>2770</v>
      </c>
      <c r="I398" s="67" t="n">
        <v>59</v>
      </c>
      <c r="J398" s="44" t="s">
        <v>2792</v>
      </c>
      <c r="K398" s="67" t="n">
        <v>44</v>
      </c>
      <c r="L398" s="67" t="n">
        <f aca="false">G398+I398+K398</f>
        <v>154</v>
      </c>
      <c r="M398" s="68" t="n">
        <f aca="false">L398/300*100</f>
        <v>51.3333333333333</v>
      </c>
      <c r="N398" s="43" t="str">
        <f aca="false">IF(M398&gt;=90,"A+",IF(M398&gt;=80,"A",IF(M398&gt;=70,"B+",IF(M398&gt;=60,"B",IF(M398&gt;=50,"C","F")))))</f>
        <v>C</v>
      </c>
      <c r="O398" s="69" t="n">
        <f aca="false">IF(M398&gt;=90,4,IF(M398&gt;=80,3.7,IF(M398&gt;=70,3.3,IF(M398&gt;=60,3,IF(M398&gt;=50,2,0)))))</f>
        <v>2</v>
      </c>
      <c r="P398" s="47" t="n">
        <v>0.886</v>
      </c>
      <c r="Q398" s="70" t="n">
        <v>84.3</v>
      </c>
      <c r="R398" s="70" t="n">
        <v>58.6</v>
      </c>
      <c r="S398" s="43" t="str">
        <f aca="false">IF(M398&gt;=40,"Pass","Fail")</f>
        <v>Pass</v>
      </c>
      <c r="T398" s="43" t="str">
        <f aca="false">IF(M398&gt;=80,"Yes","No")</f>
        <v>No</v>
      </c>
    </row>
    <row r="399" customFormat="false" ht="15" hidden="false" customHeight="false" outlineLevel="0" collapsed="false">
      <c r="A399" s="34" t="s">
        <v>3563</v>
      </c>
      <c r="B399" s="35" t="s">
        <v>3564</v>
      </c>
      <c r="C399" s="34" t="s">
        <v>2762</v>
      </c>
      <c r="D399" s="42" t="n">
        <v>5</v>
      </c>
      <c r="E399" s="34" t="s">
        <v>2774</v>
      </c>
      <c r="F399" s="35" t="s">
        <v>2771</v>
      </c>
      <c r="G399" s="63" t="n">
        <v>72</v>
      </c>
      <c r="H399" s="35" t="s">
        <v>2783</v>
      </c>
      <c r="I399" s="63" t="n">
        <v>48</v>
      </c>
      <c r="J399" s="35" t="s">
        <v>2778</v>
      </c>
      <c r="K399" s="63" t="n">
        <v>44</v>
      </c>
      <c r="L399" s="63" t="n">
        <f aca="false">G399+I399+K399</f>
        <v>164</v>
      </c>
      <c r="M399" s="64" t="n">
        <f aca="false">L399/300*100</f>
        <v>54.6666666666667</v>
      </c>
      <c r="N399" s="34" t="str">
        <f aca="false">IF(M399&gt;=90,"A+",IF(M399&gt;=80,"A",IF(M399&gt;=70,"B+",IF(M399&gt;=60,"B",IF(M399&gt;=50,"C","F")))))</f>
        <v>C</v>
      </c>
      <c r="O399" s="65" t="n">
        <f aca="false">IF(M399&gt;=90,4,IF(M399&gt;=80,3.7,IF(M399&gt;=70,3.3,IF(M399&gt;=60,3,IF(M399&gt;=50,2,0)))))</f>
        <v>2</v>
      </c>
      <c r="P399" s="38" t="n">
        <v>0.673</v>
      </c>
      <c r="Q399" s="66" t="n">
        <v>52</v>
      </c>
      <c r="R399" s="66" t="n">
        <v>98.8</v>
      </c>
      <c r="S399" s="34" t="str">
        <f aca="false">IF(M399&gt;=40,"Pass","Fail")</f>
        <v>Pass</v>
      </c>
      <c r="T399" s="34" t="str">
        <f aca="false">IF(M399&gt;=80,"Yes","No")</f>
        <v>No</v>
      </c>
    </row>
    <row r="400" customFormat="false" ht="15" hidden="false" customHeight="false" outlineLevel="0" collapsed="false">
      <c r="A400" s="43" t="s">
        <v>3565</v>
      </c>
      <c r="B400" s="44" t="s">
        <v>3566</v>
      </c>
      <c r="C400" s="43" t="s">
        <v>2803</v>
      </c>
      <c r="D400" s="51" t="n">
        <v>8</v>
      </c>
      <c r="E400" s="43" t="s">
        <v>2763</v>
      </c>
      <c r="F400" s="44" t="s">
        <v>2792</v>
      </c>
      <c r="G400" s="67" t="n">
        <v>94</v>
      </c>
      <c r="H400" s="44" t="s">
        <v>2770</v>
      </c>
      <c r="I400" s="67" t="n">
        <v>66</v>
      </c>
      <c r="J400" s="44" t="s">
        <v>2778</v>
      </c>
      <c r="K400" s="67" t="n">
        <v>64</v>
      </c>
      <c r="L400" s="67" t="n">
        <f aca="false">G400+I400+K400</f>
        <v>224</v>
      </c>
      <c r="M400" s="68" t="n">
        <f aca="false">L400/300*100</f>
        <v>74.6666666666667</v>
      </c>
      <c r="N400" s="43" t="str">
        <f aca="false">IF(M400&gt;=90,"A+",IF(M400&gt;=80,"A",IF(M400&gt;=70,"B+",IF(M400&gt;=60,"B",IF(M400&gt;=50,"C","F")))))</f>
        <v>B+</v>
      </c>
      <c r="O400" s="69" t="n">
        <f aca="false">IF(M400&gt;=90,4,IF(M400&gt;=80,3.7,IF(M400&gt;=70,3.3,IF(M400&gt;=60,3,IF(M400&gt;=50,2,0)))))</f>
        <v>3.3</v>
      </c>
      <c r="P400" s="47" t="n">
        <v>0.898</v>
      </c>
      <c r="Q400" s="70" t="n">
        <v>71.4</v>
      </c>
      <c r="R400" s="70" t="n">
        <v>89.8</v>
      </c>
      <c r="S400" s="43" t="str">
        <f aca="false">IF(M400&gt;=40,"Pass","Fail")</f>
        <v>Pass</v>
      </c>
      <c r="T400" s="43" t="str">
        <f aca="false">IF(M400&gt;=80,"Yes","No")</f>
        <v>No</v>
      </c>
    </row>
    <row r="401" customFormat="false" ht="15" hidden="false" customHeight="false" outlineLevel="0" collapsed="false">
      <c r="A401" s="34" t="s">
        <v>3567</v>
      </c>
      <c r="B401" s="35" t="s">
        <v>3568</v>
      </c>
      <c r="C401" s="34" t="s">
        <v>2769</v>
      </c>
      <c r="D401" s="42" t="n">
        <v>3</v>
      </c>
      <c r="E401" s="34" t="s">
        <v>2774</v>
      </c>
      <c r="F401" s="35" t="s">
        <v>2764</v>
      </c>
      <c r="G401" s="63" t="n">
        <v>88</v>
      </c>
      <c r="H401" s="35" t="s">
        <v>2791</v>
      </c>
      <c r="I401" s="63" t="n">
        <v>92</v>
      </c>
      <c r="J401" s="35" t="s">
        <v>2783</v>
      </c>
      <c r="K401" s="63" t="n">
        <v>46</v>
      </c>
      <c r="L401" s="63" t="n">
        <f aca="false">G401+I401+K401</f>
        <v>226</v>
      </c>
      <c r="M401" s="64" t="n">
        <f aca="false">L401/300*100</f>
        <v>75.3333333333333</v>
      </c>
      <c r="N401" s="34" t="str">
        <f aca="false">IF(M401&gt;=90,"A+",IF(M401&gt;=80,"A",IF(M401&gt;=70,"B+",IF(M401&gt;=60,"B",IF(M401&gt;=50,"C","F")))))</f>
        <v>B+</v>
      </c>
      <c r="O401" s="65" t="n">
        <f aca="false">IF(M401&gt;=90,4,IF(M401&gt;=80,3.7,IF(M401&gt;=70,3.3,IF(M401&gt;=60,3,IF(M401&gt;=50,2,0)))))</f>
        <v>3.3</v>
      </c>
      <c r="P401" s="38" t="n">
        <v>0.997</v>
      </c>
      <c r="Q401" s="66" t="n">
        <v>66</v>
      </c>
      <c r="R401" s="66" t="n">
        <v>78.8</v>
      </c>
      <c r="S401" s="34" t="str">
        <f aca="false">IF(M401&gt;=40,"Pass","Fail")</f>
        <v>Pass</v>
      </c>
      <c r="T401" s="34" t="str">
        <f aca="false">IF(M401&gt;=80,"Yes","No")</f>
        <v>No</v>
      </c>
    </row>
    <row r="402" customFormat="false" ht="15" hidden="false" customHeight="false" outlineLevel="0" collapsed="false">
      <c r="A402" s="43" t="s">
        <v>3569</v>
      </c>
      <c r="B402" s="44" t="s">
        <v>3570</v>
      </c>
      <c r="C402" s="43" t="s">
        <v>2769</v>
      </c>
      <c r="D402" s="51" t="n">
        <v>5</v>
      </c>
      <c r="E402" s="43" t="s">
        <v>2774</v>
      </c>
      <c r="F402" s="44" t="s">
        <v>2778</v>
      </c>
      <c r="G402" s="67" t="n">
        <v>31</v>
      </c>
      <c r="H402" s="44" t="s">
        <v>2766</v>
      </c>
      <c r="I402" s="67" t="n">
        <v>85</v>
      </c>
      <c r="J402" s="44" t="s">
        <v>2771</v>
      </c>
      <c r="K402" s="67" t="n">
        <v>46</v>
      </c>
      <c r="L402" s="67" t="n">
        <f aca="false">G402+I402+K402</f>
        <v>162</v>
      </c>
      <c r="M402" s="68" t="n">
        <f aca="false">L402/300*100</f>
        <v>54</v>
      </c>
      <c r="N402" s="43" t="str">
        <f aca="false">IF(M402&gt;=90,"A+",IF(M402&gt;=80,"A",IF(M402&gt;=70,"B+",IF(M402&gt;=60,"B",IF(M402&gt;=50,"C","F")))))</f>
        <v>C</v>
      </c>
      <c r="O402" s="69" t="n">
        <f aca="false">IF(M402&gt;=90,4,IF(M402&gt;=80,3.7,IF(M402&gt;=70,3.3,IF(M402&gt;=60,3,IF(M402&gt;=50,2,0)))))</f>
        <v>2</v>
      </c>
      <c r="P402" s="47" t="n">
        <v>0.666</v>
      </c>
      <c r="Q402" s="70" t="n">
        <v>68.1</v>
      </c>
      <c r="R402" s="70" t="n">
        <v>41.9</v>
      </c>
      <c r="S402" s="43" t="str">
        <f aca="false">IF(M402&gt;=40,"Pass","Fail")</f>
        <v>Pass</v>
      </c>
      <c r="T402" s="43" t="str">
        <f aca="false">IF(M402&gt;=80,"Yes","No")</f>
        <v>No</v>
      </c>
    </row>
    <row r="403" customFormat="false" ht="15" hidden="false" customHeight="false" outlineLevel="0" collapsed="false">
      <c r="A403" s="52" t="s">
        <v>3571</v>
      </c>
      <c r="B403" s="53"/>
      <c r="C403" s="53"/>
      <c r="D403" s="53"/>
      <c r="E403" s="53"/>
      <c r="F403" s="53"/>
      <c r="G403" s="55" t="n">
        <f aca="false">AVERAGE(G3:G402)</f>
        <v>58.205</v>
      </c>
      <c r="H403" s="53"/>
      <c r="I403" s="55" t="n">
        <f aca="false">AVERAGE(I3:I402)</f>
        <v>60.94</v>
      </c>
      <c r="J403" s="53"/>
      <c r="K403" s="55" t="n">
        <f aca="false">AVERAGE(K3:K402)</f>
        <v>59.7</v>
      </c>
      <c r="L403" s="55" t="n">
        <f aca="false">AVERAGE(L3:L402)</f>
        <v>178.845</v>
      </c>
      <c r="M403" s="71" t="n">
        <f aca="false">AVERAGE(M3:M402)</f>
        <v>59.615</v>
      </c>
      <c r="N403" s="53"/>
      <c r="O403" s="56" t="n">
        <f aca="false">AVERAGE(O3:O402)</f>
        <v>2.143</v>
      </c>
      <c r="P403" s="57" t="n">
        <f aca="false">AVERAGE(P3:P402)</f>
        <v>0.7638225</v>
      </c>
      <c r="Q403" s="53"/>
      <c r="R403" s="53"/>
      <c r="S403" s="53"/>
      <c r="T403" s="53"/>
    </row>
  </sheetData>
  <autoFilter ref="A2:T402"/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5A30"/>
    <pageSetUpPr fitToPage="false"/>
  </sheetPr>
  <dimension ref="A1:T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5" min="14" style="0" width="14"/>
    <col collapsed="false" customWidth="true" hidden="false" outlineLevel="0" max="16" min="16" style="0" width="13"/>
    <col collapsed="false" customWidth="true" hidden="false" outlineLevel="0" max="17" min="17" style="0" width="18"/>
    <col collapsed="false" customWidth="true" hidden="false" outlineLevel="0" max="19" min="18" style="0" width="12"/>
    <col collapsed="false" customWidth="true" hidden="false" outlineLevel="0" max="20" min="20" style="0" width="20"/>
  </cols>
  <sheetData>
    <row r="1" customFormat="false" ht="16.15" hidden="false" customHeight="false" outlineLevel="0" collapsed="false">
      <c r="A1" s="72" t="s">
        <v>3572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</row>
    <row r="2" customFormat="false" ht="15" hidden="false" customHeight="false" outlineLevel="0" collapsed="false">
      <c r="A2" s="73" t="s">
        <v>3573</v>
      </c>
      <c r="B2" s="73" t="s">
        <v>3574</v>
      </c>
      <c r="C2" s="73" t="s">
        <v>2076</v>
      </c>
      <c r="D2" s="73" t="s">
        <v>3575</v>
      </c>
      <c r="E2" s="73" t="s">
        <v>3576</v>
      </c>
      <c r="F2" s="73" t="s">
        <v>3577</v>
      </c>
      <c r="G2" s="73" t="s">
        <v>3578</v>
      </c>
      <c r="H2" s="73" t="s">
        <v>3579</v>
      </c>
      <c r="I2" s="73" t="s">
        <v>3580</v>
      </c>
      <c r="J2" s="73" t="s">
        <v>3581</v>
      </c>
      <c r="K2" s="73" t="s">
        <v>3582</v>
      </c>
      <c r="L2" s="73" t="s">
        <v>3583</v>
      </c>
      <c r="M2" s="73" t="s">
        <v>3584</v>
      </c>
      <c r="N2" s="73" t="s">
        <v>52</v>
      </c>
      <c r="O2" s="73" t="s">
        <v>38</v>
      </c>
      <c r="P2" s="73" t="s">
        <v>3585</v>
      </c>
      <c r="Q2" s="73" t="s">
        <v>3586</v>
      </c>
      <c r="R2" s="73" t="s">
        <v>3587</v>
      </c>
      <c r="S2" s="73" t="s">
        <v>3588</v>
      </c>
      <c r="T2" s="73" t="s">
        <v>3589</v>
      </c>
    </row>
    <row r="3" customFormat="false" ht="15" hidden="false" customHeight="false" outlineLevel="0" collapsed="false">
      <c r="A3" s="34" t="s">
        <v>3590</v>
      </c>
      <c r="B3" s="35" t="s">
        <v>3591</v>
      </c>
      <c r="C3" s="34" t="s">
        <v>3592</v>
      </c>
      <c r="D3" s="35" t="s">
        <v>3593</v>
      </c>
      <c r="E3" s="37" t="n">
        <v>86700</v>
      </c>
      <c r="F3" s="37" t="n">
        <v>147800</v>
      </c>
      <c r="G3" s="38" t="n">
        <f aca="false">(F3-E3)/E3</f>
        <v>0.704728950403691</v>
      </c>
      <c r="H3" s="37" t="n">
        <v>243</v>
      </c>
      <c r="I3" s="37" t="n">
        <v>13</v>
      </c>
      <c r="J3" s="37" t="n">
        <f aca="false">H3*E3</f>
        <v>21068100</v>
      </c>
      <c r="K3" s="36" t="n">
        <v>45348</v>
      </c>
      <c r="L3" s="66" t="n">
        <v>37.9</v>
      </c>
      <c r="M3" s="34" t="str">
        <f aca="false">IF(L3=0,"N/A",TEXT(H3/L3,"0.0"))</f>
        <v>6.4</v>
      </c>
      <c r="N3" s="34" t="str">
        <f aca="false">IF(H3=0,"Out of Stock",IF(H3&lt;I3,"Low Stock","In Stock"))</f>
        <v>In Stock</v>
      </c>
      <c r="O3" s="34" t="s">
        <v>3594</v>
      </c>
      <c r="P3" s="34" t="s">
        <v>3595</v>
      </c>
      <c r="Q3" s="42" t="n">
        <v>24</v>
      </c>
      <c r="R3" s="65" t="n">
        <v>5.65</v>
      </c>
      <c r="S3" s="37" t="n">
        <v>10</v>
      </c>
      <c r="T3" s="37" t="n">
        <f aca="false">(H3+S3)*E3</f>
        <v>21935100</v>
      </c>
    </row>
    <row r="4" customFormat="false" ht="15" hidden="false" customHeight="false" outlineLevel="0" collapsed="false">
      <c r="A4" s="43" t="s">
        <v>3596</v>
      </c>
      <c r="B4" s="44" t="s">
        <v>3597</v>
      </c>
      <c r="C4" s="43" t="s">
        <v>2765</v>
      </c>
      <c r="D4" s="44" t="s">
        <v>3598</v>
      </c>
      <c r="E4" s="46" t="n">
        <v>14200</v>
      </c>
      <c r="F4" s="46" t="n">
        <v>24200</v>
      </c>
      <c r="G4" s="47" t="n">
        <f aca="false">(F4-E4)/E4</f>
        <v>0.704225352112676</v>
      </c>
      <c r="H4" s="46" t="n">
        <v>445</v>
      </c>
      <c r="I4" s="46" t="n">
        <v>5</v>
      </c>
      <c r="J4" s="46" t="n">
        <f aca="false">H4*E4</f>
        <v>6319000</v>
      </c>
      <c r="K4" s="45" t="n">
        <v>45613</v>
      </c>
      <c r="L4" s="70" t="n">
        <v>13.5</v>
      </c>
      <c r="M4" s="43" t="str">
        <f aca="false">IF(L4=0,"N/A",TEXT(H4/L4,"0.0"))</f>
        <v>33.0</v>
      </c>
      <c r="N4" s="43" t="str">
        <f aca="false">IF(H4=0,"Out of Stock",IF(H4&lt;I4,"Low Stock","In Stock"))</f>
        <v>In Stock</v>
      </c>
      <c r="O4" s="43" t="s">
        <v>3599</v>
      </c>
      <c r="P4" s="43" t="s">
        <v>3595</v>
      </c>
      <c r="Q4" s="51" t="n">
        <v>6</v>
      </c>
      <c r="R4" s="69" t="n">
        <v>5.09</v>
      </c>
      <c r="S4" s="46" t="n">
        <v>15</v>
      </c>
      <c r="T4" s="46" t="n">
        <f aca="false">(H4+S4)*E4</f>
        <v>6532000</v>
      </c>
    </row>
    <row r="5" customFormat="false" ht="15" hidden="false" customHeight="false" outlineLevel="0" collapsed="false">
      <c r="A5" s="34" t="s">
        <v>3600</v>
      </c>
      <c r="B5" s="35" t="s">
        <v>3601</v>
      </c>
      <c r="C5" s="34" t="s">
        <v>2765</v>
      </c>
      <c r="D5" s="35" t="s">
        <v>3602</v>
      </c>
      <c r="E5" s="37" t="n">
        <v>61600</v>
      </c>
      <c r="F5" s="37" t="n">
        <v>100900</v>
      </c>
      <c r="G5" s="38" t="n">
        <f aca="false">(F5-E5)/E5</f>
        <v>0.637987012987013</v>
      </c>
      <c r="H5" s="37" t="n">
        <v>385</v>
      </c>
      <c r="I5" s="37" t="n">
        <v>6</v>
      </c>
      <c r="J5" s="37" t="n">
        <f aca="false">H5*E5</f>
        <v>23716000</v>
      </c>
      <c r="K5" s="36" t="n">
        <v>45567</v>
      </c>
      <c r="L5" s="66" t="n">
        <v>35.7</v>
      </c>
      <c r="M5" s="34" t="str">
        <f aca="false">IF(L5=0,"N/A",TEXT(H5/L5,"0.0"))</f>
        <v>10.8</v>
      </c>
      <c r="N5" s="34" t="str">
        <f aca="false">IF(H5=0,"Out of Stock",IF(H5&lt;I5,"Low Stock","In Stock"))</f>
        <v>In Stock</v>
      </c>
      <c r="O5" s="34" t="s">
        <v>3603</v>
      </c>
      <c r="P5" s="34" t="s">
        <v>3604</v>
      </c>
      <c r="Q5" s="42" t="n">
        <v>36</v>
      </c>
      <c r="R5" s="65" t="n">
        <v>6.9</v>
      </c>
      <c r="S5" s="37" t="n">
        <v>19</v>
      </c>
      <c r="T5" s="37" t="n">
        <f aca="false">(H5+S5)*E5</f>
        <v>24886400</v>
      </c>
    </row>
    <row r="6" customFormat="false" ht="15" hidden="false" customHeight="false" outlineLevel="0" collapsed="false">
      <c r="A6" s="43" t="s">
        <v>3605</v>
      </c>
      <c r="B6" s="44" t="s">
        <v>3606</v>
      </c>
      <c r="C6" s="43" t="s">
        <v>2208</v>
      </c>
      <c r="D6" s="44" t="s">
        <v>3607</v>
      </c>
      <c r="E6" s="46" t="n">
        <v>32400</v>
      </c>
      <c r="F6" s="46" t="n">
        <v>45400</v>
      </c>
      <c r="G6" s="47" t="n">
        <f aca="false">(F6-E6)/E6</f>
        <v>0.401234567901235</v>
      </c>
      <c r="H6" s="46" t="n">
        <v>191</v>
      </c>
      <c r="I6" s="46" t="n">
        <v>43</v>
      </c>
      <c r="J6" s="46" t="n">
        <f aca="false">H6*E6</f>
        <v>6188400</v>
      </c>
      <c r="K6" s="45" t="n">
        <v>45554</v>
      </c>
      <c r="L6" s="70" t="n">
        <v>27.7</v>
      </c>
      <c r="M6" s="43" t="str">
        <f aca="false">IF(L6=0,"N/A",TEXT(H6/L6,"0.0"))</f>
        <v>6.9</v>
      </c>
      <c r="N6" s="43" t="str">
        <f aca="false">IF(H6=0,"Out of Stock",IF(H6&lt;I6,"Low Stock","In Stock"))</f>
        <v>In Stock</v>
      </c>
      <c r="O6" s="43" t="s">
        <v>3599</v>
      </c>
      <c r="P6" s="43" t="s">
        <v>3608</v>
      </c>
      <c r="Q6" s="51" t="n">
        <v>6</v>
      </c>
      <c r="R6" s="69" t="n">
        <v>6.08</v>
      </c>
      <c r="S6" s="46" t="n">
        <v>21</v>
      </c>
      <c r="T6" s="46" t="n">
        <f aca="false">(H6+S6)*E6</f>
        <v>6868800</v>
      </c>
    </row>
    <row r="7" customFormat="false" ht="15" hidden="false" customHeight="false" outlineLevel="0" collapsed="false">
      <c r="A7" s="34" t="s">
        <v>3609</v>
      </c>
      <c r="B7" s="35" t="s">
        <v>3610</v>
      </c>
      <c r="C7" s="34" t="s">
        <v>3592</v>
      </c>
      <c r="D7" s="35" t="s">
        <v>3611</v>
      </c>
      <c r="E7" s="37" t="n">
        <v>56300</v>
      </c>
      <c r="F7" s="37" t="n">
        <v>102400</v>
      </c>
      <c r="G7" s="38" t="n">
        <f aca="false">(F7-E7)/E7</f>
        <v>0.818827708703375</v>
      </c>
      <c r="H7" s="37" t="n">
        <v>488</v>
      </c>
      <c r="I7" s="37" t="n">
        <v>41</v>
      </c>
      <c r="J7" s="37" t="n">
        <f aca="false">H7*E7</f>
        <v>27474400</v>
      </c>
      <c r="K7" s="36" t="n">
        <v>45611</v>
      </c>
      <c r="L7" s="66" t="n">
        <v>32.7</v>
      </c>
      <c r="M7" s="34" t="str">
        <f aca="false">IF(L7=0,"N/A",TEXT(H7/L7,"0.0"))</f>
        <v>14.9</v>
      </c>
      <c r="N7" s="34" t="str">
        <f aca="false">IF(H7=0,"Out of Stock",IF(H7&lt;I7,"Low Stock","In Stock"))</f>
        <v>In Stock</v>
      </c>
      <c r="O7" s="34" t="s">
        <v>3612</v>
      </c>
      <c r="P7" s="34" t="s">
        <v>3608</v>
      </c>
      <c r="Q7" s="42" t="n">
        <v>12</v>
      </c>
      <c r="R7" s="65" t="n">
        <v>2.54</v>
      </c>
      <c r="S7" s="37" t="n">
        <v>0</v>
      </c>
      <c r="T7" s="37" t="n">
        <f aca="false">(H7+S7)*E7</f>
        <v>27474400</v>
      </c>
    </row>
    <row r="8" customFormat="false" ht="15" hidden="false" customHeight="false" outlineLevel="0" collapsed="false">
      <c r="A8" s="43" t="s">
        <v>3613</v>
      </c>
      <c r="B8" s="44" t="s">
        <v>3614</v>
      </c>
      <c r="C8" s="43" t="s">
        <v>2110</v>
      </c>
      <c r="D8" s="44" t="s">
        <v>3593</v>
      </c>
      <c r="E8" s="46" t="n">
        <v>26500</v>
      </c>
      <c r="F8" s="46" t="n">
        <v>52000</v>
      </c>
      <c r="G8" s="47" t="n">
        <f aca="false">(F8-E8)/E8</f>
        <v>0.962264150943396</v>
      </c>
      <c r="H8" s="46" t="n">
        <v>290</v>
      </c>
      <c r="I8" s="46" t="n">
        <v>13</v>
      </c>
      <c r="J8" s="46" t="n">
        <f aca="false">H8*E8</f>
        <v>7685000</v>
      </c>
      <c r="K8" s="45" t="n">
        <v>45638</v>
      </c>
      <c r="L8" s="70" t="n">
        <v>11.3</v>
      </c>
      <c r="M8" s="43" t="str">
        <f aca="false">IF(L8=0,"N/A",TEXT(H8/L8,"0.0"))</f>
        <v>25.7</v>
      </c>
      <c r="N8" s="43" t="str">
        <f aca="false">IF(H8=0,"Out of Stock",IF(H8&lt;I8,"Low Stock","In Stock"))</f>
        <v>In Stock</v>
      </c>
      <c r="O8" s="43" t="s">
        <v>3615</v>
      </c>
      <c r="P8" s="43" t="s">
        <v>3595</v>
      </c>
      <c r="Q8" s="51" t="n">
        <v>6</v>
      </c>
      <c r="R8" s="69" t="n">
        <v>11.85</v>
      </c>
      <c r="S8" s="46" t="n">
        <v>10</v>
      </c>
      <c r="T8" s="46" t="n">
        <f aca="false">(H8+S8)*E8</f>
        <v>7950000</v>
      </c>
    </row>
    <row r="9" customFormat="false" ht="15" hidden="false" customHeight="false" outlineLevel="0" collapsed="false">
      <c r="A9" s="34" t="s">
        <v>3616</v>
      </c>
      <c r="B9" s="35" t="s">
        <v>3617</v>
      </c>
      <c r="C9" s="34" t="s">
        <v>2181</v>
      </c>
      <c r="D9" s="35" t="s">
        <v>3607</v>
      </c>
      <c r="E9" s="37" t="n">
        <v>19000</v>
      </c>
      <c r="F9" s="37" t="n">
        <v>35000</v>
      </c>
      <c r="G9" s="38" t="n">
        <f aca="false">(F9-E9)/E9</f>
        <v>0.842105263157895</v>
      </c>
      <c r="H9" s="37" t="n">
        <v>234</v>
      </c>
      <c r="I9" s="37" t="n">
        <v>30</v>
      </c>
      <c r="J9" s="37" t="n">
        <f aca="false">H9*E9</f>
        <v>4446000</v>
      </c>
      <c r="K9" s="36" t="n">
        <v>45306</v>
      </c>
      <c r="L9" s="66" t="n">
        <v>14.1</v>
      </c>
      <c r="M9" s="34" t="str">
        <f aca="false">IF(L9=0,"N/A",TEXT(H9/L9,"0.0"))</f>
        <v>16.6</v>
      </c>
      <c r="N9" s="34" t="str">
        <f aca="false">IF(H9=0,"Out of Stock",IF(H9&lt;I9,"Low Stock","In Stock"))</f>
        <v>In Stock</v>
      </c>
      <c r="O9" s="34" t="s">
        <v>3599</v>
      </c>
      <c r="P9" s="34" t="s">
        <v>3595</v>
      </c>
      <c r="Q9" s="42" t="n">
        <v>12</v>
      </c>
      <c r="R9" s="65" t="n">
        <v>9.91</v>
      </c>
      <c r="S9" s="37" t="n">
        <v>0</v>
      </c>
      <c r="T9" s="37" t="n">
        <f aca="false">(H9+S9)*E9</f>
        <v>4446000</v>
      </c>
    </row>
    <row r="10" customFormat="false" ht="15" hidden="false" customHeight="false" outlineLevel="0" collapsed="false">
      <c r="A10" s="43" t="s">
        <v>3618</v>
      </c>
      <c r="B10" s="44" t="s">
        <v>3619</v>
      </c>
      <c r="C10" s="43" t="s">
        <v>2765</v>
      </c>
      <c r="D10" s="44" t="s">
        <v>3620</v>
      </c>
      <c r="E10" s="46" t="n">
        <v>24600</v>
      </c>
      <c r="F10" s="46" t="n">
        <v>34200</v>
      </c>
      <c r="G10" s="47" t="n">
        <f aca="false">(F10-E10)/E10</f>
        <v>0.390243902439024</v>
      </c>
      <c r="H10" s="46" t="n">
        <v>104</v>
      </c>
      <c r="I10" s="46" t="n">
        <v>32</v>
      </c>
      <c r="J10" s="46" t="n">
        <f aca="false">H10*E10</f>
        <v>2558400</v>
      </c>
      <c r="K10" s="45" t="n">
        <v>45597</v>
      </c>
      <c r="L10" s="70" t="n">
        <v>8.1</v>
      </c>
      <c r="M10" s="43" t="str">
        <f aca="false">IF(L10=0,"N/A",TEXT(H10/L10,"0.0"))</f>
        <v>12.8</v>
      </c>
      <c r="N10" s="43" t="str">
        <f aca="false">IF(H10=0,"Out of Stock",IF(H10&lt;I10,"Low Stock","In Stock"))</f>
        <v>In Stock</v>
      </c>
      <c r="O10" s="43" t="s">
        <v>3612</v>
      </c>
      <c r="P10" s="43" t="s">
        <v>3595</v>
      </c>
      <c r="Q10" s="51" t="n">
        <v>36</v>
      </c>
      <c r="R10" s="69" t="n">
        <v>2.4</v>
      </c>
      <c r="S10" s="46" t="n">
        <v>7</v>
      </c>
      <c r="T10" s="46" t="n">
        <f aca="false">(H10+S10)*E10</f>
        <v>2730600</v>
      </c>
    </row>
    <row r="11" customFormat="false" ht="15" hidden="false" customHeight="false" outlineLevel="0" collapsed="false">
      <c r="A11" s="34" t="s">
        <v>3621</v>
      </c>
      <c r="B11" s="35" t="s">
        <v>3622</v>
      </c>
      <c r="C11" s="34" t="s">
        <v>2208</v>
      </c>
      <c r="D11" s="35" t="s">
        <v>3602</v>
      </c>
      <c r="E11" s="37" t="n">
        <v>45600</v>
      </c>
      <c r="F11" s="37" t="n">
        <v>58400</v>
      </c>
      <c r="G11" s="38" t="n">
        <f aca="false">(F11-E11)/E11</f>
        <v>0.280701754385965</v>
      </c>
      <c r="H11" s="37" t="n">
        <v>281</v>
      </c>
      <c r="I11" s="37" t="n">
        <v>48</v>
      </c>
      <c r="J11" s="37" t="n">
        <f aca="false">H11*E11</f>
        <v>12813600</v>
      </c>
      <c r="K11" s="36" t="n">
        <v>45385</v>
      </c>
      <c r="L11" s="66" t="n">
        <v>32.1</v>
      </c>
      <c r="M11" s="34" t="str">
        <f aca="false">IF(L11=0,"N/A",TEXT(H11/L11,"0.0"))</f>
        <v>8.8</v>
      </c>
      <c r="N11" s="34" t="str">
        <f aca="false">IF(H11=0,"Out of Stock",IF(H11&lt;I11,"Low Stock","In Stock"))</f>
        <v>In Stock</v>
      </c>
      <c r="O11" s="34" t="s">
        <v>3603</v>
      </c>
      <c r="P11" s="34" t="s">
        <v>3595</v>
      </c>
      <c r="Q11" s="42" t="n">
        <v>24</v>
      </c>
      <c r="R11" s="65" t="n">
        <v>13.7</v>
      </c>
      <c r="S11" s="37" t="n">
        <v>6</v>
      </c>
      <c r="T11" s="37" t="n">
        <f aca="false">(H11+S11)*E11</f>
        <v>13087200</v>
      </c>
    </row>
    <row r="12" customFormat="false" ht="15" hidden="false" customHeight="false" outlineLevel="0" collapsed="false">
      <c r="A12" s="43" t="s">
        <v>3623</v>
      </c>
      <c r="B12" s="44" t="s">
        <v>3624</v>
      </c>
      <c r="C12" s="43" t="s">
        <v>2181</v>
      </c>
      <c r="D12" s="44" t="s">
        <v>3620</v>
      </c>
      <c r="E12" s="46" t="n">
        <v>51300</v>
      </c>
      <c r="F12" s="46" t="n">
        <v>66800</v>
      </c>
      <c r="G12" s="47" t="n">
        <f aca="false">(F12-E12)/E12</f>
        <v>0.302144249512671</v>
      </c>
      <c r="H12" s="46" t="n">
        <v>390</v>
      </c>
      <c r="I12" s="46" t="n">
        <v>13</v>
      </c>
      <c r="J12" s="46" t="n">
        <f aca="false">H12*E12</f>
        <v>20007000</v>
      </c>
      <c r="K12" s="45" t="n">
        <v>45520</v>
      </c>
      <c r="L12" s="70" t="n">
        <v>32.6</v>
      </c>
      <c r="M12" s="43" t="str">
        <f aca="false">IF(L12=0,"N/A",TEXT(H12/L12,"0.0"))</f>
        <v>12.0</v>
      </c>
      <c r="N12" s="43" t="str">
        <f aca="false">IF(H12=0,"Out of Stock",IF(H12&lt;I12,"Low Stock","In Stock"))</f>
        <v>In Stock</v>
      </c>
      <c r="O12" s="43" t="s">
        <v>3594</v>
      </c>
      <c r="P12" s="43" t="s">
        <v>3604</v>
      </c>
      <c r="Q12" s="51" t="n">
        <v>24</v>
      </c>
      <c r="R12" s="69" t="n">
        <v>13.48</v>
      </c>
      <c r="S12" s="46" t="n">
        <v>10</v>
      </c>
      <c r="T12" s="46" t="n">
        <f aca="false">(H12+S12)*E12</f>
        <v>20520000</v>
      </c>
    </row>
    <row r="13" customFormat="false" ht="15" hidden="false" customHeight="false" outlineLevel="0" collapsed="false">
      <c r="A13" s="34" t="s">
        <v>3625</v>
      </c>
      <c r="B13" s="35" t="s">
        <v>3626</v>
      </c>
      <c r="C13" s="34" t="s">
        <v>2244</v>
      </c>
      <c r="D13" s="35" t="s">
        <v>3620</v>
      </c>
      <c r="E13" s="37" t="n">
        <v>45900</v>
      </c>
      <c r="F13" s="37" t="n">
        <v>73000</v>
      </c>
      <c r="G13" s="38" t="n">
        <f aca="false">(F13-E13)/E13</f>
        <v>0.59041394335512</v>
      </c>
      <c r="H13" s="37" t="n">
        <v>379</v>
      </c>
      <c r="I13" s="37" t="n">
        <v>42</v>
      </c>
      <c r="J13" s="37" t="n">
        <f aca="false">H13*E13</f>
        <v>17396100</v>
      </c>
      <c r="K13" s="36" t="n">
        <v>45447</v>
      </c>
      <c r="L13" s="66" t="n">
        <v>3.1</v>
      </c>
      <c r="M13" s="34" t="str">
        <f aca="false">IF(L13=0,"N/A",TEXT(H13/L13,"0.0"))</f>
        <v>122.3</v>
      </c>
      <c r="N13" s="34" t="str">
        <f aca="false">IF(H13=0,"Out of Stock",IF(H13&lt;I13,"Low Stock","In Stock"))</f>
        <v>In Stock</v>
      </c>
      <c r="O13" s="34" t="s">
        <v>3612</v>
      </c>
      <c r="P13" s="34" t="s">
        <v>3595</v>
      </c>
      <c r="Q13" s="42" t="n">
        <v>12</v>
      </c>
      <c r="R13" s="65" t="n">
        <v>9.17</v>
      </c>
      <c r="S13" s="37" t="n">
        <v>28</v>
      </c>
      <c r="T13" s="37" t="n">
        <f aca="false">(H13+S13)*E13</f>
        <v>18681300</v>
      </c>
    </row>
    <row r="14" customFormat="false" ht="15" hidden="false" customHeight="false" outlineLevel="0" collapsed="false">
      <c r="A14" s="43" t="s">
        <v>3627</v>
      </c>
      <c r="B14" s="44" t="s">
        <v>3628</v>
      </c>
      <c r="C14" s="43" t="s">
        <v>2765</v>
      </c>
      <c r="D14" s="44" t="s">
        <v>3593</v>
      </c>
      <c r="E14" s="46" t="n">
        <v>108400</v>
      </c>
      <c r="F14" s="46" t="n">
        <v>130200</v>
      </c>
      <c r="G14" s="47" t="n">
        <f aca="false">(F14-E14)/E14</f>
        <v>0.201107011070111</v>
      </c>
      <c r="H14" s="46" t="n">
        <v>306</v>
      </c>
      <c r="I14" s="46" t="n">
        <v>30</v>
      </c>
      <c r="J14" s="46" t="n">
        <f aca="false">H14*E14</f>
        <v>33170400</v>
      </c>
      <c r="K14" s="45" t="n">
        <v>45353</v>
      </c>
      <c r="L14" s="70" t="n">
        <v>73.3</v>
      </c>
      <c r="M14" s="43" t="str">
        <f aca="false">IF(L14=0,"N/A",TEXT(H14/L14,"0.0"))</f>
        <v>4.2</v>
      </c>
      <c r="N14" s="43" t="str">
        <f aca="false">IF(H14=0,"Out of Stock",IF(H14&lt;I14,"Low Stock","In Stock"))</f>
        <v>In Stock</v>
      </c>
      <c r="O14" s="43" t="s">
        <v>3599</v>
      </c>
      <c r="P14" s="43" t="s">
        <v>3595</v>
      </c>
      <c r="Q14" s="51" t="n">
        <v>24</v>
      </c>
      <c r="R14" s="69" t="n">
        <v>3.53</v>
      </c>
      <c r="S14" s="46" t="n">
        <v>20</v>
      </c>
      <c r="T14" s="46" t="n">
        <f aca="false">(H14+S14)*E14</f>
        <v>35338400</v>
      </c>
    </row>
    <row r="15" customFormat="false" ht="15" hidden="false" customHeight="false" outlineLevel="0" collapsed="false">
      <c r="A15" s="34" t="s">
        <v>3629</v>
      </c>
      <c r="B15" s="35" t="s">
        <v>3630</v>
      </c>
      <c r="C15" s="34" t="s">
        <v>2103</v>
      </c>
      <c r="D15" s="35" t="s">
        <v>3631</v>
      </c>
      <c r="E15" s="37" t="n">
        <v>57500</v>
      </c>
      <c r="F15" s="37" t="n">
        <v>73300</v>
      </c>
      <c r="G15" s="38" t="n">
        <f aca="false">(F15-E15)/E15</f>
        <v>0.274782608695652</v>
      </c>
      <c r="H15" s="37" t="n">
        <v>196</v>
      </c>
      <c r="I15" s="37" t="n">
        <v>46</v>
      </c>
      <c r="J15" s="37" t="n">
        <f aca="false">H15*E15</f>
        <v>11270000</v>
      </c>
      <c r="K15" s="36" t="n">
        <v>45551</v>
      </c>
      <c r="L15" s="66" t="n">
        <v>15.2</v>
      </c>
      <c r="M15" s="34" t="str">
        <f aca="false">IF(L15=0,"N/A",TEXT(H15/L15,"0.0"))</f>
        <v>12.9</v>
      </c>
      <c r="N15" s="34" t="str">
        <f aca="false">IF(H15=0,"Out of Stock",IF(H15&lt;I15,"Low Stock","In Stock"))</f>
        <v>In Stock</v>
      </c>
      <c r="O15" s="34" t="s">
        <v>3603</v>
      </c>
      <c r="P15" s="34" t="s">
        <v>3595</v>
      </c>
      <c r="Q15" s="42" t="n">
        <v>24</v>
      </c>
      <c r="R15" s="65" t="n">
        <v>4.35</v>
      </c>
      <c r="S15" s="37" t="n">
        <v>4</v>
      </c>
      <c r="T15" s="37" t="n">
        <f aca="false">(H15+S15)*E15</f>
        <v>11500000</v>
      </c>
    </row>
    <row r="16" customFormat="false" ht="15" hidden="false" customHeight="false" outlineLevel="0" collapsed="false">
      <c r="A16" s="43" t="s">
        <v>3632</v>
      </c>
      <c r="B16" s="44" t="s">
        <v>3633</v>
      </c>
      <c r="C16" s="43" t="s">
        <v>2765</v>
      </c>
      <c r="D16" s="44" t="s">
        <v>3611</v>
      </c>
      <c r="E16" s="46" t="n">
        <v>24000</v>
      </c>
      <c r="F16" s="46" t="n">
        <v>31900</v>
      </c>
      <c r="G16" s="47" t="n">
        <f aca="false">(F16-E16)/E16</f>
        <v>0.329166666666667</v>
      </c>
      <c r="H16" s="46" t="n">
        <v>349</v>
      </c>
      <c r="I16" s="46" t="n">
        <v>38</v>
      </c>
      <c r="J16" s="46" t="n">
        <f aca="false">H16*E16</f>
        <v>8376000</v>
      </c>
      <c r="K16" s="45" t="n">
        <v>45607</v>
      </c>
      <c r="L16" s="70" t="n">
        <v>66.9</v>
      </c>
      <c r="M16" s="43" t="str">
        <f aca="false">IF(L16=0,"N/A",TEXT(H16/L16,"0.0"))</f>
        <v>5.2</v>
      </c>
      <c r="N16" s="43" t="str">
        <f aca="false">IF(H16=0,"Out of Stock",IF(H16&lt;I16,"Low Stock","In Stock"))</f>
        <v>In Stock</v>
      </c>
      <c r="O16" s="43" t="s">
        <v>3615</v>
      </c>
      <c r="P16" s="43" t="s">
        <v>3604</v>
      </c>
      <c r="Q16" s="51" t="n">
        <v>18</v>
      </c>
      <c r="R16" s="69" t="n">
        <v>12.11</v>
      </c>
      <c r="S16" s="46" t="n">
        <v>14</v>
      </c>
      <c r="T16" s="46" t="n">
        <f aca="false">(H16+S16)*E16</f>
        <v>8712000</v>
      </c>
    </row>
    <row r="17" customFormat="false" ht="15" hidden="false" customHeight="false" outlineLevel="0" collapsed="false">
      <c r="A17" s="34" t="s">
        <v>3634</v>
      </c>
      <c r="B17" s="35" t="s">
        <v>3635</v>
      </c>
      <c r="C17" s="34" t="s">
        <v>2181</v>
      </c>
      <c r="D17" s="35" t="s">
        <v>3607</v>
      </c>
      <c r="E17" s="37" t="n">
        <v>2100</v>
      </c>
      <c r="F17" s="37" t="n">
        <v>2800</v>
      </c>
      <c r="G17" s="38" t="n">
        <f aca="false">(F17-E17)/E17</f>
        <v>0.333333333333333</v>
      </c>
      <c r="H17" s="37" t="n">
        <v>65</v>
      </c>
      <c r="I17" s="37" t="n">
        <v>41</v>
      </c>
      <c r="J17" s="37" t="n">
        <f aca="false">H17*E17</f>
        <v>136500</v>
      </c>
      <c r="K17" s="36" t="n">
        <v>45469</v>
      </c>
      <c r="L17" s="66" t="n">
        <v>41.1</v>
      </c>
      <c r="M17" s="34" t="str">
        <f aca="false">IF(L17=0,"N/A",TEXT(H17/L17,"0.0"))</f>
        <v>1.6</v>
      </c>
      <c r="N17" s="34" t="str">
        <f aca="false">IF(H17=0,"Out of Stock",IF(H17&lt;I17,"Low Stock","In Stock"))</f>
        <v>In Stock</v>
      </c>
      <c r="O17" s="34" t="s">
        <v>3603</v>
      </c>
      <c r="P17" s="34" t="s">
        <v>3604</v>
      </c>
      <c r="Q17" s="42" t="n">
        <v>24</v>
      </c>
      <c r="R17" s="65" t="n">
        <v>6.87</v>
      </c>
      <c r="S17" s="37" t="n">
        <v>21</v>
      </c>
      <c r="T17" s="37" t="n">
        <f aca="false">(H17+S17)*E17</f>
        <v>180600</v>
      </c>
    </row>
    <row r="18" customFormat="false" ht="15" hidden="false" customHeight="false" outlineLevel="0" collapsed="false">
      <c r="A18" s="43" t="s">
        <v>3636</v>
      </c>
      <c r="B18" s="44" t="s">
        <v>3637</v>
      </c>
      <c r="C18" s="43" t="s">
        <v>2181</v>
      </c>
      <c r="D18" s="44" t="s">
        <v>3620</v>
      </c>
      <c r="E18" s="46" t="n">
        <v>40200</v>
      </c>
      <c r="F18" s="46" t="n">
        <v>61900</v>
      </c>
      <c r="G18" s="47" t="n">
        <f aca="false">(F18-E18)/E18</f>
        <v>0.539800995024876</v>
      </c>
      <c r="H18" s="46" t="n">
        <v>379</v>
      </c>
      <c r="I18" s="46" t="n">
        <v>45</v>
      </c>
      <c r="J18" s="46" t="n">
        <f aca="false">H18*E18</f>
        <v>15235800</v>
      </c>
      <c r="K18" s="45" t="n">
        <v>45398</v>
      </c>
      <c r="L18" s="70" t="n">
        <v>10.2</v>
      </c>
      <c r="M18" s="43" t="str">
        <f aca="false">IF(L18=0,"N/A",TEXT(H18/L18,"0.0"))</f>
        <v>37.2</v>
      </c>
      <c r="N18" s="43" t="str">
        <f aca="false">IF(H18=0,"Out of Stock",IF(H18&lt;I18,"Low Stock","In Stock"))</f>
        <v>In Stock</v>
      </c>
      <c r="O18" s="43" t="s">
        <v>3594</v>
      </c>
      <c r="P18" s="43" t="s">
        <v>3595</v>
      </c>
      <c r="Q18" s="51" t="n">
        <v>24</v>
      </c>
      <c r="R18" s="69" t="n">
        <v>12.06</v>
      </c>
      <c r="S18" s="46" t="n">
        <v>25</v>
      </c>
      <c r="T18" s="46" t="n">
        <f aca="false">(H18+S18)*E18</f>
        <v>16240800</v>
      </c>
    </row>
    <row r="19" customFormat="false" ht="15" hidden="false" customHeight="false" outlineLevel="0" collapsed="false">
      <c r="A19" s="34" t="s">
        <v>3638</v>
      </c>
      <c r="B19" s="35" t="s">
        <v>3639</v>
      </c>
      <c r="C19" s="34" t="s">
        <v>2181</v>
      </c>
      <c r="D19" s="35" t="s">
        <v>3611</v>
      </c>
      <c r="E19" s="37" t="n">
        <v>93800</v>
      </c>
      <c r="F19" s="37" t="n">
        <v>137700</v>
      </c>
      <c r="G19" s="38" t="n">
        <f aca="false">(F19-E19)/E19</f>
        <v>0.468017057569296</v>
      </c>
      <c r="H19" s="37" t="n">
        <v>273</v>
      </c>
      <c r="I19" s="37" t="n">
        <v>28</v>
      </c>
      <c r="J19" s="37" t="n">
        <f aca="false">H19*E19</f>
        <v>25607400</v>
      </c>
      <c r="K19" s="36" t="n">
        <v>45482</v>
      </c>
      <c r="L19" s="66" t="n">
        <v>9.8</v>
      </c>
      <c r="M19" s="34" t="str">
        <f aca="false">IF(L19=0,"N/A",TEXT(H19/L19,"0.0"))</f>
        <v>27.9</v>
      </c>
      <c r="N19" s="34" t="str">
        <f aca="false">IF(H19=0,"Out of Stock",IF(H19&lt;I19,"Low Stock","In Stock"))</f>
        <v>In Stock</v>
      </c>
      <c r="O19" s="34" t="s">
        <v>3603</v>
      </c>
      <c r="P19" s="34" t="s">
        <v>3595</v>
      </c>
      <c r="Q19" s="42" t="n">
        <v>36</v>
      </c>
      <c r="R19" s="65" t="n">
        <v>14.71</v>
      </c>
      <c r="S19" s="37" t="n">
        <v>5</v>
      </c>
      <c r="T19" s="37" t="n">
        <f aca="false">(H19+S19)*E19</f>
        <v>26076400</v>
      </c>
    </row>
    <row r="20" customFormat="false" ht="15" hidden="false" customHeight="false" outlineLevel="0" collapsed="false">
      <c r="A20" s="43" t="s">
        <v>3640</v>
      </c>
      <c r="B20" s="44" t="s">
        <v>3641</v>
      </c>
      <c r="C20" s="43" t="s">
        <v>2103</v>
      </c>
      <c r="D20" s="44" t="s">
        <v>3620</v>
      </c>
      <c r="E20" s="46" t="n">
        <v>44600</v>
      </c>
      <c r="F20" s="46" t="n">
        <v>87400</v>
      </c>
      <c r="G20" s="47" t="n">
        <f aca="false">(F20-E20)/E20</f>
        <v>0.959641255605381</v>
      </c>
      <c r="H20" s="46" t="n">
        <v>362</v>
      </c>
      <c r="I20" s="46" t="n">
        <v>42</v>
      </c>
      <c r="J20" s="46" t="n">
        <f aca="false">H20*E20</f>
        <v>16145200</v>
      </c>
      <c r="K20" s="45" t="n">
        <v>45324</v>
      </c>
      <c r="L20" s="70" t="n">
        <v>21.4</v>
      </c>
      <c r="M20" s="43" t="str">
        <f aca="false">IF(L20=0,"N/A",TEXT(H20/L20,"0.0"))</f>
        <v>16.9</v>
      </c>
      <c r="N20" s="43" t="str">
        <f aca="false">IF(H20=0,"Out of Stock",IF(H20&lt;I20,"Low Stock","In Stock"))</f>
        <v>In Stock</v>
      </c>
      <c r="O20" s="43" t="s">
        <v>3603</v>
      </c>
      <c r="P20" s="43" t="s">
        <v>3595</v>
      </c>
      <c r="Q20" s="51" t="n">
        <v>24</v>
      </c>
      <c r="R20" s="69" t="n">
        <v>12.21</v>
      </c>
      <c r="S20" s="46" t="n">
        <v>16</v>
      </c>
      <c r="T20" s="46" t="n">
        <f aca="false">(H20+S20)*E20</f>
        <v>16858800</v>
      </c>
    </row>
    <row r="21" customFormat="false" ht="15" hidden="false" customHeight="false" outlineLevel="0" collapsed="false">
      <c r="A21" s="34" t="s">
        <v>3642</v>
      </c>
      <c r="B21" s="35" t="s">
        <v>3643</v>
      </c>
      <c r="C21" s="34" t="s">
        <v>2208</v>
      </c>
      <c r="D21" s="35" t="s">
        <v>3631</v>
      </c>
      <c r="E21" s="37" t="n">
        <v>5700</v>
      </c>
      <c r="F21" s="37" t="n">
        <v>7400</v>
      </c>
      <c r="G21" s="38" t="n">
        <f aca="false">(F21-E21)/E21</f>
        <v>0.298245614035088</v>
      </c>
      <c r="H21" s="37" t="n">
        <v>250</v>
      </c>
      <c r="I21" s="37" t="n">
        <v>34</v>
      </c>
      <c r="J21" s="37" t="n">
        <f aca="false">H21*E21</f>
        <v>1425000</v>
      </c>
      <c r="K21" s="36" t="n">
        <v>45559</v>
      </c>
      <c r="L21" s="66" t="n">
        <v>30</v>
      </c>
      <c r="M21" s="34" t="str">
        <f aca="false">IF(L21=0,"N/A",TEXT(H21/L21,"0.0"))</f>
        <v>8.3</v>
      </c>
      <c r="N21" s="34" t="str">
        <f aca="false">IF(H21=0,"Out of Stock",IF(H21&lt;I21,"Low Stock","In Stock"))</f>
        <v>In Stock</v>
      </c>
      <c r="O21" s="34" t="s">
        <v>3612</v>
      </c>
      <c r="P21" s="34" t="s">
        <v>3604</v>
      </c>
      <c r="Q21" s="42" t="n">
        <v>18</v>
      </c>
      <c r="R21" s="65" t="n">
        <v>9.03</v>
      </c>
      <c r="S21" s="37" t="n">
        <v>28</v>
      </c>
      <c r="T21" s="37" t="n">
        <f aca="false">(H21+S21)*E21</f>
        <v>1584600</v>
      </c>
    </row>
    <row r="22" customFormat="false" ht="15" hidden="false" customHeight="false" outlineLevel="0" collapsed="false">
      <c r="A22" s="43" t="s">
        <v>3644</v>
      </c>
      <c r="B22" s="44" t="s">
        <v>3645</v>
      </c>
      <c r="C22" s="43" t="s">
        <v>2765</v>
      </c>
      <c r="D22" s="44" t="s">
        <v>3598</v>
      </c>
      <c r="E22" s="46" t="n">
        <v>39300</v>
      </c>
      <c r="F22" s="46" t="n">
        <v>71300</v>
      </c>
      <c r="G22" s="47" t="n">
        <f aca="false">(F22-E22)/E22</f>
        <v>0.814249363867684</v>
      </c>
      <c r="H22" s="46" t="n">
        <v>12</v>
      </c>
      <c r="I22" s="46" t="n">
        <v>39</v>
      </c>
      <c r="J22" s="46" t="n">
        <f aca="false">H22*E22</f>
        <v>471600</v>
      </c>
      <c r="K22" s="45" t="n">
        <v>45642</v>
      </c>
      <c r="L22" s="70" t="n">
        <v>22.1</v>
      </c>
      <c r="M22" s="43" t="str">
        <f aca="false">IF(L22=0,"N/A",TEXT(H22/L22,"0.0"))</f>
        <v>0.5</v>
      </c>
      <c r="N22" s="43" t="str">
        <f aca="false">IF(H22=0,"Out of Stock",IF(H22&lt;I22,"Low Stock","In Stock"))</f>
        <v>Low Stock</v>
      </c>
      <c r="O22" s="43" t="s">
        <v>3603</v>
      </c>
      <c r="P22" s="43" t="s">
        <v>3595</v>
      </c>
      <c r="Q22" s="51" t="n">
        <v>6</v>
      </c>
      <c r="R22" s="69" t="n">
        <v>5.42</v>
      </c>
      <c r="S22" s="46" t="n">
        <v>9</v>
      </c>
      <c r="T22" s="46" t="n">
        <f aca="false">(H22+S22)*E22</f>
        <v>825300</v>
      </c>
    </row>
    <row r="23" customFormat="false" ht="15" hidden="false" customHeight="false" outlineLevel="0" collapsed="false">
      <c r="A23" s="34" t="s">
        <v>3646</v>
      </c>
      <c r="B23" s="35" t="s">
        <v>3647</v>
      </c>
      <c r="C23" s="34" t="s">
        <v>2765</v>
      </c>
      <c r="D23" s="35" t="s">
        <v>3598</v>
      </c>
      <c r="E23" s="37" t="n">
        <v>5100</v>
      </c>
      <c r="F23" s="37" t="n">
        <v>8600</v>
      </c>
      <c r="G23" s="38" t="n">
        <f aca="false">(F23-E23)/E23</f>
        <v>0.686274509803922</v>
      </c>
      <c r="H23" s="37" t="n">
        <v>182</v>
      </c>
      <c r="I23" s="37" t="n">
        <v>7</v>
      </c>
      <c r="J23" s="37" t="n">
        <f aca="false">H23*E23</f>
        <v>928200</v>
      </c>
      <c r="K23" s="36" t="n">
        <v>45607</v>
      </c>
      <c r="L23" s="66" t="n">
        <v>43</v>
      </c>
      <c r="M23" s="34" t="str">
        <f aca="false">IF(L23=0,"N/A",TEXT(H23/L23,"0.0"))</f>
        <v>4.2</v>
      </c>
      <c r="N23" s="34" t="str">
        <f aca="false">IF(H23=0,"Out of Stock",IF(H23&lt;I23,"Low Stock","In Stock"))</f>
        <v>In Stock</v>
      </c>
      <c r="O23" s="34" t="s">
        <v>3594</v>
      </c>
      <c r="P23" s="34" t="s">
        <v>3595</v>
      </c>
      <c r="Q23" s="42" t="n">
        <v>6</v>
      </c>
      <c r="R23" s="65" t="n">
        <v>3.8</v>
      </c>
      <c r="S23" s="37" t="n">
        <v>12</v>
      </c>
      <c r="T23" s="37" t="n">
        <f aca="false">(H23+S23)*E23</f>
        <v>989400</v>
      </c>
    </row>
    <row r="24" customFormat="false" ht="15" hidden="false" customHeight="false" outlineLevel="0" collapsed="false">
      <c r="A24" s="43" t="s">
        <v>3648</v>
      </c>
      <c r="B24" s="44" t="s">
        <v>3649</v>
      </c>
      <c r="C24" s="43" t="s">
        <v>2103</v>
      </c>
      <c r="D24" s="44" t="s">
        <v>3598</v>
      </c>
      <c r="E24" s="46" t="n">
        <v>19400</v>
      </c>
      <c r="F24" s="46" t="n">
        <v>33100</v>
      </c>
      <c r="G24" s="47" t="n">
        <f aca="false">(F24-E24)/E24</f>
        <v>0.706185567010309</v>
      </c>
      <c r="H24" s="46" t="n">
        <v>220</v>
      </c>
      <c r="I24" s="46" t="n">
        <v>22</v>
      </c>
      <c r="J24" s="46" t="n">
        <f aca="false">H24*E24</f>
        <v>4268000</v>
      </c>
      <c r="K24" s="45" t="n">
        <v>45380</v>
      </c>
      <c r="L24" s="70" t="n">
        <v>28.3</v>
      </c>
      <c r="M24" s="43" t="str">
        <f aca="false">IF(L24=0,"N/A",TEXT(H24/L24,"0.0"))</f>
        <v>7.8</v>
      </c>
      <c r="N24" s="43" t="str">
        <f aca="false">IF(H24=0,"Out of Stock",IF(H24&lt;I24,"Low Stock","In Stock"))</f>
        <v>In Stock</v>
      </c>
      <c r="O24" s="43" t="s">
        <v>3594</v>
      </c>
      <c r="P24" s="43" t="s">
        <v>3608</v>
      </c>
      <c r="Q24" s="51" t="n">
        <v>12</v>
      </c>
      <c r="R24" s="69" t="n">
        <v>10.37</v>
      </c>
      <c r="S24" s="46" t="n">
        <v>14</v>
      </c>
      <c r="T24" s="46" t="n">
        <f aca="false">(H24+S24)*E24</f>
        <v>4539600</v>
      </c>
    </row>
    <row r="25" customFormat="false" ht="15" hidden="false" customHeight="false" outlineLevel="0" collapsed="false">
      <c r="A25" s="34" t="s">
        <v>3650</v>
      </c>
      <c r="B25" s="35" t="s">
        <v>2207</v>
      </c>
      <c r="C25" s="34" t="s">
        <v>2208</v>
      </c>
      <c r="D25" s="35" t="s">
        <v>3620</v>
      </c>
      <c r="E25" s="37" t="n">
        <v>10500</v>
      </c>
      <c r="F25" s="37" t="n">
        <v>15300</v>
      </c>
      <c r="G25" s="38" t="n">
        <f aca="false">(F25-E25)/E25</f>
        <v>0.457142857142857</v>
      </c>
      <c r="H25" s="37" t="n">
        <v>19</v>
      </c>
      <c r="I25" s="37" t="n">
        <v>14</v>
      </c>
      <c r="J25" s="37" t="n">
        <f aca="false">H25*E25</f>
        <v>199500</v>
      </c>
      <c r="K25" s="36" t="n">
        <v>45602</v>
      </c>
      <c r="L25" s="66" t="n">
        <v>49.1</v>
      </c>
      <c r="M25" s="34" t="str">
        <f aca="false">IF(L25=0,"N/A",TEXT(H25/L25,"0.0"))</f>
        <v>0.4</v>
      </c>
      <c r="N25" s="34" t="str">
        <f aca="false">IF(H25=0,"Out of Stock",IF(H25&lt;I25,"Low Stock","In Stock"))</f>
        <v>In Stock</v>
      </c>
      <c r="O25" s="34" t="s">
        <v>3603</v>
      </c>
      <c r="P25" s="34" t="s">
        <v>3608</v>
      </c>
      <c r="Q25" s="42" t="n">
        <v>6</v>
      </c>
      <c r="R25" s="65" t="n">
        <v>9.6</v>
      </c>
      <c r="S25" s="37" t="n">
        <v>23</v>
      </c>
      <c r="T25" s="37" t="n">
        <f aca="false">(H25+S25)*E25</f>
        <v>441000</v>
      </c>
    </row>
    <row r="26" customFormat="false" ht="15" hidden="false" customHeight="false" outlineLevel="0" collapsed="false">
      <c r="A26" s="43" t="s">
        <v>3651</v>
      </c>
      <c r="B26" s="44" t="s">
        <v>3652</v>
      </c>
      <c r="C26" s="43" t="s">
        <v>2110</v>
      </c>
      <c r="D26" s="44" t="s">
        <v>3620</v>
      </c>
      <c r="E26" s="46" t="n">
        <v>44700</v>
      </c>
      <c r="F26" s="46" t="n">
        <v>86800</v>
      </c>
      <c r="G26" s="47" t="n">
        <f aca="false">(F26-E26)/E26</f>
        <v>0.941834451901566</v>
      </c>
      <c r="H26" s="46" t="n">
        <v>383</v>
      </c>
      <c r="I26" s="46" t="n">
        <v>24</v>
      </c>
      <c r="J26" s="46" t="n">
        <f aca="false">H26*E26</f>
        <v>17120100</v>
      </c>
      <c r="K26" s="45" t="n">
        <v>45472</v>
      </c>
      <c r="L26" s="70" t="n">
        <v>34.4</v>
      </c>
      <c r="M26" s="43" t="str">
        <f aca="false">IF(L26=0,"N/A",TEXT(H26/L26,"0.0"))</f>
        <v>11.1</v>
      </c>
      <c r="N26" s="43" t="str">
        <f aca="false">IF(H26=0,"Out of Stock",IF(H26&lt;I26,"Low Stock","In Stock"))</f>
        <v>In Stock</v>
      </c>
      <c r="O26" s="43" t="s">
        <v>3615</v>
      </c>
      <c r="P26" s="43" t="s">
        <v>3604</v>
      </c>
      <c r="Q26" s="51" t="n">
        <v>18</v>
      </c>
      <c r="R26" s="69" t="n">
        <v>2.84</v>
      </c>
      <c r="S26" s="46" t="n">
        <v>0</v>
      </c>
      <c r="T26" s="46" t="n">
        <f aca="false">(H26+S26)*E26</f>
        <v>17120100</v>
      </c>
    </row>
    <row r="27" customFormat="false" ht="15" hidden="false" customHeight="false" outlineLevel="0" collapsed="false">
      <c r="A27" s="34" t="s">
        <v>3653</v>
      </c>
      <c r="B27" s="35" t="s">
        <v>3654</v>
      </c>
      <c r="C27" s="34" t="s">
        <v>3592</v>
      </c>
      <c r="D27" s="35" t="s">
        <v>3607</v>
      </c>
      <c r="E27" s="37" t="n">
        <v>25600</v>
      </c>
      <c r="F27" s="37" t="n">
        <v>42400</v>
      </c>
      <c r="G27" s="38" t="n">
        <f aca="false">(F27-E27)/E27</f>
        <v>0.65625</v>
      </c>
      <c r="H27" s="37" t="n">
        <v>155</v>
      </c>
      <c r="I27" s="37" t="n">
        <v>44</v>
      </c>
      <c r="J27" s="37" t="n">
        <f aca="false">H27*E27</f>
        <v>3968000</v>
      </c>
      <c r="K27" s="36" t="n">
        <v>45548</v>
      </c>
      <c r="L27" s="66" t="n">
        <v>41.6</v>
      </c>
      <c r="M27" s="34" t="str">
        <f aca="false">IF(L27=0,"N/A",TEXT(H27/L27,"0.0"))</f>
        <v>3.7</v>
      </c>
      <c r="N27" s="34" t="str">
        <f aca="false">IF(H27=0,"Out of Stock",IF(H27&lt;I27,"Low Stock","In Stock"))</f>
        <v>In Stock</v>
      </c>
      <c r="O27" s="34" t="s">
        <v>3612</v>
      </c>
      <c r="P27" s="34" t="s">
        <v>3608</v>
      </c>
      <c r="Q27" s="42" t="n">
        <v>6</v>
      </c>
      <c r="R27" s="65" t="n">
        <v>11.93</v>
      </c>
      <c r="S27" s="37" t="n">
        <v>27</v>
      </c>
      <c r="T27" s="37" t="n">
        <f aca="false">(H27+S27)*E27</f>
        <v>4659200</v>
      </c>
    </row>
    <row r="28" customFormat="false" ht="15" hidden="false" customHeight="false" outlineLevel="0" collapsed="false">
      <c r="A28" s="43" t="s">
        <v>3655</v>
      </c>
      <c r="B28" s="44" t="s">
        <v>3656</v>
      </c>
      <c r="C28" s="43" t="s">
        <v>2208</v>
      </c>
      <c r="D28" s="44" t="s">
        <v>3602</v>
      </c>
      <c r="E28" s="46" t="n">
        <v>100200</v>
      </c>
      <c r="F28" s="46" t="n">
        <v>195200</v>
      </c>
      <c r="G28" s="47" t="n">
        <f aca="false">(F28-E28)/E28</f>
        <v>0.94810379241517</v>
      </c>
      <c r="H28" s="46" t="n">
        <v>140</v>
      </c>
      <c r="I28" s="46" t="n">
        <v>49</v>
      </c>
      <c r="J28" s="46" t="n">
        <f aca="false">H28*E28</f>
        <v>14028000</v>
      </c>
      <c r="K28" s="45" t="n">
        <v>45449</v>
      </c>
      <c r="L28" s="70" t="n">
        <v>62.5</v>
      </c>
      <c r="M28" s="43" t="str">
        <f aca="false">IF(L28=0,"N/A",TEXT(H28/L28,"0.0"))</f>
        <v>2.2</v>
      </c>
      <c r="N28" s="43" t="str">
        <f aca="false">IF(H28=0,"Out of Stock",IF(H28&lt;I28,"Low Stock","In Stock"))</f>
        <v>In Stock</v>
      </c>
      <c r="O28" s="43" t="s">
        <v>3594</v>
      </c>
      <c r="P28" s="43" t="s">
        <v>3604</v>
      </c>
      <c r="Q28" s="51" t="n">
        <v>6</v>
      </c>
      <c r="R28" s="69" t="n">
        <v>7.57</v>
      </c>
      <c r="S28" s="46" t="n">
        <v>8</v>
      </c>
      <c r="T28" s="46" t="n">
        <f aca="false">(H28+S28)*E28</f>
        <v>14829600</v>
      </c>
    </row>
    <row r="29" customFormat="false" ht="15" hidden="false" customHeight="false" outlineLevel="0" collapsed="false">
      <c r="A29" s="34" t="s">
        <v>3657</v>
      </c>
      <c r="B29" s="35" t="s">
        <v>3658</v>
      </c>
      <c r="C29" s="34" t="s">
        <v>2103</v>
      </c>
      <c r="D29" s="35" t="s">
        <v>3598</v>
      </c>
      <c r="E29" s="37" t="n">
        <v>37800</v>
      </c>
      <c r="F29" s="37" t="n">
        <v>53600</v>
      </c>
      <c r="G29" s="38" t="n">
        <f aca="false">(F29-E29)/E29</f>
        <v>0.417989417989418</v>
      </c>
      <c r="H29" s="37" t="n">
        <v>208</v>
      </c>
      <c r="I29" s="37" t="n">
        <v>18</v>
      </c>
      <c r="J29" s="37" t="n">
        <f aca="false">H29*E29</f>
        <v>7862400</v>
      </c>
      <c r="K29" s="36" t="n">
        <v>45312</v>
      </c>
      <c r="L29" s="66" t="n">
        <v>2.5</v>
      </c>
      <c r="M29" s="34" t="str">
        <f aca="false">IF(L29=0,"N/A",TEXT(H29/L29,"0.0"))</f>
        <v>83.2</v>
      </c>
      <c r="N29" s="34" t="str">
        <f aca="false">IF(H29=0,"Out of Stock",IF(H29&lt;I29,"Low Stock","In Stock"))</f>
        <v>In Stock</v>
      </c>
      <c r="O29" s="34" t="s">
        <v>3612</v>
      </c>
      <c r="P29" s="34" t="s">
        <v>3604</v>
      </c>
      <c r="Q29" s="42" t="n">
        <v>18</v>
      </c>
      <c r="R29" s="65" t="n">
        <v>9.89</v>
      </c>
      <c r="S29" s="37" t="n">
        <v>13</v>
      </c>
      <c r="T29" s="37" t="n">
        <f aca="false">(H29+S29)*E29</f>
        <v>8353800</v>
      </c>
    </row>
    <row r="30" customFormat="false" ht="15" hidden="false" customHeight="false" outlineLevel="0" collapsed="false">
      <c r="A30" s="43" t="s">
        <v>3659</v>
      </c>
      <c r="B30" s="44" t="s">
        <v>3660</v>
      </c>
      <c r="C30" s="43" t="s">
        <v>2244</v>
      </c>
      <c r="D30" s="44" t="s">
        <v>3607</v>
      </c>
      <c r="E30" s="46" t="n">
        <v>83700</v>
      </c>
      <c r="F30" s="46" t="n">
        <v>121700</v>
      </c>
      <c r="G30" s="47" t="n">
        <f aca="false">(F30-E30)/E30</f>
        <v>0.45400238948626</v>
      </c>
      <c r="H30" s="46" t="n">
        <v>113</v>
      </c>
      <c r="I30" s="46" t="n">
        <v>19</v>
      </c>
      <c r="J30" s="46" t="n">
        <f aca="false">H30*E30</f>
        <v>9458100</v>
      </c>
      <c r="K30" s="45" t="n">
        <v>45330</v>
      </c>
      <c r="L30" s="70" t="n">
        <v>2.4</v>
      </c>
      <c r="M30" s="43" t="str">
        <f aca="false">IF(L30=0,"N/A",TEXT(H30/L30,"0.0"))</f>
        <v>47.1</v>
      </c>
      <c r="N30" s="43" t="str">
        <f aca="false">IF(H30=0,"Out of Stock",IF(H30&lt;I30,"Low Stock","In Stock"))</f>
        <v>In Stock</v>
      </c>
      <c r="O30" s="43" t="s">
        <v>3612</v>
      </c>
      <c r="P30" s="43" t="s">
        <v>3608</v>
      </c>
      <c r="Q30" s="51" t="n">
        <v>36</v>
      </c>
      <c r="R30" s="69" t="n">
        <v>3.39</v>
      </c>
      <c r="S30" s="46" t="n">
        <v>10</v>
      </c>
      <c r="T30" s="46" t="n">
        <f aca="false">(H30+S30)*E30</f>
        <v>10295100</v>
      </c>
    </row>
    <row r="31" customFormat="false" ht="15" hidden="false" customHeight="false" outlineLevel="0" collapsed="false">
      <c r="A31" s="34" t="s">
        <v>3661</v>
      </c>
      <c r="B31" s="35" t="s">
        <v>3662</v>
      </c>
      <c r="C31" s="34" t="s">
        <v>2181</v>
      </c>
      <c r="D31" s="35" t="s">
        <v>3611</v>
      </c>
      <c r="E31" s="37" t="n">
        <v>77500</v>
      </c>
      <c r="F31" s="37" t="n">
        <v>119100</v>
      </c>
      <c r="G31" s="38" t="n">
        <f aca="false">(F31-E31)/E31</f>
        <v>0.536774193548387</v>
      </c>
      <c r="H31" s="37" t="n">
        <v>304</v>
      </c>
      <c r="I31" s="37" t="n">
        <v>26</v>
      </c>
      <c r="J31" s="37" t="n">
        <f aca="false">H31*E31</f>
        <v>23560000</v>
      </c>
      <c r="K31" s="36" t="n">
        <v>45573</v>
      </c>
      <c r="L31" s="66" t="n">
        <v>43.8</v>
      </c>
      <c r="M31" s="34" t="str">
        <f aca="false">IF(L31=0,"N/A",TEXT(H31/L31,"0.0"))</f>
        <v>6.9</v>
      </c>
      <c r="N31" s="34" t="str">
        <f aca="false">IF(H31=0,"Out of Stock",IF(H31&lt;I31,"Low Stock","In Stock"))</f>
        <v>In Stock</v>
      </c>
      <c r="O31" s="34" t="s">
        <v>3612</v>
      </c>
      <c r="P31" s="34" t="s">
        <v>3595</v>
      </c>
      <c r="Q31" s="42" t="n">
        <v>6</v>
      </c>
      <c r="R31" s="65" t="n">
        <v>13.96</v>
      </c>
      <c r="S31" s="37" t="n">
        <v>15</v>
      </c>
      <c r="T31" s="37" t="n">
        <f aca="false">(H31+S31)*E31</f>
        <v>24722500</v>
      </c>
    </row>
    <row r="32" customFormat="false" ht="15" hidden="false" customHeight="false" outlineLevel="0" collapsed="false">
      <c r="A32" s="43" t="s">
        <v>3663</v>
      </c>
      <c r="B32" s="44" t="s">
        <v>3664</v>
      </c>
      <c r="C32" s="43" t="s">
        <v>2765</v>
      </c>
      <c r="D32" s="44" t="s">
        <v>3631</v>
      </c>
      <c r="E32" s="46" t="n">
        <v>108300</v>
      </c>
      <c r="F32" s="46" t="n">
        <v>168500</v>
      </c>
      <c r="G32" s="47" t="n">
        <f aca="false">(F32-E32)/E32</f>
        <v>0.555863342566944</v>
      </c>
      <c r="H32" s="46" t="n">
        <v>236</v>
      </c>
      <c r="I32" s="46" t="n">
        <v>36</v>
      </c>
      <c r="J32" s="46" t="n">
        <f aca="false">H32*E32</f>
        <v>25558800</v>
      </c>
      <c r="K32" s="45" t="n">
        <v>45599</v>
      </c>
      <c r="L32" s="70" t="n">
        <v>17.6</v>
      </c>
      <c r="M32" s="43" t="str">
        <f aca="false">IF(L32=0,"N/A",TEXT(H32/L32,"0.0"))</f>
        <v>13.4</v>
      </c>
      <c r="N32" s="43" t="str">
        <f aca="false">IF(H32=0,"Out of Stock",IF(H32&lt;I32,"Low Stock","In Stock"))</f>
        <v>In Stock</v>
      </c>
      <c r="O32" s="43" t="s">
        <v>3612</v>
      </c>
      <c r="P32" s="43" t="s">
        <v>3604</v>
      </c>
      <c r="Q32" s="51" t="n">
        <v>24</v>
      </c>
      <c r="R32" s="69" t="n">
        <v>2.63</v>
      </c>
      <c r="S32" s="46" t="n">
        <v>22</v>
      </c>
      <c r="T32" s="46" t="n">
        <f aca="false">(H32+S32)*E32</f>
        <v>27941400</v>
      </c>
    </row>
    <row r="33" customFormat="false" ht="15" hidden="false" customHeight="false" outlineLevel="0" collapsed="false">
      <c r="A33" s="34" t="s">
        <v>3665</v>
      </c>
      <c r="B33" s="35" t="s">
        <v>3666</v>
      </c>
      <c r="C33" s="34" t="s">
        <v>3592</v>
      </c>
      <c r="D33" s="35" t="s">
        <v>3598</v>
      </c>
      <c r="E33" s="37" t="n">
        <v>112200</v>
      </c>
      <c r="F33" s="37" t="n">
        <v>185900</v>
      </c>
      <c r="G33" s="38" t="n">
        <f aca="false">(F33-E33)/E33</f>
        <v>0.656862745098039</v>
      </c>
      <c r="H33" s="37" t="n">
        <v>40</v>
      </c>
      <c r="I33" s="37" t="n">
        <v>45</v>
      </c>
      <c r="J33" s="37" t="n">
        <f aca="false">H33*E33</f>
        <v>4488000</v>
      </c>
      <c r="K33" s="36" t="n">
        <v>45559</v>
      </c>
      <c r="L33" s="66" t="n">
        <v>39.4</v>
      </c>
      <c r="M33" s="34" t="str">
        <f aca="false">IF(L33=0,"N/A",TEXT(H33/L33,"0.0"))</f>
        <v>1.0</v>
      </c>
      <c r="N33" s="34" t="str">
        <f aca="false">IF(H33=0,"Out of Stock",IF(H33&lt;I33,"Low Stock","In Stock"))</f>
        <v>Low Stock</v>
      </c>
      <c r="O33" s="34" t="s">
        <v>3612</v>
      </c>
      <c r="P33" s="34" t="s">
        <v>3595</v>
      </c>
      <c r="Q33" s="42" t="n">
        <v>36</v>
      </c>
      <c r="R33" s="65" t="n">
        <v>1.34</v>
      </c>
      <c r="S33" s="37" t="n">
        <v>11</v>
      </c>
      <c r="T33" s="37" t="n">
        <f aca="false">(H33+S33)*E33</f>
        <v>5722200</v>
      </c>
    </row>
    <row r="34" customFormat="false" ht="15" hidden="false" customHeight="false" outlineLevel="0" collapsed="false">
      <c r="A34" s="43" t="s">
        <v>3667</v>
      </c>
      <c r="B34" s="44" t="s">
        <v>3668</v>
      </c>
      <c r="C34" s="43" t="s">
        <v>2765</v>
      </c>
      <c r="D34" s="44" t="s">
        <v>3607</v>
      </c>
      <c r="E34" s="46" t="n">
        <v>41800</v>
      </c>
      <c r="F34" s="46" t="n">
        <v>65300</v>
      </c>
      <c r="G34" s="47" t="n">
        <f aca="false">(F34-E34)/E34</f>
        <v>0.562200956937799</v>
      </c>
      <c r="H34" s="46" t="n">
        <v>239</v>
      </c>
      <c r="I34" s="46" t="n">
        <v>6</v>
      </c>
      <c r="J34" s="46" t="n">
        <f aca="false">H34*E34</f>
        <v>9990200</v>
      </c>
      <c r="K34" s="45" t="n">
        <v>45622</v>
      </c>
      <c r="L34" s="70" t="n">
        <v>13.3</v>
      </c>
      <c r="M34" s="43" t="str">
        <f aca="false">IF(L34=0,"N/A",TEXT(H34/L34,"0.0"))</f>
        <v>18.0</v>
      </c>
      <c r="N34" s="43" t="str">
        <f aca="false">IF(H34=0,"Out of Stock",IF(H34&lt;I34,"Low Stock","In Stock"))</f>
        <v>In Stock</v>
      </c>
      <c r="O34" s="43" t="s">
        <v>3594</v>
      </c>
      <c r="P34" s="43" t="s">
        <v>3604</v>
      </c>
      <c r="Q34" s="51" t="n">
        <v>18</v>
      </c>
      <c r="R34" s="69" t="n">
        <v>2.58</v>
      </c>
      <c r="S34" s="46" t="n">
        <v>18</v>
      </c>
      <c r="T34" s="46" t="n">
        <f aca="false">(H34+S34)*E34</f>
        <v>10742600</v>
      </c>
    </row>
    <row r="35" customFormat="false" ht="15" hidden="false" customHeight="false" outlineLevel="0" collapsed="false">
      <c r="A35" s="34" t="s">
        <v>3669</v>
      </c>
      <c r="B35" s="35" t="s">
        <v>3670</v>
      </c>
      <c r="C35" s="34" t="s">
        <v>2208</v>
      </c>
      <c r="D35" s="35" t="s">
        <v>3607</v>
      </c>
      <c r="E35" s="37" t="n">
        <v>3500</v>
      </c>
      <c r="F35" s="37" t="n">
        <v>6300</v>
      </c>
      <c r="G35" s="38" t="n">
        <f aca="false">(F35-E35)/E35</f>
        <v>0.8</v>
      </c>
      <c r="H35" s="37" t="n">
        <v>145</v>
      </c>
      <c r="I35" s="37" t="n">
        <v>40</v>
      </c>
      <c r="J35" s="37" t="n">
        <f aca="false">H35*E35</f>
        <v>507500</v>
      </c>
      <c r="K35" s="36" t="n">
        <v>45525</v>
      </c>
      <c r="L35" s="66" t="n">
        <v>59.8</v>
      </c>
      <c r="M35" s="34" t="str">
        <f aca="false">IF(L35=0,"N/A",TEXT(H35/L35,"0.0"))</f>
        <v>2.4</v>
      </c>
      <c r="N35" s="34" t="str">
        <f aca="false">IF(H35=0,"Out of Stock",IF(H35&lt;I35,"Low Stock","In Stock"))</f>
        <v>In Stock</v>
      </c>
      <c r="O35" s="34" t="s">
        <v>3599</v>
      </c>
      <c r="P35" s="34" t="s">
        <v>3604</v>
      </c>
      <c r="Q35" s="42" t="n">
        <v>36</v>
      </c>
      <c r="R35" s="65" t="n">
        <v>5.69</v>
      </c>
      <c r="S35" s="37" t="n">
        <v>7</v>
      </c>
      <c r="T35" s="37" t="n">
        <f aca="false">(H35+S35)*E35</f>
        <v>532000</v>
      </c>
    </row>
    <row r="36" customFormat="false" ht="15" hidden="false" customHeight="false" outlineLevel="0" collapsed="false">
      <c r="A36" s="43" t="s">
        <v>3671</v>
      </c>
      <c r="B36" s="44" t="s">
        <v>3672</v>
      </c>
      <c r="C36" s="43" t="s">
        <v>2244</v>
      </c>
      <c r="D36" s="44" t="s">
        <v>3607</v>
      </c>
      <c r="E36" s="46" t="n">
        <v>16600</v>
      </c>
      <c r="F36" s="46" t="n">
        <v>21200</v>
      </c>
      <c r="G36" s="47" t="n">
        <f aca="false">(F36-E36)/E36</f>
        <v>0.27710843373494</v>
      </c>
      <c r="H36" s="46" t="n">
        <v>111</v>
      </c>
      <c r="I36" s="46" t="n">
        <v>18</v>
      </c>
      <c r="J36" s="46" t="n">
        <f aca="false">H36*E36</f>
        <v>1842600</v>
      </c>
      <c r="K36" s="45" t="n">
        <v>45412</v>
      </c>
      <c r="L36" s="70" t="n">
        <v>79.4</v>
      </c>
      <c r="M36" s="43" t="str">
        <f aca="false">IF(L36=0,"N/A",TEXT(H36/L36,"0.0"))</f>
        <v>1.4</v>
      </c>
      <c r="N36" s="43" t="str">
        <f aca="false">IF(H36=0,"Out of Stock",IF(H36&lt;I36,"Low Stock","In Stock"))</f>
        <v>In Stock</v>
      </c>
      <c r="O36" s="43" t="s">
        <v>3603</v>
      </c>
      <c r="P36" s="43" t="s">
        <v>3608</v>
      </c>
      <c r="Q36" s="51" t="n">
        <v>12</v>
      </c>
      <c r="R36" s="69" t="n">
        <v>4.41</v>
      </c>
      <c r="S36" s="46" t="n">
        <v>18</v>
      </c>
      <c r="T36" s="46" t="n">
        <f aca="false">(H36+S36)*E36</f>
        <v>2141400</v>
      </c>
    </row>
    <row r="37" customFormat="false" ht="15" hidden="false" customHeight="false" outlineLevel="0" collapsed="false">
      <c r="A37" s="34" t="s">
        <v>3673</v>
      </c>
      <c r="B37" s="35" t="s">
        <v>3674</v>
      </c>
      <c r="C37" s="34" t="s">
        <v>2208</v>
      </c>
      <c r="D37" s="35" t="s">
        <v>3631</v>
      </c>
      <c r="E37" s="37" t="n">
        <v>98900</v>
      </c>
      <c r="F37" s="37" t="n">
        <v>135900</v>
      </c>
      <c r="G37" s="38" t="n">
        <f aca="false">(F37-E37)/E37</f>
        <v>0.374115267947422</v>
      </c>
      <c r="H37" s="37" t="n">
        <v>461</v>
      </c>
      <c r="I37" s="37" t="n">
        <v>43</v>
      </c>
      <c r="J37" s="37" t="n">
        <f aca="false">H37*E37</f>
        <v>45592900</v>
      </c>
      <c r="K37" s="36" t="n">
        <v>45535</v>
      </c>
      <c r="L37" s="66" t="n">
        <v>23</v>
      </c>
      <c r="M37" s="34" t="str">
        <f aca="false">IF(L37=0,"N/A",TEXT(H37/L37,"0.0"))</f>
        <v>20.0</v>
      </c>
      <c r="N37" s="34" t="str">
        <f aca="false">IF(H37=0,"Out of Stock",IF(H37&lt;I37,"Low Stock","In Stock"))</f>
        <v>In Stock</v>
      </c>
      <c r="O37" s="34" t="s">
        <v>3612</v>
      </c>
      <c r="P37" s="34" t="s">
        <v>3608</v>
      </c>
      <c r="Q37" s="42" t="n">
        <v>6</v>
      </c>
      <c r="R37" s="65" t="n">
        <v>5.51</v>
      </c>
      <c r="S37" s="37" t="n">
        <v>24</v>
      </c>
      <c r="T37" s="37" t="n">
        <f aca="false">(H37+S37)*E37</f>
        <v>47966500</v>
      </c>
    </row>
    <row r="38" customFormat="false" ht="15" hidden="false" customHeight="false" outlineLevel="0" collapsed="false">
      <c r="A38" s="43" t="s">
        <v>3675</v>
      </c>
      <c r="B38" s="44" t="s">
        <v>3676</v>
      </c>
      <c r="C38" s="43" t="s">
        <v>2244</v>
      </c>
      <c r="D38" s="44" t="s">
        <v>3593</v>
      </c>
      <c r="E38" s="46" t="n">
        <v>51900</v>
      </c>
      <c r="F38" s="46" t="n">
        <v>71600</v>
      </c>
      <c r="G38" s="47" t="n">
        <f aca="false">(F38-E38)/E38</f>
        <v>0.379576107899807</v>
      </c>
      <c r="H38" s="46" t="n">
        <v>206</v>
      </c>
      <c r="I38" s="46" t="n">
        <v>36</v>
      </c>
      <c r="J38" s="46" t="n">
        <f aca="false">H38*E38</f>
        <v>10691400</v>
      </c>
      <c r="K38" s="45" t="n">
        <v>45383</v>
      </c>
      <c r="L38" s="70" t="n">
        <v>60.8</v>
      </c>
      <c r="M38" s="43" t="str">
        <f aca="false">IF(L38=0,"N/A",TEXT(H38/L38,"0.0"))</f>
        <v>3.4</v>
      </c>
      <c r="N38" s="43" t="str">
        <f aca="false">IF(H38=0,"Out of Stock",IF(H38&lt;I38,"Low Stock","In Stock"))</f>
        <v>In Stock</v>
      </c>
      <c r="O38" s="43" t="s">
        <v>3599</v>
      </c>
      <c r="P38" s="43" t="s">
        <v>3595</v>
      </c>
      <c r="Q38" s="51" t="n">
        <v>24</v>
      </c>
      <c r="R38" s="69" t="n">
        <v>12.41</v>
      </c>
      <c r="S38" s="46" t="n">
        <v>9</v>
      </c>
      <c r="T38" s="46" t="n">
        <f aca="false">(H38+S38)*E38</f>
        <v>11158500</v>
      </c>
    </row>
    <row r="39" customFormat="false" ht="15" hidden="false" customHeight="false" outlineLevel="0" collapsed="false">
      <c r="A39" s="34" t="s">
        <v>3677</v>
      </c>
      <c r="B39" s="35" t="s">
        <v>3678</v>
      </c>
      <c r="C39" s="34" t="s">
        <v>2208</v>
      </c>
      <c r="D39" s="35" t="s">
        <v>3631</v>
      </c>
      <c r="E39" s="37" t="n">
        <v>900</v>
      </c>
      <c r="F39" s="37" t="n">
        <v>1500</v>
      </c>
      <c r="G39" s="38" t="n">
        <f aca="false">(F39-E39)/E39</f>
        <v>0.666666666666667</v>
      </c>
      <c r="H39" s="37" t="n">
        <v>171</v>
      </c>
      <c r="I39" s="37" t="n">
        <v>34</v>
      </c>
      <c r="J39" s="37" t="n">
        <f aca="false">H39*E39</f>
        <v>153900</v>
      </c>
      <c r="K39" s="36" t="n">
        <v>45422</v>
      </c>
      <c r="L39" s="66" t="n">
        <v>52.8</v>
      </c>
      <c r="M39" s="34" t="str">
        <f aca="false">IF(L39=0,"N/A",TEXT(H39/L39,"0.0"))</f>
        <v>3.2</v>
      </c>
      <c r="N39" s="34" t="str">
        <f aca="false">IF(H39=0,"Out of Stock",IF(H39&lt;I39,"Low Stock","In Stock"))</f>
        <v>In Stock</v>
      </c>
      <c r="O39" s="34" t="s">
        <v>3594</v>
      </c>
      <c r="P39" s="34" t="s">
        <v>3604</v>
      </c>
      <c r="Q39" s="42" t="n">
        <v>24</v>
      </c>
      <c r="R39" s="65" t="n">
        <v>13.62</v>
      </c>
      <c r="S39" s="37" t="n">
        <v>21</v>
      </c>
      <c r="T39" s="37" t="n">
        <f aca="false">(H39+S39)*E39</f>
        <v>172800</v>
      </c>
    </row>
    <row r="40" customFormat="false" ht="15" hidden="false" customHeight="false" outlineLevel="0" collapsed="false">
      <c r="A40" s="43" t="s">
        <v>3679</v>
      </c>
      <c r="B40" s="44" t="s">
        <v>3680</v>
      </c>
      <c r="C40" s="43" t="s">
        <v>2208</v>
      </c>
      <c r="D40" s="44" t="s">
        <v>3611</v>
      </c>
      <c r="E40" s="46" t="n">
        <v>25200</v>
      </c>
      <c r="F40" s="46" t="n">
        <v>43100</v>
      </c>
      <c r="G40" s="47" t="n">
        <f aca="false">(F40-E40)/E40</f>
        <v>0.71031746031746</v>
      </c>
      <c r="H40" s="46" t="n">
        <v>316</v>
      </c>
      <c r="I40" s="46" t="n">
        <v>19</v>
      </c>
      <c r="J40" s="46" t="n">
        <f aca="false">H40*E40</f>
        <v>7963200</v>
      </c>
      <c r="K40" s="45" t="n">
        <v>45296</v>
      </c>
      <c r="L40" s="70" t="n">
        <v>11.9</v>
      </c>
      <c r="M40" s="43" t="str">
        <f aca="false">IF(L40=0,"N/A",TEXT(H40/L40,"0.0"))</f>
        <v>26.6</v>
      </c>
      <c r="N40" s="43" t="str">
        <f aca="false">IF(H40=0,"Out of Stock",IF(H40&lt;I40,"Low Stock","In Stock"))</f>
        <v>In Stock</v>
      </c>
      <c r="O40" s="43" t="s">
        <v>3594</v>
      </c>
      <c r="P40" s="43" t="s">
        <v>3608</v>
      </c>
      <c r="Q40" s="51" t="n">
        <v>6</v>
      </c>
      <c r="R40" s="69" t="n">
        <v>7.6</v>
      </c>
      <c r="S40" s="46" t="n">
        <v>19</v>
      </c>
      <c r="T40" s="46" t="n">
        <f aca="false">(H40+S40)*E40</f>
        <v>8442000</v>
      </c>
    </row>
    <row r="41" customFormat="false" ht="15" hidden="false" customHeight="false" outlineLevel="0" collapsed="false">
      <c r="A41" s="34" t="s">
        <v>3681</v>
      </c>
      <c r="B41" s="35" t="s">
        <v>3682</v>
      </c>
      <c r="C41" s="34" t="s">
        <v>2110</v>
      </c>
      <c r="D41" s="35" t="s">
        <v>3611</v>
      </c>
      <c r="E41" s="37" t="n">
        <v>3400</v>
      </c>
      <c r="F41" s="37" t="n">
        <v>5000</v>
      </c>
      <c r="G41" s="38" t="n">
        <f aca="false">(F41-E41)/E41</f>
        <v>0.470588235294118</v>
      </c>
      <c r="H41" s="37" t="n">
        <v>127</v>
      </c>
      <c r="I41" s="37" t="n">
        <v>15</v>
      </c>
      <c r="J41" s="37" t="n">
        <f aca="false">H41*E41</f>
        <v>431800</v>
      </c>
      <c r="K41" s="36" t="n">
        <v>45552</v>
      </c>
      <c r="L41" s="66" t="n">
        <v>46</v>
      </c>
      <c r="M41" s="34" t="str">
        <f aca="false">IF(L41=0,"N/A",TEXT(H41/L41,"0.0"))</f>
        <v>2.8</v>
      </c>
      <c r="N41" s="34" t="str">
        <f aca="false">IF(H41=0,"Out of Stock",IF(H41&lt;I41,"Low Stock","In Stock"))</f>
        <v>In Stock</v>
      </c>
      <c r="O41" s="34" t="s">
        <v>3615</v>
      </c>
      <c r="P41" s="34" t="s">
        <v>3608</v>
      </c>
      <c r="Q41" s="42" t="n">
        <v>18</v>
      </c>
      <c r="R41" s="65" t="n">
        <v>10.3</v>
      </c>
      <c r="S41" s="37" t="n">
        <v>15</v>
      </c>
      <c r="T41" s="37" t="n">
        <f aca="false">(H41+S41)*E41</f>
        <v>482800</v>
      </c>
    </row>
    <row r="42" customFormat="false" ht="15" hidden="false" customHeight="false" outlineLevel="0" collapsed="false">
      <c r="A42" s="43" t="s">
        <v>3683</v>
      </c>
      <c r="B42" s="44" t="s">
        <v>3684</v>
      </c>
      <c r="C42" s="43" t="s">
        <v>2181</v>
      </c>
      <c r="D42" s="44" t="s">
        <v>3598</v>
      </c>
      <c r="E42" s="46" t="n">
        <v>51500</v>
      </c>
      <c r="F42" s="46" t="n">
        <v>84500</v>
      </c>
      <c r="G42" s="47" t="n">
        <f aca="false">(F42-E42)/E42</f>
        <v>0.640776699029126</v>
      </c>
      <c r="H42" s="46" t="n">
        <v>442</v>
      </c>
      <c r="I42" s="46" t="n">
        <v>17</v>
      </c>
      <c r="J42" s="46" t="n">
        <f aca="false">H42*E42</f>
        <v>22763000</v>
      </c>
      <c r="K42" s="45" t="n">
        <v>45469</v>
      </c>
      <c r="L42" s="70" t="n">
        <v>68.2</v>
      </c>
      <c r="M42" s="43" t="str">
        <f aca="false">IF(L42=0,"N/A",TEXT(H42/L42,"0.0"))</f>
        <v>6.5</v>
      </c>
      <c r="N42" s="43" t="str">
        <f aca="false">IF(H42=0,"Out of Stock",IF(H42&lt;I42,"Low Stock","In Stock"))</f>
        <v>In Stock</v>
      </c>
      <c r="O42" s="43" t="s">
        <v>3599</v>
      </c>
      <c r="P42" s="43" t="s">
        <v>3604</v>
      </c>
      <c r="Q42" s="51" t="n">
        <v>12</v>
      </c>
      <c r="R42" s="69" t="n">
        <v>6.92</v>
      </c>
      <c r="S42" s="46" t="n">
        <v>5</v>
      </c>
      <c r="T42" s="46" t="n">
        <f aca="false">(H42+S42)*E42</f>
        <v>23020500</v>
      </c>
    </row>
    <row r="43" customFormat="false" ht="15" hidden="false" customHeight="false" outlineLevel="0" collapsed="false">
      <c r="A43" s="34" t="s">
        <v>3685</v>
      </c>
      <c r="B43" s="35" t="s">
        <v>3686</v>
      </c>
      <c r="C43" s="34" t="s">
        <v>2110</v>
      </c>
      <c r="D43" s="35" t="s">
        <v>3602</v>
      </c>
      <c r="E43" s="37" t="n">
        <v>42800</v>
      </c>
      <c r="F43" s="37" t="n">
        <v>55900</v>
      </c>
      <c r="G43" s="38" t="n">
        <f aca="false">(F43-E43)/E43</f>
        <v>0.30607476635514</v>
      </c>
      <c r="H43" s="37" t="n">
        <v>33</v>
      </c>
      <c r="I43" s="37" t="n">
        <v>6</v>
      </c>
      <c r="J43" s="37" t="n">
        <f aca="false">H43*E43</f>
        <v>1412400</v>
      </c>
      <c r="K43" s="36" t="n">
        <v>45505</v>
      </c>
      <c r="L43" s="66" t="n">
        <v>17.4</v>
      </c>
      <c r="M43" s="34" t="str">
        <f aca="false">IF(L43=0,"N/A",TEXT(H43/L43,"0.0"))</f>
        <v>1.9</v>
      </c>
      <c r="N43" s="34" t="str">
        <f aca="false">IF(H43=0,"Out of Stock",IF(H43&lt;I43,"Low Stock","In Stock"))</f>
        <v>In Stock</v>
      </c>
      <c r="O43" s="34" t="s">
        <v>3603</v>
      </c>
      <c r="P43" s="34" t="s">
        <v>3595</v>
      </c>
      <c r="Q43" s="42" t="n">
        <v>36</v>
      </c>
      <c r="R43" s="65" t="n">
        <v>6.94</v>
      </c>
      <c r="S43" s="37" t="n">
        <v>14</v>
      </c>
      <c r="T43" s="37" t="n">
        <f aca="false">(H43+S43)*E43</f>
        <v>2011600</v>
      </c>
    </row>
    <row r="44" customFormat="false" ht="15" hidden="false" customHeight="false" outlineLevel="0" collapsed="false">
      <c r="A44" s="43" t="s">
        <v>3687</v>
      </c>
      <c r="B44" s="44" t="s">
        <v>3688</v>
      </c>
      <c r="C44" s="43" t="s">
        <v>2181</v>
      </c>
      <c r="D44" s="44" t="s">
        <v>3602</v>
      </c>
      <c r="E44" s="46" t="n">
        <v>60900</v>
      </c>
      <c r="F44" s="46" t="n">
        <v>97500</v>
      </c>
      <c r="G44" s="47" t="n">
        <f aca="false">(F44-E44)/E44</f>
        <v>0.600985221674877</v>
      </c>
      <c r="H44" s="46" t="n">
        <v>56</v>
      </c>
      <c r="I44" s="46" t="n">
        <v>43</v>
      </c>
      <c r="J44" s="46" t="n">
        <f aca="false">H44*E44</f>
        <v>3410400</v>
      </c>
      <c r="K44" s="45" t="n">
        <v>45372</v>
      </c>
      <c r="L44" s="70" t="n">
        <v>67.2</v>
      </c>
      <c r="M44" s="43" t="str">
        <f aca="false">IF(L44=0,"N/A",TEXT(H44/L44,"0.0"))</f>
        <v>0.8</v>
      </c>
      <c r="N44" s="43" t="str">
        <f aca="false">IF(H44=0,"Out of Stock",IF(H44&lt;I44,"Low Stock","In Stock"))</f>
        <v>In Stock</v>
      </c>
      <c r="O44" s="43" t="s">
        <v>3599</v>
      </c>
      <c r="P44" s="43" t="s">
        <v>3604</v>
      </c>
      <c r="Q44" s="51" t="n">
        <v>12</v>
      </c>
      <c r="R44" s="69" t="n">
        <v>13.81</v>
      </c>
      <c r="S44" s="46" t="n">
        <v>27</v>
      </c>
      <c r="T44" s="46" t="n">
        <f aca="false">(H44+S44)*E44</f>
        <v>5054700</v>
      </c>
    </row>
    <row r="45" customFormat="false" ht="15" hidden="false" customHeight="false" outlineLevel="0" collapsed="false">
      <c r="A45" s="34" t="s">
        <v>3689</v>
      </c>
      <c r="B45" s="35" t="s">
        <v>3690</v>
      </c>
      <c r="C45" s="34" t="s">
        <v>2110</v>
      </c>
      <c r="D45" s="35" t="s">
        <v>3620</v>
      </c>
      <c r="E45" s="37" t="n">
        <v>1400</v>
      </c>
      <c r="F45" s="37" t="n">
        <v>2500</v>
      </c>
      <c r="G45" s="38" t="n">
        <f aca="false">(F45-E45)/E45</f>
        <v>0.785714285714286</v>
      </c>
      <c r="H45" s="37" t="n">
        <v>349</v>
      </c>
      <c r="I45" s="37" t="n">
        <v>48</v>
      </c>
      <c r="J45" s="37" t="n">
        <f aca="false">H45*E45</f>
        <v>488600</v>
      </c>
      <c r="K45" s="36" t="n">
        <v>45450</v>
      </c>
      <c r="L45" s="66" t="n">
        <v>33.1</v>
      </c>
      <c r="M45" s="34" t="str">
        <f aca="false">IF(L45=0,"N/A",TEXT(H45/L45,"0.0"))</f>
        <v>10.5</v>
      </c>
      <c r="N45" s="34" t="str">
        <f aca="false">IF(H45=0,"Out of Stock",IF(H45&lt;I45,"Low Stock","In Stock"))</f>
        <v>In Stock</v>
      </c>
      <c r="O45" s="34" t="s">
        <v>3615</v>
      </c>
      <c r="P45" s="34" t="s">
        <v>3604</v>
      </c>
      <c r="Q45" s="42" t="n">
        <v>24</v>
      </c>
      <c r="R45" s="65" t="n">
        <v>14.93</v>
      </c>
      <c r="S45" s="37" t="n">
        <v>16</v>
      </c>
      <c r="T45" s="37" t="n">
        <f aca="false">(H45+S45)*E45</f>
        <v>511000</v>
      </c>
    </row>
    <row r="46" customFormat="false" ht="15" hidden="false" customHeight="false" outlineLevel="0" collapsed="false">
      <c r="A46" s="43" t="s">
        <v>3691</v>
      </c>
      <c r="B46" s="44" t="s">
        <v>3692</v>
      </c>
      <c r="C46" s="43" t="s">
        <v>2765</v>
      </c>
      <c r="D46" s="44" t="s">
        <v>3598</v>
      </c>
      <c r="E46" s="46" t="n">
        <v>70900</v>
      </c>
      <c r="F46" s="46" t="n">
        <v>91900</v>
      </c>
      <c r="G46" s="47" t="n">
        <f aca="false">(F46-E46)/E46</f>
        <v>0.296191819464034</v>
      </c>
      <c r="H46" s="46" t="n">
        <v>397</v>
      </c>
      <c r="I46" s="46" t="n">
        <v>43</v>
      </c>
      <c r="J46" s="46" t="n">
        <f aca="false">H46*E46</f>
        <v>28147300</v>
      </c>
      <c r="K46" s="45" t="n">
        <v>45389</v>
      </c>
      <c r="L46" s="70" t="n">
        <v>52.1</v>
      </c>
      <c r="M46" s="43" t="str">
        <f aca="false">IF(L46=0,"N/A",TEXT(H46/L46,"0.0"))</f>
        <v>7.6</v>
      </c>
      <c r="N46" s="43" t="str">
        <f aca="false">IF(H46=0,"Out of Stock",IF(H46&lt;I46,"Low Stock","In Stock"))</f>
        <v>In Stock</v>
      </c>
      <c r="O46" s="43" t="s">
        <v>3603</v>
      </c>
      <c r="P46" s="43" t="s">
        <v>3595</v>
      </c>
      <c r="Q46" s="51" t="n">
        <v>24</v>
      </c>
      <c r="R46" s="69" t="n">
        <v>10.75</v>
      </c>
      <c r="S46" s="46" t="n">
        <v>17</v>
      </c>
      <c r="T46" s="46" t="n">
        <f aca="false">(H46+S46)*E46</f>
        <v>29352600</v>
      </c>
    </row>
    <row r="47" customFormat="false" ht="15" hidden="false" customHeight="false" outlineLevel="0" collapsed="false">
      <c r="A47" s="34" t="s">
        <v>3693</v>
      </c>
      <c r="B47" s="35" t="s">
        <v>3694</v>
      </c>
      <c r="C47" s="34" t="s">
        <v>2765</v>
      </c>
      <c r="D47" s="35" t="s">
        <v>3607</v>
      </c>
      <c r="E47" s="37" t="n">
        <v>52700</v>
      </c>
      <c r="F47" s="37" t="n">
        <v>98200</v>
      </c>
      <c r="G47" s="38" t="n">
        <f aca="false">(F47-E47)/E47</f>
        <v>0.863377609108159</v>
      </c>
      <c r="H47" s="37" t="n">
        <v>371</v>
      </c>
      <c r="I47" s="37" t="n">
        <v>7</v>
      </c>
      <c r="J47" s="37" t="n">
        <f aca="false">H47*E47</f>
        <v>19551700</v>
      </c>
      <c r="K47" s="36" t="n">
        <v>45656</v>
      </c>
      <c r="L47" s="66" t="n">
        <v>29.7</v>
      </c>
      <c r="M47" s="34" t="str">
        <f aca="false">IF(L47=0,"N/A",TEXT(H47/L47,"0.0"))</f>
        <v>12.5</v>
      </c>
      <c r="N47" s="34" t="str">
        <f aca="false">IF(H47=0,"Out of Stock",IF(H47&lt;I47,"Low Stock","In Stock"))</f>
        <v>In Stock</v>
      </c>
      <c r="O47" s="34" t="s">
        <v>3603</v>
      </c>
      <c r="P47" s="34" t="s">
        <v>3595</v>
      </c>
      <c r="Q47" s="42" t="n">
        <v>24</v>
      </c>
      <c r="R47" s="65" t="n">
        <v>13.92</v>
      </c>
      <c r="S47" s="37" t="n">
        <v>22</v>
      </c>
      <c r="T47" s="37" t="n">
        <f aca="false">(H47+S47)*E47</f>
        <v>20711100</v>
      </c>
    </row>
    <row r="48" customFormat="false" ht="15" hidden="false" customHeight="false" outlineLevel="0" collapsed="false">
      <c r="A48" s="43" t="s">
        <v>3695</v>
      </c>
      <c r="B48" s="44" t="s">
        <v>2102</v>
      </c>
      <c r="C48" s="43" t="s">
        <v>3592</v>
      </c>
      <c r="D48" s="44" t="s">
        <v>3602</v>
      </c>
      <c r="E48" s="46" t="n">
        <v>111500</v>
      </c>
      <c r="F48" s="46" t="n">
        <v>157200</v>
      </c>
      <c r="G48" s="47" t="n">
        <f aca="false">(F48-E48)/E48</f>
        <v>0.409865470852018</v>
      </c>
      <c r="H48" s="46" t="n">
        <v>422</v>
      </c>
      <c r="I48" s="46" t="n">
        <v>42</v>
      </c>
      <c r="J48" s="46" t="n">
        <f aca="false">H48*E48</f>
        <v>47053000</v>
      </c>
      <c r="K48" s="45" t="n">
        <v>45593</v>
      </c>
      <c r="L48" s="70" t="n">
        <v>60.5</v>
      </c>
      <c r="M48" s="43" t="str">
        <f aca="false">IF(L48=0,"N/A",TEXT(H48/L48,"0.0"))</f>
        <v>7.0</v>
      </c>
      <c r="N48" s="43" t="str">
        <f aca="false">IF(H48=0,"Out of Stock",IF(H48&lt;I48,"Low Stock","In Stock"))</f>
        <v>In Stock</v>
      </c>
      <c r="O48" s="43" t="s">
        <v>3603</v>
      </c>
      <c r="P48" s="43" t="s">
        <v>3595</v>
      </c>
      <c r="Q48" s="51" t="n">
        <v>18</v>
      </c>
      <c r="R48" s="69" t="n">
        <v>10.86</v>
      </c>
      <c r="S48" s="46" t="n">
        <v>3</v>
      </c>
      <c r="T48" s="46" t="n">
        <f aca="false">(H48+S48)*E48</f>
        <v>47387500</v>
      </c>
    </row>
    <row r="49" customFormat="false" ht="15" hidden="false" customHeight="false" outlineLevel="0" collapsed="false">
      <c r="A49" s="34" t="s">
        <v>3696</v>
      </c>
      <c r="B49" s="35" t="s">
        <v>3697</v>
      </c>
      <c r="C49" s="34" t="s">
        <v>2103</v>
      </c>
      <c r="D49" s="35" t="s">
        <v>3602</v>
      </c>
      <c r="E49" s="37" t="n">
        <v>104700</v>
      </c>
      <c r="F49" s="37" t="n">
        <v>166100</v>
      </c>
      <c r="G49" s="38" t="n">
        <f aca="false">(F49-E49)/E49</f>
        <v>0.586437440305635</v>
      </c>
      <c r="H49" s="37" t="n">
        <v>135</v>
      </c>
      <c r="I49" s="37" t="n">
        <v>11</v>
      </c>
      <c r="J49" s="37" t="n">
        <f aca="false">H49*E49</f>
        <v>14134500</v>
      </c>
      <c r="K49" s="36" t="n">
        <v>45470</v>
      </c>
      <c r="L49" s="66" t="n">
        <v>27.1</v>
      </c>
      <c r="M49" s="34" t="str">
        <f aca="false">IF(L49=0,"N/A",TEXT(H49/L49,"0.0"))</f>
        <v>5.0</v>
      </c>
      <c r="N49" s="34" t="str">
        <f aca="false">IF(H49=0,"Out of Stock",IF(H49&lt;I49,"Low Stock","In Stock"))</f>
        <v>In Stock</v>
      </c>
      <c r="O49" s="34" t="s">
        <v>3599</v>
      </c>
      <c r="P49" s="34" t="s">
        <v>3595</v>
      </c>
      <c r="Q49" s="42" t="n">
        <v>24</v>
      </c>
      <c r="R49" s="65" t="n">
        <v>1.2</v>
      </c>
      <c r="S49" s="37" t="n">
        <v>22</v>
      </c>
      <c r="T49" s="37" t="n">
        <f aca="false">(H49+S49)*E49</f>
        <v>16437900</v>
      </c>
    </row>
    <row r="50" customFormat="false" ht="15" hidden="false" customHeight="false" outlineLevel="0" collapsed="false">
      <c r="A50" s="43" t="s">
        <v>3698</v>
      </c>
      <c r="B50" s="44" t="s">
        <v>3699</v>
      </c>
      <c r="C50" s="43" t="s">
        <v>2765</v>
      </c>
      <c r="D50" s="44" t="s">
        <v>3631</v>
      </c>
      <c r="E50" s="46" t="n">
        <v>90800</v>
      </c>
      <c r="F50" s="46" t="n">
        <v>141300</v>
      </c>
      <c r="G50" s="47" t="n">
        <f aca="false">(F50-E50)/E50</f>
        <v>0.556167400881057</v>
      </c>
      <c r="H50" s="46" t="n">
        <v>403</v>
      </c>
      <c r="I50" s="46" t="n">
        <v>33</v>
      </c>
      <c r="J50" s="46" t="n">
        <f aca="false">H50*E50</f>
        <v>36592400</v>
      </c>
      <c r="K50" s="45" t="n">
        <v>45513</v>
      </c>
      <c r="L50" s="70" t="n">
        <v>56.3</v>
      </c>
      <c r="M50" s="43" t="str">
        <f aca="false">IF(L50=0,"N/A",TEXT(H50/L50,"0.0"))</f>
        <v>7.2</v>
      </c>
      <c r="N50" s="43" t="str">
        <f aca="false">IF(H50=0,"Out of Stock",IF(H50&lt;I50,"Low Stock","In Stock"))</f>
        <v>In Stock</v>
      </c>
      <c r="O50" s="43" t="s">
        <v>3599</v>
      </c>
      <c r="P50" s="43" t="s">
        <v>3595</v>
      </c>
      <c r="Q50" s="51" t="n">
        <v>6</v>
      </c>
      <c r="R50" s="69" t="n">
        <v>4.2</v>
      </c>
      <c r="S50" s="46" t="n">
        <v>18</v>
      </c>
      <c r="T50" s="46" t="n">
        <f aca="false">(H50+S50)*E50</f>
        <v>38226800</v>
      </c>
    </row>
    <row r="51" customFormat="false" ht="15" hidden="false" customHeight="false" outlineLevel="0" collapsed="false">
      <c r="A51" s="34" t="s">
        <v>3700</v>
      </c>
      <c r="B51" s="35" t="s">
        <v>3701</v>
      </c>
      <c r="C51" s="34" t="s">
        <v>2244</v>
      </c>
      <c r="D51" s="35" t="s">
        <v>3631</v>
      </c>
      <c r="E51" s="37" t="n">
        <v>3900</v>
      </c>
      <c r="F51" s="37" t="n">
        <v>5400</v>
      </c>
      <c r="G51" s="38" t="n">
        <f aca="false">(F51-E51)/E51</f>
        <v>0.384615384615385</v>
      </c>
      <c r="H51" s="37" t="n">
        <v>189</v>
      </c>
      <c r="I51" s="37" t="n">
        <v>41</v>
      </c>
      <c r="J51" s="37" t="n">
        <f aca="false">H51*E51</f>
        <v>737100</v>
      </c>
      <c r="K51" s="36" t="n">
        <v>45498</v>
      </c>
      <c r="L51" s="66" t="n">
        <v>29.7</v>
      </c>
      <c r="M51" s="34" t="str">
        <f aca="false">IF(L51=0,"N/A",TEXT(H51/L51,"0.0"))</f>
        <v>6.4</v>
      </c>
      <c r="N51" s="34" t="str">
        <f aca="false">IF(H51=0,"Out of Stock",IF(H51&lt;I51,"Low Stock","In Stock"))</f>
        <v>In Stock</v>
      </c>
      <c r="O51" s="34" t="s">
        <v>3594</v>
      </c>
      <c r="P51" s="34" t="s">
        <v>3595</v>
      </c>
      <c r="Q51" s="42" t="n">
        <v>12</v>
      </c>
      <c r="R51" s="65" t="n">
        <v>4.67</v>
      </c>
      <c r="S51" s="37" t="n">
        <v>9</v>
      </c>
      <c r="T51" s="37" t="n">
        <f aca="false">(H51+S51)*E51</f>
        <v>772200</v>
      </c>
    </row>
    <row r="52" customFormat="false" ht="15" hidden="false" customHeight="false" outlineLevel="0" collapsed="false">
      <c r="A52" s="43" t="s">
        <v>3702</v>
      </c>
      <c r="B52" s="44" t="s">
        <v>3703</v>
      </c>
      <c r="C52" s="43" t="s">
        <v>2208</v>
      </c>
      <c r="D52" s="44" t="s">
        <v>3598</v>
      </c>
      <c r="E52" s="46" t="n">
        <v>58100</v>
      </c>
      <c r="F52" s="46" t="n">
        <v>101000</v>
      </c>
      <c r="G52" s="47" t="n">
        <f aca="false">(F52-E52)/E52</f>
        <v>0.738382099827883</v>
      </c>
      <c r="H52" s="46" t="n">
        <v>79</v>
      </c>
      <c r="I52" s="46" t="n">
        <v>49</v>
      </c>
      <c r="J52" s="46" t="n">
        <f aca="false">H52*E52</f>
        <v>4589900</v>
      </c>
      <c r="K52" s="45" t="n">
        <v>45513</v>
      </c>
      <c r="L52" s="70" t="n">
        <v>11.2</v>
      </c>
      <c r="M52" s="43" t="str">
        <f aca="false">IF(L52=0,"N/A",TEXT(H52/L52,"0.0"))</f>
        <v>7.1</v>
      </c>
      <c r="N52" s="43" t="str">
        <f aca="false">IF(H52=0,"Out of Stock",IF(H52&lt;I52,"Low Stock","In Stock"))</f>
        <v>In Stock</v>
      </c>
      <c r="O52" s="43" t="s">
        <v>3612</v>
      </c>
      <c r="P52" s="43" t="s">
        <v>3595</v>
      </c>
      <c r="Q52" s="51" t="n">
        <v>24</v>
      </c>
      <c r="R52" s="69" t="n">
        <v>4.46</v>
      </c>
      <c r="S52" s="46" t="n">
        <v>19</v>
      </c>
      <c r="T52" s="46" t="n">
        <f aca="false">(H52+S52)*E52</f>
        <v>5693800</v>
      </c>
    </row>
    <row r="53" customFormat="false" ht="15" hidden="false" customHeight="false" outlineLevel="0" collapsed="false">
      <c r="A53" s="34" t="s">
        <v>3704</v>
      </c>
      <c r="B53" s="35" t="s">
        <v>3591</v>
      </c>
      <c r="C53" s="34" t="s">
        <v>3592</v>
      </c>
      <c r="D53" s="35" t="s">
        <v>3607</v>
      </c>
      <c r="E53" s="37" t="n">
        <v>28200</v>
      </c>
      <c r="F53" s="37" t="n">
        <v>47000</v>
      </c>
      <c r="G53" s="38" t="n">
        <f aca="false">(F53-E53)/E53</f>
        <v>0.666666666666667</v>
      </c>
      <c r="H53" s="37" t="n">
        <v>75</v>
      </c>
      <c r="I53" s="37" t="n">
        <v>42</v>
      </c>
      <c r="J53" s="37" t="n">
        <f aca="false">H53*E53</f>
        <v>2115000</v>
      </c>
      <c r="K53" s="36" t="n">
        <v>45609</v>
      </c>
      <c r="L53" s="66" t="n">
        <v>2</v>
      </c>
      <c r="M53" s="34" t="str">
        <f aca="false">IF(L53=0,"N/A",TEXT(H53/L53,"0.0"))</f>
        <v>37.5</v>
      </c>
      <c r="N53" s="34" t="str">
        <f aca="false">IF(H53=0,"Out of Stock",IF(H53&lt;I53,"Low Stock","In Stock"))</f>
        <v>In Stock</v>
      </c>
      <c r="O53" s="34" t="s">
        <v>3603</v>
      </c>
      <c r="P53" s="34" t="s">
        <v>3604</v>
      </c>
      <c r="Q53" s="42" t="n">
        <v>36</v>
      </c>
      <c r="R53" s="65" t="n">
        <v>10.84</v>
      </c>
      <c r="S53" s="37" t="n">
        <v>11</v>
      </c>
      <c r="T53" s="37" t="n">
        <f aca="false">(H53+S53)*E53</f>
        <v>2425200</v>
      </c>
    </row>
    <row r="54" customFormat="false" ht="15" hidden="false" customHeight="false" outlineLevel="0" collapsed="false">
      <c r="A54" s="43" t="s">
        <v>3705</v>
      </c>
      <c r="B54" s="44" t="s">
        <v>3597</v>
      </c>
      <c r="C54" s="43" t="s">
        <v>2244</v>
      </c>
      <c r="D54" s="44" t="s">
        <v>3602</v>
      </c>
      <c r="E54" s="46" t="n">
        <v>45600</v>
      </c>
      <c r="F54" s="46" t="n">
        <v>78200</v>
      </c>
      <c r="G54" s="47" t="n">
        <f aca="false">(F54-E54)/E54</f>
        <v>0.714912280701754</v>
      </c>
      <c r="H54" s="46" t="n">
        <v>300</v>
      </c>
      <c r="I54" s="46" t="n">
        <v>37</v>
      </c>
      <c r="J54" s="46" t="n">
        <f aca="false">H54*E54</f>
        <v>13680000</v>
      </c>
      <c r="K54" s="45" t="n">
        <v>45535</v>
      </c>
      <c r="L54" s="70" t="n">
        <v>25.8</v>
      </c>
      <c r="M54" s="43" t="str">
        <f aca="false">IF(L54=0,"N/A",TEXT(H54/L54,"0.0"))</f>
        <v>11.6</v>
      </c>
      <c r="N54" s="43" t="str">
        <f aca="false">IF(H54=0,"Out of Stock",IF(H54&lt;I54,"Low Stock","In Stock"))</f>
        <v>In Stock</v>
      </c>
      <c r="O54" s="43" t="s">
        <v>3599</v>
      </c>
      <c r="P54" s="43" t="s">
        <v>3608</v>
      </c>
      <c r="Q54" s="51" t="n">
        <v>24</v>
      </c>
      <c r="R54" s="69" t="n">
        <v>5.73</v>
      </c>
      <c r="S54" s="46" t="n">
        <v>11</v>
      </c>
      <c r="T54" s="46" t="n">
        <f aca="false">(H54+S54)*E54</f>
        <v>14181600</v>
      </c>
    </row>
    <row r="55" customFormat="false" ht="15" hidden="false" customHeight="false" outlineLevel="0" collapsed="false">
      <c r="A55" s="34" t="s">
        <v>3706</v>
      </c>
      <c r="B55" s="35" t="s">
        <v>3601</v>
      </c>
      <c r="C55" s="34" t="s">
        <v>2208</v>
      </c>
      <c r="D55" s="35" t="s">
        <v>3602</v>
      </c>
      <c r="E55" s="37" t="n">
        <v>63900</v>
      </c>
      <c r="F55" s="37" t="n">
        <v>122500</v>
      </c>
      <c r="G55" s="38" t="n">
        <f aca="false">(F55-E55)/E55</f>
        <v>0.917057902973396</v>
      </c>
      <c r="H55" s="37" t="n">
        <v>7</v>
      </c>
      <c r="I55" s="37" t="n">
        <v>47</v>
      </c>
      <c r="J55" s="37" t="n">
        <f aca="false">H55*E55</f>
        <v>447300</v>
      </c>
      <c r="K55" s="36" t="n">
        <v>45307</v>
      </c>
      <c r="L55" s="66" t="n">
        <v>75.8</v>
      </c>
      <c r="M55" s="34" t="str">
        <f aca="false">IF(L55=0,"N/A",TEXT(H55/L55,"0.0"))</f>
        <v>0.1</v>
      </c>
      <c r="N55" s="34" t="str">
        <f aca="false">IF(H55=0,"Out of Stock",IF(H55&lt;I55,"Low Stock","In Stock"))</f>
        <v>Low Stock</v>
      </c>
      <c r="O55" s="34" t="s">
        <v>3599</v>
      </c>
      <c r="P55" s="34" t="s">
        <v>3595</v>
      </c>
      <c r="Q55" s="42" t="n">
        <v>12</v>
      </c>
      <c r="R55" s="65" t="n">
        <v>3.45</v>
      </c>
      <c r="S55" s="37" t="n">
        <v>10</v>
      </c>
      <c r="T55" s="37" t="n">
        <f aca="false">(H55+S55)*E55</f>
        <v>1086300</v>
      </c>
    </row>
    <row r="56" customFormat="false" ht="15" hidden="false" customHeight="false" outlineLevel="0" collapsed="false">
      <c r="A56" s="43" t="s">
        <v>3707</v>
      </c>
      <c r="B56" s="44" t="s">
        <v>3606</v>
      </c>
      <c r="C56" s="43" t="s">
        <v>2765</v>
      </c>
      <c r="D56" s="44" t="s">
        <v>3593</v>
      </c>
      <c r="E56" s="46" t="n">
        <v>102400</v>
      </c>
      <c r="F56" s="46" t="n">
        <v>182600</v>
      </c>
      <c r="G56" s="47" t="n">
        <f aca="false">(F56-E56)/E56</f>
        <v>0.783203125</v>
      </c>
      <c r="H56" s="46" t="n">
        <v>61</v>
      </c>
      <c r="I56" s="46" t="n">
        <v>46</v>
      </c>
      <c r="J56" s="46" t="n">
        <f aca="false">H56*E56</f>
        <v>6246400</v>
      </c>
      <c r="K56" s="45" t="n">
        <v>45331</v>
      </c>
      <c r="L56" s="70" t="n">
        <v>16.6</v>
      </c>
      <c r="M56" s="43" t="str">
        <f aca="false">IF(L56=0,"N/A",TEXT(H56/L56,"0.0"))</f>
        <v>3.7</v>
      </c>
      <c r="N56" s="43" t="str">
        <f aca="false">IF(H56=0,"Out of Stock",IF(H56&lt;I56,"Low Stock","In Stock"))</f>
        <v>In Stock</v>
      </c>
      <c r="O56" s="43" t="s">
        <v>3594</v>
      </c>
      <c r="P56" s="43" t="s">
        <v>3595</v>
      </c>
      <c r="Q56" s="51" t="n">
        <v>6</v>
      </c>
      <c r="R56" s="69" t="n">
        <v>6.94</v>
      </c>
      <c r="S56" s="46" t="n">
        <v>15</v>
      </c>
      <c r="T56" s="46" t="n">
        <f aca="false">(H56+S56)*E56</f>
        <v>7782400</v>
      </c>
    </row>
    <row r="57" customFormat="false" ht="15" hidden="false" customHeight="false" outlineLevel="0" collapsed="false">
      <c r="A57" s="34" t="s">
        <v>3708</v>
      </c>
      <c r="B57" s="35" t="s">
        <v>3610</v>
      </c>
      <c r="C57" s="34" t="s">
        <v>2110</v>
      </c>
      <c r="D57" s="35" t="s">
        <v>3602</v>
      </c>
      <c r="E57" s="37" t="n">
        <v>48100</v>
      </c>
      <c r="F57" s="37" t="n">
        <v>83300</v>
      </c>
      <c r="G57" s="38" t="n">
        <f aca="false">(F57-E57)/E57</f>
        <v>0.731808731808732</v>
      </c>
      <c r="H57" s="37" t="n">
        <v>204</v>
      </c>
      <c r="I57" s="37" t="n">
        <v>45</v>
      </c>
      <c r="J57" s="37" t="n">
        <f aca="false">H57*E57</f>
        <v>9812400</v>
      </c>
      <c r="K57" s="36" t="n">
        <v>45597</v>
      </c>
      <c r="L57" s="66" t="n">
        <v>8.8</v>
      </c>
      <c r="M57" s="34" t="str">
        <f aca="false">IF(L57=0,"N/A",TEXT(H57/L57,"0.0"))</f>
        <v>23.2</v>
      </c>
      <c r="N57" s="34" t="str">
        <f aca="false">IF(H57=0,"Out of Stock",IF(H57&lt;I57,"Low Stock","In Stock"))</f>
        <v>In Stock</v>
      </c>
      <c r="O57" s="34" t="s">
        <v>3594</v>
      </c>
      <c r="P57" s="34" t="s">
        <v>3608</v>
      </c>
      <c r="Q57" s="42" t="n">
        <v>18</v>
      </c>
      <c r="R57" s="65" t="n">
        <v>7.66</v>
      </c>
      <c r="S57" s="37" t="n">
        <v>10</v>
      </c>
      <c r="T57" s="37" t="n">
        <f aca="false">(H57+S57)*E57</f>
        <v>10293400</v>
      </c>
    </row>
    <row r="58" customFormat="false" ht="15" hidden="false" customHeight="false" outlineLevel="0" collapsed="false">
      <c r="A58" s="43" t="s">
        <v>3709</v>
      </c>
      <c r="B58" s="44" t="s">
        <v>3614</v>
      </c>
      <c r="C58" s="43" t="s">
        <v>2181</v>
      </c>
      <c r="D58" s="44" t="s">
        <v>3598</v>
      </c>
      <c r="E58" s="46" t="n">
        <v>70900</v>
      </c>
      <c r="F58" s="46" t="n">
        <v>134600</v>
      </c>
      <c r="G58" s="47" t="n">
        <f aca="false">(F58-E58)/E58</f>
        <v>0.898448519040903</v>
      </c>
      <c r="H58" s="46" t="n">
        <v>496</v>
      </c>
      <c r="I58" s="46" t="n">
        <v>8</v>
      </c>
      <c r="J58" s="46" t="n">
        <f aca="false">H58*E58</f>
        <v>35166400</v>
      </c>
      <c r="K58" s="45" t="n">
        <v>45526</v>
      </c>
      <c r="L58" s="70" t="n">
        <v>36.3</v>
      </c>
      <c r="M58" s="43" t="str">
        <f aca="false">IF(L58=0,"N/A",TEXT(H58/L58,"0.0"))</f>
        <v>13.7</v>
      </c>
      <c r="N58" s="43" t="str">
        <f aca="false">IF(H58=0,"Out of Stock",IF(H58&lt;I58,"Low Stock","In Stock"))</f>
        <v>In Stock</v>
      </c>
      <c r="O58" s="43" t="s">
        <v>3599</v>
      </c>
      <c r="P58" s="43" t="s">
        <v>3595</v>
      </c>
      <c r="Q58" s="51" t="n">
        <v>18</v>
      </c>
      <c r="R58" s="69" t="n">
        <v>3.79</v>
      </c>
      <c r="S58" s="46" t="n">
        <v>16</v>
      </c>
      <c r="T58" s="46" t="n">
        <f aca="false">(H58+S58)*E58</f>
        <v>36300800</v>
      </c>
    </row>
    <row r="59" customFormat="false" ht="15" hidden="false" customHeight="false" outlineLevel="0" collapsed="false">
      <c r="A59" s="34" t="s">
        <v>3710</v>
      </c>
      <c r="B59" s="35" t="s">
        <v>3617</v>
      </c>
      <c r="C59" s="34" t="s">
        <v>2103</v>
      </c>
      <c r="D59" s="35" t="s">
        <v>3598</v>
      </c>
      <c r="E59" s="37" t="n">
        <v>94500</v>
      </c>
      <c r="F59" s="37" t="n">
        <v>147900</v>
      </c>
      <c r="G59" s="38" t="n">
        <f aca="false">(F59-E59)/E59</f>
        <v>0.565079365079365</v>
      </c>
      <c r="H59" s="37" t="n">
        <v>20</v>
      </c>
      <c r="I59" s="37" t="n">
        <v>43</v>
      </c>
      <c r="J59" s="37" t="n">
        <f aca="false">H59*E59</f>
        <v>1890000</v>
      </c>
      <c r="K59" s="36" t="n">
        <v>45327</v>
      </c>
      <c r="L59" s="66" t="n">
        <v>22</v>
      </c>
      <c r="M59" s="34" t="str">
        <f aca="false">IF(L59=0,"N/A",TEXT(H59/L59,"0.0"))</f>
        <v>0.9</v>
      </c>
      <c r="N59" s="34" t="str">
        <f aca="false">IF(H59=0,"Out of Stock",IF(H59&lt;I59,"Low Stock","In Stock"))</f>
        <v>Low Stock</v>
      </c>
      <c r="O59" s="34" t="s">
        <v>3615</v>
      </c>
      <c r="P59" s="34" t="s">
        <v>3595</v>
      </c>
      <c r="Q59" s="42" t="n">
        <v>12</v>
      </c>
      <c r="R59" s="65" t="n">
        <v>1.46</v>
      </c>
      <c r="S59" s="37" t="n">
        <v>8</v>
      </c>
      <c r="T59" s="37" t="n">
        <f aca="false">(H59+S59)*E59</f>
        <v>2646000</v>
      </c>
    </row>
    <row r="60" customFormat="false" ht="15" hidden="false" customHeight="false" outlineLevel="0" collapsed="false">
      <c r="A60" s="43" t="s">
        <v>3711</v>
      </c>
      <c r="B60" s="44" t="s">
        <v>3619</v>
      </c>
      <c r="C60" s="43" t="s">
        <v>2244</v>
      </c>
      <c r="D60" s="44" t="s">
        <v>3631</v>
      </c>
      <c r="E60" s="46" t="n">
        <v>8400</v>
      </c>
      <c r="F60" s="46" t="n">
        <v>11500</v>
      </c>
      <c r="G60" s="47" t="n">
        <f aca="false">(F60-E60)/E60</f>
        <v>0.369047619047619</v>
      </c>
      <c r="H60" s="46" t="n">
        <v>124</v>
      </c>
      <c r="I60" s="46" t="n">
        <v>42</v>
      </c>
      <c r="J60" s="46" t="n">
        <f aca="false">H60*E60</f>
        <v>1041600</v>
      </c>
      <c r="K60" s="45" t="n">
        <v>45326</v>
      </c>
      <c r="L60" s="70" t="n">
        <v>61.2</v>
      </c>
      <c r="M60" s="43" t="str">
        <f aca="false">IF(L60=0,"N/A",TEXT(H60/L60,"0.0"))</f>
        <v>2.0</v>
      </c>
      <c r="N60" s="43" t="str">
        <f aca="false">IF(H60=0,"Out of Stock",IF(H60&lt;I60,"Low Stock","In Stock"))</f>
        <v>In Stock</v>
      </c>
      <c r="O60" s="43" t="s">
        <v>3615</v>
      </c>
      <c r="P60" s="43" t="s">
        <v>3595</v>
      </c>
      <c r="Q60" s="51" t="n">
        <v>36</v>
      </c>
      <c r="R60" s="69" t="n">
        <v>7.02</v>
      </c>
      <c r="S60" s="46" t="n">
        <v>15</v>
      </c>
      <c r="T60" s="46" t="n">
        <f aca="false">(H60+S60)*E60</f>
        <v>1167600</v>
      </c>
    </row>
    <row r="61" customFormat="false" ht="15" hidden="false" customHeight="false" outlineLevel="0" collapsed="false">
      <c r="A61" s="34" t="s">
        <v>3712</v>
      </c>
      <c r="B61" s="35" t="s">
        <v>3622</v>
      </c>
      <c r="C61" s="34" t="s">
        <v>2181</v>
      </c>
      <c r="D61" s="35" t="s">
        <v>3598</v>
      </c>
      <c r="E61" s="37" t="n">
        <v>10000</v>
      </c>
      <c r="F61" s="37" t="n">
        <v>13600</v>
      </c>
      <c r="G61" s="38" t="n">
        <f aca="false">(F61-E61)/E61</f>
        <v>0.36</v>
      </c>
      <c r="H61" s="37" t="n">
        <v>59</v>
      </c>
      <c r="I61" s="37" t="n">
        <v>33</v>
      </c>
      <c r="J61" s="37" t="n">
        <f aca="false">H61*E61</f>
        <v>590000</v>
      </c>
      <c r="K61" s="36" t="n">
        <v>45644</v>
      </c>
      <c r="L61" s="66" t="n">
        <v>7.6</v>
      </c>
      <c r="M61" s="34" t="str">
        <f aca="false">IF(L61=0,"N/A",TEXT(H61/L61,"0.0"))</f>
        <v>7.8</v>
      </c>
      <c r="N61" s="34" t="str">
        <f aca="false">IF(H61=0,"Out of Stock",IF(H61&lt;I61,"Low Stock","In Stock"))</f>
        <v>In Stock</v>
      </c>
      <c r="O61" s="34" t="s">
        <v>3599</v>
      </c>
      <c r="P61" s="34" t="s">
        <v>3608</v>
      </c>
      <c r="Q61" s="42" t="n">
        <v>36</v>
      </c>
      <c r="R61" s="65" t="n">
        <v>1.59</v>
      </c>
      <c r="S61" s="37" t="n">
        <v>6</v>
      </c>
      <c r="T61" s="37" t="n">
        <f aca="false">(H61+S61)*E61</f>
        <v>650000</v>
      </c>
    </row>
    <row r="62" customFormat="false" ht="15" hidden="false" customHeight="false" outlineLevel="0" collapsed="false">
      <c r="A62" s="43" t="s">
        <v>3713</v>
      </c>
      <c r="B62" s="44" t="s">
        <v>3624</v>
      </c>
      <c r="C62" s="43" t="s">
        <v>2208</v>
      </c>
      <c r="D62" s="44" t="s">
        <v>3631</v>
      </c>
      <c r="E62" s="46" t="n">
        <v>75100</v>
      </c>
      <c r="F62" s="46" t="n">
        <v>90700</v>
      </c>
      <c r="G62" s="47" t="n">
        <f aca="false">(F62-E62)/E62</f>
        <v>0.207723035952064</v>
      </c>
      <c r="H62" s="46" t="n">
        <v>220</v>
      </c>
      <c r="I62" s="46" t="n">
        <v>12</v>
      </c>
      <c r="J62" s="46" t="n">
        <f aca="false">H62*E62</f>
        <v>16522000</v>
      </c>
      <c r="K62" s="45" t="n">
        <v>45379</v>
      </c>
      <c r="L62" s="70" t="n">
        <v>57.9</v>
      </c>
      <c r="M62" s="43" t="str">
        <f aca="false">IF(L62=0,"N/A",TEXT(H62/L62,"0.0"))</f>
        <v>3.8</v>
      </c>
      <c r="N62" s="43" t="str">
        <f aca="false">IF(H62=0,"Out of Stock",IF(H62&lt;I62,"Low Stock","In Stock"))</f>
        <v>In Stock</v>
      </c>
      <c r="O62" s="43" t="s">
        <v>3594</v>
      </c>
      <c r="P62" s="43" t="s">
        <v>3608</v>
      </c>
      <c r="Q62" s="51" t="n">
        <v>12</v>
      </c>
      <c r="R62" s="69" t="n">
        <v>11.68</v>
      </c>
      <c r="S62" s="46" t="n">
        <v>14</v>
      </c>
      <c r="T62" s="46" t="n">
        <f aca="false">(H62+S62)*E62</f>
        <v>17573400</v>
      </c>
    </row>
    <row r="63" customFormat="false" ht="15" hidden="false" customHeight="false" outlineLevel="0" collapsed="false">
      <c r="A63" s="34" t="s">
        <v>3714</v>
      </c>
      <c r="B63" s="35" t="s">
        <v>3626</v>
      </c>
      <c r="C63" s="34" t="s">
        <v>2181</v>
      </c>
      <c r="D63" s="35" t="s">
        <v>3611</v>
      </c>
      <c r="E63" s="37" t="n">
        <v>500</v>
      </c>
      <c r="F63" s="37" t="n">
        <v>700</v>
      </c>
      <c r="G63" s="38" t="n">
        <f aca="false">(F63-E63)/E63</f>
        <v>0.4</v>
      </c>
      <c r="H63" s="37" t="n">
        <v>208</v>
      </c>
      <c r="I63" s="37" t="n">
        <v>43</v>
      </c>
      <c r="J63" s="37" t="n">
        <f aca="false">H63*E63</f>
        <v>104000</v>
      </c>
      <c r="K63" s="36" t="n">
        <v>45503</v>
      </c>
      <c r="L63" s="66" t="n">
        <v>22.4</v>
      </c>
      <c r="M63" s="34" t="str">
        <f aca="false">IF(L63=0,"N/A",TEXT(H63/L63,"0.0"))</f>
        <v>9.3</v>
      </c>
      <c r="N63" s="34" t="str">
        <f aca="false">IF(H63=0,"Out of Stock",IF(H63&lt;I63,"Low Stock","In Stock"))</f>
        <v>In Stock</v>
      </c>
      <c r="O63" s="34" t="s">
        <v>3603</v>
      </c>
      <c r="P63" s="34" t="s">
        <v>3608</v>
      </c>
      <c r="Q63" s="42" t="n">
        <v>36</v>
      </c>
      <c r="R63" s="65" t="n">
        <v>2.73</v>
      </c>
      <c r="S63" s="37" t="n">
        <v>20</v>
      </c>
      <c r="T63" s="37" t="n">
        <f aca="false">(H63+S63)*E63</f>
        <v>114000</v>
      </c>
    </row>
    <row r="64" customFormat="false" ht="15" hidden="false" customHeight="false" outlineLevel="0" collapsed="false">
      <c r="A64" s="43" t="s">
        <v>3715</v>
      </c>
      <c r="B64" s="44" t="s">
        <v>3628</v>
      </c>
      <c r="C64" s="43" t="s">
        <v>2765</v>
      </c>
      <c r="D64" s="44" t="s">
        <v>3598</v>
      </c>
      <c r="E64" s="46" t="n">
        <v>39700</v>
      </c>
      <c r="F64" s="46" t="n">
        <v>56000</v>
      </c>
      <c r="G64" s="47" t="n">
        <f aca="false">(F64-E64)/E64</f>
        <v>0.410579345088161</v>
      </c>
      <c r="H64" s="46" t="n">
        <v>272</v>
      </c>
      <c r="I64" s="46" t="n">
        <v>20</v>
      </c>
      <c r="J64" s="46" t="n">
        <f aca="false">H64*E64</f>
        <v>10798400</v>
      </c>
      <c r="K64" s="45" t="n">
        <v>45550</v>
      </c>
      <c r="L64" s="70" t="n">
        <v>28</v>
      </c>
      <c r="M64" s="43" t="str">
        <f aca="false">IF(L64=0,"N/A",TEXT(H64/L64,"0.0"))</f>
        <v>9.7</v>
      </c>
      <c r="N64" s="43" t="str">
        <f aca="false">IF(H64=0,"Out of Stock",IF(H64&lt;I64,"Low Stock","In Stock"))</f>
        <v>In Stock</v>
      </c>
      <c r="O64" s="43" t="s">
        <v>3603</v>
      </c>
      <c r="P64" s="43" t="s">
        <v>3595</v>
      </c>
      <c r="Q64" s="51" t="n">
        <v>18</v>
      </c>
      <c r="R64" s="69" t="n">
        <v>8.46</v>
      </c>
      <c r="S64" s="46" t="n">
        <v>21</v>
      </c>
      <c r="T64" s="46" t="n">
        <f aca="false">(H64+S64)*E64</f>
        <v>11632100</v>
      </c>
    </row>
    <row r="65" customFormat="false" ht="15" hidden="false" customHeight="false" outlineLevel="0" collapsed="false">
      <c r="A65" s="34" t="s">
        <v>3716</v>
      </c>
      <c r="B65" s="35" t="s">
        <v>3630</v>
      </c>
      <c r="C65" s="34" t="s">
        <v>2181</v>
      </c>
      <c r="D65" s="35" t="s">
        <v>3602</v>
      </c>
      <c r="E65" s="37" t="n">
        <v>64400</v>
      </c>
      <c r="F65" s="37" t="n">
        <v>77600</v>
      </c>
      <c r="G65" s="38" t="n">
        <f aca="false">(F65-E65)/E65</f>
        <v>0.204968944099379</v>
      </c>
      <c r="H65" s="37" t="n">
        <v>457</v>
      </c>
      <c r="I65" s="37" t="n">
        <v>37</v>
      </c>
      <c r="J65" s="37" t="n">
        <f aca="false">H65*E65</f>
        <v>29430800</v>
      </c>
      <c r="K65" s="36" t="n">
        <v>45512</v>
      </c>
      <c r="L65" s="66" t="n">
        <v>38.2</v>
      </c>
      <c r="M65" s="34" t="str">
        <f aca="false">IF(L65=0,"N/A",TEXT(H65/L65,"0.0"))</f>
        <v>12.0</v>
      </c>
      <c r="N65" s="34" t="str">
        <f aca="false">IF(H65=0,"Out of Stock",IF(H65&lt;I65,"Low Stock","In Stock"))</f>
        <v>In Stock</v>
      </c>
      <c r="O65" s="34" t="s">
        <v>3612</v>
      </c>
      <c r="P65" s="34" t="s">
        <v>3595</v>
      </c>
      <c r="Q65" s="42" t="n">
        <v>24</v>
      </c>
      <c r="R65" s="65" t="n">
        <v>2.76</v>
      </c>
      <c r="S65" s="37" t="n">
        <v>5</v>
      </c>
      <c r="T65" s="37" t="n">
        <f aca="false">(H65+S65)*E65</f>
        <v>29752800</v>
      </c>
    </row>
    <row r="66" customFormat="false" ht="15" hidden="false" customHeight="false" outlineLevel="0" collapsed="false">
      <c r="A66" s="43" t="s">
        <v>3717</v>
      </c>
      <c r="B66" s="44" t="s">
        <v>3633</v>
      </c>
      <c r="C66" s="43" t="s">
        <v>2181</v>
      </c>
      <c r="D66" s="44" t="s">
        <v>3611</v>
      </c>
      <c r="E66" s="46" t="n">
        <v>45300</v>
      </c>
      <c r="F66" s="46" t="n">
        <v>77500</v>
      </c>
      <c r="G66" s="47" t="n">
        <f aca="false">(F66-E66)/E66</f>
        <v>0.710816777041943</v>
      </c>
      <c r="H66" s="46" t="n">
        <v>275</v>
      </c>
      <c r="I66" s="46" t="n">
        <v>16</v>
      </c>
      <c r="J66" s="46" t="n">
        <f aca="false">H66*E66</f>
        <v>12457500</v>
      </c>
      <c r="K66" s="45" t="n">
        <v>45589</v>
      </c>
      <c r="L66" s="70" t="n">
        <v>16.3</v>
      </c>
      <c r="M66" s="43" t="str">
        <f aca="false">IF(L66=0,"N/A",TEXT(H66/L66,"0.0"))</f>
        <v>16.9</v>
      </c>
      <c r="N66" s="43" t="str">
        <f aca="false">IF(H66=0,"Out of Stock",IF(H66&lt;I66,"Low Stock","In Stock"))</f>
        <v>In Stock</v>
      </c>
      <c r="O66" s="43" t="s">
        <v>3612</v>
      </c>
      <c r="P66" s="43" t="s">
        <v>3608</v>
      </c>
      <c r="Q66" s="51" t="n">
        <v>12</v>
      </c>
      <c r="R66" s="69" t="n">
        <v>11.47</v>
      </c>
      <c r="S66" s="46" t="n">
        <v>3</v>
      </c>
      <c r="T66" s="46" t="n">
        <f aca="false">(H66+S66)*E66</f>
        <v>12593400</v>
      </c>
    </row>
    <row r="67" customFormat="false" ht="15" hidden="false" customHeight="false" outlineLevel="0" collapsed="false">
      <c r="A67" s="34" t="s">
        <v>3718</v>
      </c>
      <c r="B67" s="35" t="s">
        <v>3635</v>
      </c>
      <c r="C67" s="34" t="s">
        <v>2765</v>
      </c>
      <c r="D67" s="35" t="s">
        <v>3631</v>
      </c>
      <c r="E67" s="37" t="n">
        <v>100900</v>
      </c>
      <c r="F67" s="37" t="n">
        <v>163900</v>
      </c>
      <c r="G67" s="38" t="n">
        <f aca="false">(F67-E67)/E67</f>
        <v>0.624380574826561</v>
      </c>
      <c r="H67" s="37" t="n">
        <v>52</v>
      </c>
      <c r="I67" s="37" t="n">
        <v>48</v>
      </c>
      <c r="J67" s="37" t="n">
        <f aca="false">H67*E67</f>
        <v>5246800</v>
      </c>
      <c r="K67" s="36" t="n">
        <v>45554</v>
      </c>
      <c r="L67" s="66" t="n">
        <v>24.7</v>
      </c>
      <c r="M67" s="34" t="str">
        <f aca="false">IF(L67=0,"N/A",TEXT(H67/L67,"0.0"))</f>
        <v>2.1</v>
      </c>
      <c r="N67" s="34" t="str">
        <f aca="false">IF(H67=0,"Out of Stock",IF(H67&lt;I67,"Low Stock","In Stock"))</f>
        <v>In Stock</v>
      </c>
      <c r="O67" s="34" t="s">
        <v>3612</v>
      </c>
      <c r="P67" s="34" t="s">
        <v>3595</v>
      </c>
      <c r="Q67" s="42" t="n">
        <v>12</v>
      </c>
      <c r="R67" s="65" t="n">
        <v>3.23</v>
      </c>
      <c r="S67" s="37" t="n">
        <v>19</v>
      </c>
      <c r="T67" s="37" t="n">
        <f aca="false">(H67+S67)*E67</f>
        <v>7163900</v>
      </c>
    </row>
    <row r="68" customFormat="false" ht="15" hidden="false" customHeight="false" outlineLevel="0" collapsed="false">
      <c r="A68" s="43" t="s">
        <v>3719</v>
      </c>
      <c r="B68" s="44" t="s">
        <v>3637</v>
      </c>
      <c r="C68" s="43" t="s">
        <v>2103</v>
      </c>
      <c r="D68" s="44" t="s">
        <v>3607</v>
      </c>
      <c r="E68" s="46" t="n">
        <v>52400</v>
      </c>
      <c r="F68" s="46" t="n">
        <v>95800</v>
      </c>
      <c r="G68" s="47" t="n">
        <f aca="false">(F68-E68)/E68</f>
        <v>0.82824427480916</v>
      </c>
      <c r="H68" s="46" t="n">
        <v>436</v>
      </c>
      <c r="I68" s="46" t="n">
        <v>15</v>
      </c>
      <c r="J68" s="46" t="n">
        <f aca="false">H68*E68</f>
        <v>22846400</v>
      </c>
      <c r="K68" s="45" t="n">
        <v>45306</v>
      </c>
      <c r="L68" s="70" t="n">
        <v>49.2</v>
      </c>
      <c r="M68" s="43" t="str">
        <f aca="false">IF(L68=0,"N/A",TEXT(H68/L68,"0.0"))</f>
        <v>8.9</v>
      </c>
      <c r="N68" s="43" t="str">
        <f aca="false">IF(H68=0,"Out of Stock",IF(H68&lt;I68,"Low Stock","In Stock"))</f>
        <v>In Stock</v>
      </c>
      <c r="O68" s="43" t="s">
        <v>3603</v>
      </c>
      <c r="P68" s="43" t="s">
        <v>3608</v>
      </c>
      <c r="Q68" s="51" t="n">
        <v>36</v>
      </c>
      <c r="R68" s="69" t="n">
        <v>4.95</v>
      </c>
      <c r="S68" s="46" t="n">
        <v>5</v>
      </c>
      <c r="T68" s="46" t="n">
        <f aca="false">(H68+S68)*E68</f>
        <v>23108400</v>
      </c>
    </row>
    <row r="69" customFormat="false" ht="15" hidden="false" customHeight="false" outlineLevel="0" collapsed="false">
      <c r="A69" s="34" t="s">
        <v>3720</v>
      </c>
      <c r="B69" s="35" t="s">
        <v>3639</v>
      </c>
      <c r="C69" s="34" t="s">
        <v>2181</v>
      </c>
      <c r="D69" s="35" t="s">
        <v>3611</v>
      </c>
      <c r="E69" s="37" t="n">
        <v>102700</v>
      </c>
      <c r="F69" s="37" t="n">
        <v>182900</v>
      </c>
      <c r="G69" s="38" t="n">
        <f aca="false">(F69-E69)/E69</f>
        <v>0.780915287244401</v>
      </c>
      <c r="H69" s="37" t="n">
        <v>117</v>
      </c>
      <c r="I69" s="37" t="n">
        <v>21</v>
      </c>
      <c r="J69" s="37" t="n">
        <f aca="false">H69*E69</f>
        <v>12015900</v>
      </c>
      <c r="K69" s="36" t="n">
        <v>45528</v>
      </c>
      <c r="L69" s="66" t="n">
        <v>38.3</v>
      </c>
      <c r="M69" s="34" t="str">
        <f aca="false">IF(L69=0,"N/A",TEXT(H69/L69,"0.0"))</f>
        <v>3.1</v>
      </c>
      <c r="N69" s="34" t="str">
        <f aca="false">IF(H69=0,"Out of Stock",IF(H69&lt;I69,"Low Stock","In Stock"))</f>
        <v>In Stock</v>
      </c>
      <c r="O69" s="34" t="s">
        <v>3599</v>
      </c>
      <c r="P69" s="34" t="s">
        <v>3595</v>
      </c>
      <c r="Q69" s="42" t="n">
        <v>18</v>
      </c>
      <c r="R69" s="65" t="n">
        <v>12.53</v>
      </c>
      <c r="S69" s="37" t="n">
        <v>27</v>
      </c>
      <c r="T69" s="37" t="n">
        <f aca="false">(H69+S69)*E69</f>
        <v>14788800</v>
      </c>
    </row>
    <row r="70" customFormat="false" ht="15" hidden="false" customHeight="false" outlineLevel="0" collapsed="false">
      <c r="A70" s="43" t="s">
        <v>3721</v>
      </c>
      <c r="B70" s="44" t="s">
        <v>3641</v>
      </c>
      <c r="C70" s="43" t="s">
        <v>2765</v>
      </c>
      <c r="D70" s="44" t="s">
        <v>3598</v>
      </c>
      <c r="E70" s="46" t="n">
        <v>46800</v>
      </c>
      <c r="F70" s="46" t="n">
        <v>87200</v>
      </c>
      <c r="G70" s="47" t="n">
        <f aca="false">(F70-E70)/E70</f>
        <v>0.863247863247863</v>
      </c>
      <c r="H70" s="46" t="n">
        <v>161</v>
      </c>
      <c r="I70" s="46" t="n">
        <v>33</v>
      </c>
      <c r="J70" s="46" t="n">
        <f aca="false">H70*E70</f>
        <v>7534800</v>
      </c>
      <c r="K70" s="45" t="n">
        <v>45452</v>
      </c>
      <c r="L70" s="70" t="n">
        <v>25.3</v>
      </c>
      <c r="M70" s="43" t="str">
        <f aca="false">IF(L70=0,"N/A",TEXT(H70/L70,"0.0"))</f>
        <v>6.4</v>
      </c>
      <c r="N70" s="43" t="str">
        <f aca="false">IF(H70=0,"Out of Stock",IF(H70&lt;I70,"Low Stock","In Stock"))</f>
        <v>In Stock</v>
      </c>
      <c r="O70" s="43" t="s">
        <v>3615</v>
      </c>
      <c r="P70" s="43" t="s">
        <v>3604</v>
      </c>
      <c r="Q70" s="51" t="n">
        <v>24</v>
      </c>
      <c r="R70" s="69" t="n">
        <v>5.96</v>
      </c>
      <c r="S70" s="46" t="n">
        <v>18</v>
      </c>
      <c r="T70" s="46" t="n">
        <f aca="false">(H70+S70)*E70</f>
        <v>8377200</v>
      </c>
    </row>
    <row r="71" customFormat="false" ht="15" hidden="false" customHeight="false" outlineLevel="0" collapsed="false">
      <c r="A71" s="34" t="s">
        <v>3722</v>
      </c>
      <c r="B71" s="35" t="s">
        <v>3643</v>
      </c>
      <c r="C71" s="34" t="s">
        <v>3592</v>
      </c>
      <c r="D71" s="35" t="s">
        <v>3611</v>
      </c>
      <c r="E71" s="37" t="n">
        <v>46800</v>
      </c>
      <c r="F71" s="37" t="n">
        <v>80300</v>
      </c>
      <c r="G71" s="38" t="n">
        <f aca="false">(F71-E71)/E71</f>
        <v>0.715811965811966</v>
      </c>
      <c r="H71" s="37" t="n">
        <v>71</v>
      </c>
      <c r="I71" s="37" t="n">
        <v>34</v>
      </c>
      <c r="J71" s="37" t="n">
        <f aca="false">H71*E71</f>
        <v>3322800</v>
      </c>
      <c r="K71" s="36" t="n">
        <v>45460</v>
      </c>
      <c r="L71" s="66" t="n">
        <v>61.6</v>
      </c>
      <c r="M71" s="34" t="str">
        <f aca="false">IF(L71=0,"N/A",TEXT(H71/L71,"0.0"))</f>
        <v>1.2</v>
      </c>
      <c r="N71" s="34" t="str">
        <f aca="false">IF(H71=0,"Out of Stock",IF(H71&lt;I71,"Low Stock","In Stock"))</f>
        <v>In Stock</v>
      </c>
      <c r="O71" s="34" t="s">
        <v>3599</v>
      </c>
      <c r="P71" s="34" t="s">
        <v>3595</v>
      </c>
      <c r="Q71" s="42" t="n">
        <v>12</v>
      </c>
      <c r="R71" s="65" t="n">
        <v>12.3</v>
      </c>
      <c r="S71" s="37" t="n">
        <v>0</v>
      </c>
      <c r="T71" s="37" t="n">
        <f aca="false">(H71+S71)*E71</f>
        <v>3322800</v>
      </c>
    </row>
    <row r="72" customFormat="false" ht="15" hidden="false" customHeight="false" outlineLevel="0" collapsed="false">
      <c r="A72" s="43" t="s">
        <v>3723</v>
      </c>
      <c r="B72" s="44" t="s">
        <v>3645</v>
      </c>
      <c r="C72" s="43" t="s">
        <v>2765</v>
      </c>
      <c r="D72" s="44" t="s">
        <v>3607</v>
      </c>
      <c r="E72" s="46" t="n">
        <v>49400</v>
      </c>
      <c r="F72" s="46" t="n">
        <v>60200</v>
      </c>
      <c r="G72" s="47" t="n">
        <f aca="false">(F72-E72)/E72</f>
        <v>0.218623481781377</v>
      </c>
      <c r="H72" s="46" t="n">
        <v>218</v>
      </c>
      <c r="I72" s="46" t="n">
        <v>29</v>
      </c>
      <c r="J72" s="46" t="n">
        <f aca="false">H72*E72</f>
        <v>10769200</v>
      </c>
      <c r="K72" s="45" t="n">
        <v>45607</v>
      </c>
      <c r="L72" s="70" t="n">
        <v>26.7</v>
      </c>
      <c r="M72" s="43" t="str">
        <f aca="false">IF(L72=0,"N/A",TEXT(H72/L72,"0.0"))</f>
        <v>8.2</v>
      </c>
      <c r="N72" s="43" t="str">
        <f aca="false">IF(H72=0,"Out of Stock",IF(H72&lt;I72,"Low Stock","In Stock"))</f>
        <v>In Stock</v>
      </c>
      <c r="O72" s="43" t="s">
        <v>3594</v>
      </c>
      <c r="P72" s="43" t="s">
        <v>3608</v>
      </c>
      <c r="Q72" s="51" t="n">
        <v>12</v>
      </c>
      <c r="R72" s="69" t="n">
        <v>11.11</v>
      </c>
      <c r="S72" s="46" t="n">
        <v>17</v>
      </c>
      <c r="T72" s="46" t="n">
        <f aca="false">(H72+S72)*E72</f>
        <v>11609000</v>
      </c>
    </row>
    <row r="73" customFormat="false" ht="15" hidden="false" customHeight="false" outlineLevel="0" collapsed="false">
      <c r="A73" s="34" t="s">
        <v>3724</v>
      </c>
      <c r="B73" s="35" t="s">
        <v>3647</v>
      </c>
      <c r="C73" s="34" t="s">
        <v>2208</v>
      </c>
      <c r="D73" s="35" t="s">
        <v>3607</v>
      </c>
      <c r="E73" s="37" t="n">
        <v>36400</v>
      </c>
      <c r="F73" s="37" t="n">
        <v>46800</v>
      </c>
      <c r="G73" s="38" t="n">
        <f aca="false">(F73-E73)/E73</f>
        <v>0.285714285714286</v>
      </c>
      <c r="H73" s="37" t="n">
        <v>124</v>
      </c>
      <c r="I73" s="37" t="n">
        <v>15</v>
      </c>
      <c r="J73" s="37" t="n">
        <f aca="false">H73*E73</f>
        <v>4513600</v>
      </c>
      <c r="K73" s="36" t="n">
        <v>45305</v>
      </c>
      <c r="L73" s="66" t="n">
        <v>26.7</v>
      </c>
      <c r="M73" s="34" t="str">
        <f aca="false">IF(L73=0,"N/A",TEXT(H73/L73,"0.0"))</f>
        <v>4.6</v>
      </c>
      <c r="N73" s="34" t="str">
        <f aca="false">IF(H73=0,"Out of Stock",IF(H73&lt;I73,"Low Stock","In Stock"))</f>
        <v>In Stock</v>
      </c>
      <c r="O73" s="34" t="s">
        <v>3603</v>
      </c>
      <c r="P73" s="34" t="s">
        <v>3595</v>
      </c>
      <c r="Q73" s="42" t="n">
        <v>36</v>
      </c>
      <c r="R73" s="65" t="n">
        <v>14.13</v>
      </c>
      <c r="S73" s="37" t="n">
        <v>15</v>
      </c>
      <c r="T73" s="37" t="n">
        <f aca="false">(H73+S73)*E73</f>
        <v>5059600</v>
      </c>
    </row>
    <row r="74" customFormat="false" ht="15" hidden="false" customHeight="false" outlineLevel="0" collapsed="false">
      <c r="A74" s="43" t="s">
        <v>3725</v>
      </c>
      <c r="B74" s="44" t="s">
        <v>3649</v>
      </c>
      <c r="C74" s="43" t="s">
        <v>2181</v>
      </c>
      <c r="D74" s="44" t="s">
        <v>3598</v>
      </c>
      <c r="E74" s="46" t="n">
        <v>51600</v>
      </c>
      <c r="F74" s="46" t="n">
        <v>90300</v>
      </c>
      <c r="G74" s="47" t="n">
        <f aca="false">(F74-E74)/E74</f>
        <v>0.75</v>
      </c>
      <c r="H74" s="46" t="n">
        <v>465</v>
      </c>
      <c r="I74" s="46" t="n">
        <v>50</v>
      </c>
      <c r="J74" s="46" t="n">
        <f aca="false">H74*E74</f>
        <v>23994000</v>
      </c>
      <c r="K74" s="45" t="n">
        <v>45437</v>
      </c>
      <c r="L74" s="70" t="n">
        <v>39.5</v>
      </c>
      <c r="M74" s="43" t="str">
        <f aca="false">IF(L74=0,"N/A",TEXT(H74/L74,"0.0"))</f>
        <v>11.8</v>
      </c>
      <c r="N74" s="43" t="str">
        <f aca="false">IF(H74=0,"Out of Stock",IF(H74&lt;I74,"Low Stock","In Stock"))</f>
        <v>In Stock</v>
      </c>
      <c r="O74" s="43" t="s">
        <v>3603</v>
      </c>
      <c r="P74" s="43" t="s">
        <v>3595</v>
      </c>
      <c r="Q74" s="51" t="n">
        <v>36</v>
      </c>
      <c r="R74" s="69" t="n">
        <v>14.81</v>
      </c>
      <c r="S74" s="46" t="n">
        <v>8</v>
      </c>
      <c r="T74" s="46" t="n">
        <f aca="false">(H74+S74)*E74</f>
        <v>24406800</v>
      </c>
    </row>
    <row r="75" customFormat="false" ht="15" hidden="false" customHeight="false" outlineLevel="0" collapsed="false">
      <c r="A75" s="34" t="s">
        <v>3726</v>
      </c>
      <c r="B75" s="35" t="s">
        <v>2207</v>
      </c>
      <c r="C75" s="34" t="s">
        <v>3592</v>
      </c>
      <c r="D75" s="35" t="s">
        <v>3620</v>
      </c>
      <c r="E75" s="37" t="n">
        <v>84300</v>
      </c>
      <c r="F75" s="37" t="n">
        <v>124300</v>
      </c>
      <c r="G75" s="38" t="n">
        <f aca="false">(F75-E75)/E75</f>
        <v>0.474495848161329</v>
      </c>
      <c r="H75" s="37" t="n">
        <v>275</v>
      </c>
      <c r="I75" s="37" t="n">
        <v>28</v>
      </c>
      <c r="J75" s="37" t="n">
        <f aca="false">H75*E75</f>
        <v>23182500</v>
      </c>
      <c r="K75" s="36" t="n">
        <v>45585</v>
      </c>
      <c r="L75" s="66" t="n">
        <v>35.6</v>
      </c>
      <c r="M75" s="34" t="str">
        <f aca="false">IF(L75=0,"N/A",TEXT(H75/L75,"0.0"))</f>
        <v>7.7</v>
      </c>
      <c r="N75" s="34" t="str">
        <f aca="false">IF(H75=0,"Out of Stock",IF(H75&lt;I75,"Low Stock","In Stock"))</f>
        <v>In Stock</v>
      </c>
      <c r="O75" s="34" t="s">
        <v>3615</v>
      </c>
      <c r="P75" s="34" t="s">
        <v>3595</v>
      </c>
      <c r="Q75" s="42" t="n">
        <v>12</v>
      </c>
      <c r="R75" s="65" t="n">
        <v>1.75</v>
      </c>
      <c r="S75" s="37" t="n">
        <v>9</v>
      </c>
      <c r="T75" s="37" t="n">
        <f aca="false">(H75+S75)*E75</f>
        <v>23941200</v>
      </c>
    </row>
    <row r="76" customFormat="false" ht="15" hidden="false" customHeight="false" outlineLevel="0" collapsed="false">
      <c r="A76" s="43" t="s">
        <v>3727</v>
      </c>
      <c r="B76" s="44" t="s">
        <v>3652</v>
      </c>
      <c r="C76" s="43" t="s">
        <v>2181</v>
      </c>
      <c r="D76" s="44" t="s">
        <v>3598</v>
      </c>
      <c r="E76" s="46" t="n">
        <v>54700</v>
      </c>
      <c r="F76" s="46" t="n">
        <v>101700</v>
      </c>
      <c r="G76" s="47" t="n">
        <f aca="false">(F76-E76)/E76</f>
        <v>0.859232175502742</v>
      </c>
      <c r="H76" s="46" t="n">
        <v>447</v>
      </c>
      <c r="I76" s="46" t="n">
        <v>14</v>
      </c>
      <c r="J76" s="46" t="n">
        <f aca="false">H76*E76</f>
        <v>24450900</v>
      </c>
      <c r="K76" s="45" t="n">
        <v>45563</v>
      </c>
      <c r="L76" s="70" t="n">
        <v>47.6</v>
      </c>
      <c r="M76" s="43" t="str">
        <f aca="false">IF(L76=0,"N/A",TEXT(H76/L76,"0.0"))</f>
        <v>9.4</v>
      </c>
      <c r="N76" s="43" t="str">
        <f aca="false">IF(H76=0,"Out of Stock",IF(H76&lt;I76,"Low Stock","In Stock"))</f>
        <v>In Stock</v>
      </c>
      <c r="O76" s="43" t="s">
        <v>3603</v>
      </c>
      <c r="P76" s="43" t="s">
        <v>3595</v>
      </c>
      <c r="Q76" s="51" t="n">
        <v>6</v>
      </c>
      <c r="R76" s="69" t="n">
        <v>3.08</v>
      </c>
      <c r="S76" s="46" t="n">
        <v>18</v>
      </c>
      <c r="T76" s="46" t="n">
        <f aca="false">(H76+S76)*E76</f>
        <v>25435500</v>
      </c>
    </row>
    <row r="77" customFormat="false" ht="15" hidden="false" customHeight="false" outlineLevel="0" collapsed="false">
      <c r="A77" s="34" t="s">
        <v>3728</v>
      </c>
      <c r="B77" s="35" t="s">
        <v>3654</v>
      </c>
      <c r="C77" s="34" t="s">
        <v>2765</v>
      </c>
      <c r="D77" s="35" t="s">
        <v>3593</v>
      </c>
      <c r="E77" s="37" t="n">
        <v>72100</v>
      </c>
      <c r="F77" s="37" t="n">
        <v>130500</v>
      </c>
      <c r="G77" s="38" t="n">
        <f aca="false">(F77-E77)/E77</f>
        <v>0.80998613037448</v>
      </c>
      <c r="H77" s="37" t="n">
        <v>133</v>
      </c>
      <c r="I77" s="37" t="n">
        <v>40</v>
      </c>
      <c r="J77" s="37" t="n">
        <f aca="false">H77*E77</f>
        <v>9589300</v>
      </c>
      <c r="K77" s="36" t="n">
        <v>45449</v>
      </c>
      <c r="L77" s="66" t="n">
        <v>43</v>
      </c>
      <c r="M77" s="34" t="str">
        <f aca="false">IF(L77=0,"N/A",TEXT(H77/L77,"0.0"))</f>
        <v>3.1</v>
      </c>
      <c r="N77" s="34" t="str">
        <f aca="false">IF(H77=0,"Out of Stock",IF(H77&lt;I77,"Low Stock","In Stock"))</f>
        <v>In Stock</v>
      </c>
      <c r="O77" s="34" t="s">
        <v>3615</v>
      </c>
      <c r="P77" s="34" t="s">
        <v>3595</v>
      </c>
      <c r="Q77" s="42" t="n">
        <v>12</v>
      </c>
      <c r="R77" s="65" t="n">
        <v>10.37</v>
      </c>
      <c r="S77" s="37" t="n">
        <v>9</v>
      </c>
      <c r="T77" s="37" t="n">
        <f aca="false">(H77+S77)*E77</f>
        <v>10238200</v>
      </c>
    </row>
    <row r="78" customFormat="false" ht="15" hidden="false" customHeight="false" outlineLevel="0" collapsed="false">
      <c r="A78" s="43" t="s">
        <v>3729</v>
      </c>
      <c r="B78" s="44" t="s">
        <v>3656</v>
      </c>
      <c r="C78" s="43" t="s">
        <v>2181</v>
      </c>
      <c r="D78" s="44" t="s">
        <v>3631</v>
      </c>
      <c r="E78" s="46" t="n">
        <v>119100</v>
      </c>
      <c r="F78" s="46" t="n">
        <v>216500</v>
      </c>
      <c r="G78" s="47" t="n">
        <f aca="false">(F78-E78)/E78</f>
        <v>0.817800167926113</v>
      </c>
      <c r="H78" s="46" t="n">
        <v>382</v>
      </c>
      <c r="I78" s="46" t="n">
        <v>18</v>
      </c>
      <c r="J78" s="46" t="n">
        <f aca="false">H78*E78</f>
        <v>45496200</v>
      </c>
      <c r="K78" s="45" t="n">
        <v>45623</v>
      </c>
      <c r="L78" s="70" t="n">
        <v>15.5</v>
      </c>
      <c r="M78" s="43" t="str">
        <f aca="false">IF(L78=0,"N/A",TEXT(H78/L78,"0.0"))</f>
        <v>24.6</v>
      </c>
      <c r="N78" s="43" t="str">
        <f aca="false">IF(H78=0,"Out of Stock",IF(H78&lt;I78,"Low Stock","In Stock"))</f>
        <v>In Stock</v>
      </c>
      <c r="O78" s="43" t="s">
        <v>3612</v>
      </c>
      <c r="P78" s="43" t="s">
        <v>3595</v>
      </c>
      <c r="Q78" s="51" t="n">
        <v>18</v>
      </c>
      <c r="R78" s="69" t="n">
        <v>3.49</v>
      </c>
      <c r="S78" s="46" t="n">
        <v>14</v>
      </c>
      <c r="T78" s="46" t="n">
        <f aca="false">(H78+S78)*E78</f>
        <v>47163600</v>
      </c>
    </row>
    <row r="79" customFormat="false" ht="15" hidden="false" customHeight="false" outlineLevel="0" collapsed="false">
      <c r="A79" s="34" t="s">
        <v>3730</v>
      </c>
      <c r="B79" s="35" t="s">
        <v>3658</v>
      </c>
      <c r="C79" s="34" t="s">
        <v>2110</v>
      </c>
      <c r="D79" s="35" t="s">
        <v>3598</v>
      </c>
      <c r="E79" s="37" t="n">
        <v>34400</v>
      </c>
      <c r="F79" s="37" t="n">
        <v>48300</v>
      </c>
      <c r="G79" s="38" t="n">
        <f aca="false">(F79-E79)/E79</f>
        <v>0.40406976744186</v>
      </c>
      <c r="H79" s="37" t="n">
        <v>382</v>
      </c>
      <c r="I79" s="37" t="n">
        <v>6</v>
      </c>
      <c r="J79" s="37" t="n">
        <f aca="false">H79*E79</f>
        <v>13140800</v>
      </c>
      <c r="K79" s="36" t="n">
        <v>45370</v>
      </c>
      <c r="L79" s="66" t="n">
        <v>12.1</v>
      </c>
      <c r="M79" s="34" t="str">
        <f aca="false">IF(L79=0,"N/A",TEXT(H79/L79,"0.0"))</f>
        <v>31.6</v>
      </c>
      <c r="N79" s="34" t="str">
        <f aca="false">IF(H79=0,"Out of Stock",IF(H79&lt;I79,"Low Stock","In Stock"))</f>
        <v>In Stock</v>
      </c>
      <c r="O79" s="34" t="s">
        <v>3603</v>
      </c>
      <c r="P79" s="34" t="s">
        <v>3595</v>
      </c>
      <c r="Q79" s="42" t="n">
        <v>24</v>
      </c>
      <c r="R79" s="65" t="n">
        <v>6.22</v>
      </c>
      <c r="S79" s="37" t="n">
        <v>20</v>
      </c>
      <c r="T79" s="37" t="n">
        <f aca="false">(H79+S79)*E79</f>
        <v>13828800</v>
      </c>
    </row>
    <row r="80" customFormat="false" ht="15" hidden="false" customHeight="false" outlineLevel="0" collapsed="false">
      <c r="A80" s="43" t="s">
        <v>3731</v>
      </c>
      <c r="B80" s="44" t="s">
        <v>3660</v>
      </c>
      <c r="C80" s="43" t="s">
        <v>2181</v>
      </c>
      <c r="D80" s="44" t="s">
        <v>3593</v>
      </c>
      <c r="E80" s="46" t="n">
        <v>8400</v>
      </c>
      <c r="F80" s="46" t="n">
        <v>16200</v>
      </c>
      <c r="G80" s="47" t="n">
        <f aca="false">(F80-E80)/E80</f>
        <v>0.928571428571429</v>
      </c>
      <c r="H80" s="46" t="n">
        <v>262</v>
      </c>
      <c r="I80" s="46" t="n">
        <v>28</v>
      </c>
      <c r="J80" s="46" t="n">
        <f aca="false">H80*E80</f>
        <v>2200800</v>
      </c>
      <c r="K80" s="45" t="n">
        <v>45357</v>
      </c>
      <c r="L80" s="70" t="n">
        <v>2.3</v>
      </c>
      <c r="M80" s="43" t="str">
        <f aca="false">IF(L80=0,"N/A",TEXT(H80/L80,"0.0"))</f>
        <v>113.9</v>
      </c>
      <c r="N80" s="43" t="str">
        <f aca="false">IF(H80=0,"Out of Stock",IF(H80&lt;I80,"Low Stock","In Stock"))</f>
        <v>In Stock</v>
      </c>
      <c r="O80" s="43" t="s">
        <v>3612</v>
      </c>
      <c r="P80" s="43" t="s">
        <v>3608</v>
      </c>
      <c r="Q80" s="51" t="n">
        <v>36</v>
      </c>
      <c r="R80" s="69" t="n">
        <v>14.94</v>
      </c>
      <c r="S80" s="46" t="n">
        <v>13</v>
      </c>
      <c r="T80" s="46" t="n">
        <f aca="false">(H80+S80)*E80</f>
        <v>2310000</v>
      </c>
    </row>
    <row r="81" customFormat="false" ht="15" hidden="false" customHeight="false" outlineLevel="0" collapsed="false">
      <c r="A81" s="34" t="s">
        <v>3732</v>
      </c>
      <c r="B81" s="35" t="s">
        <v>3662</v>
      </c>
      <c r="C81" s="34" t="s">
        <v>2208</v>
      </c>
      <c r="D81" s="35" t="s">
        <v>3631</v>
      </c>
      <c r="E81" s="37" t="n">
        <v>75800</v>
      </c>
      <c r="F81" s="37" t="n">
        <v>111200</v>
      </c>
      <c r="G81" s="38" t="n">
        <f aca="false">(F81-E81)/E81</f>
        <v>0.467018469656992</v>
      </c>
      <c r="H81" s="37" t="n">
        <v>34</v>
      </c>
      <c r="I81" s="37" t="n">
        <v>9</v>
      </c>
      <c r="J81" s="37" t="n">
        <f aca="false">H81*E81</f>
        <v>2577200</v>
      </c>
      <c r="K81" s="36" t="n">
        <v>45522</v>
      </c>
      <c r="L81" s="66" t="n">
        <v>45.7</v>
      </c>
      <c r="M81" s="34" t="str">
        <f aca="false">IF(L81=0,"N/A",TEXT(H81/L81,"0.0"))</f>
        <v>0.7</v>
      </c>
      <c r="N81" s="34" t="str">
        <f aca="false">IF(H81=0,"Out of Stock",IF(H81&lt;I81,"Low Stock","In Stock"))</f>
        <v>In Stock</v>
      </c>
      <c r="O81" s="34" t="s">
        <v>3599</v>
      </c>
      <c r="P81" s="34" t="s">
        <v>3608</v>
      </c>
      <c r="Q81" s="42" t="n">
        <v>36</v>
      </c>
      <c r="R81" s="65" t="n">
        <v>11.73</v>
      </c>
      <c r="S81" s="37" t="n">
        <v>17</v>
      </c>
      <c r="T81" s="37" t="n">
        <f aca="false">(H81+S81)*E81</f>
        <v>3865800</v>
      </c>
    </row>
    <row r="82" customFormat="false" ht="15" hidden="false" customHeight="false" outlineLevel="0" collapsed="false">
      <c r="A82" s="43" t="s">
        <v>3733</v>
      </c>
      <c r="B82" s="44" t="s">
        <v>3664</v>
      </c>
      <c r="C82" s="43" t="s">
        <v>2181</v>
      </c>
      <c r="D82" s="44" t="s">
        <v>3607</v>
      </c>
      <c r="E82" s="46" t="n">
        <v>11900</v>
      </c>
      <c r="F82" s="46" t="n">
        <v>19700</v>
      </c>
      <c r="G82" s="47" t="n">
        <f aca="false">(F82-E82)/E82</f>
        <v>0.65546218487395</v>
      </c>
      <c r="H82" s="46" t="n">
        <v>239</v>
      </c>
      <c r="I82" s="46" t="n">
        <v>44</v>
      </c>
      <c r="J82" s="46" t="n">
        <f aca="false">H82*E82</f>
        <v>2844100</v>
      </c>
      <c r="K82" s="45" t="n">
        <v>45412</v>
      </c>
      <c r="L82" s="70" t="n">
        <v>52.4</v>
      </c>
      <c r="M82" s="43" t="str">
        <f aca="false">IF(L82=0,"N/A",TEXT(H82/L82,"0.0"))</f>
        <v>4.6</v>
      </c>
      <c r="N82" s="43" t="str">
        <f aca="false">IF(H82=0,"Out of Stock",IF(H82&lt;I82,"Low Stock","In Stock"))</f>
        <v>In Stock</v>
      </c>
      <c r="O82" s="43" t="s">
        <v>3612</v>
      </c>
      <c r="P82" s="43" t="s">
        <v>3604</v>
      </c>
      <c r="Q82" s="51" t="n">
        <v>24</v>
      </c>
      <c r="R82" s="69" t="n">
        <v>11.3</v>
      </c>
      <c r="S82" s="46" t="n">
        <v>6</v>
      </c>
      <c r="T82" s="46" t="n">
        <f aca="false">(H82+S82)*E82</f>
        <v>2915500</v>
      </c>
    </row>
    <row r="83" customFormat="false" ht="15" hidden="false" customHeight="false" outlineLevel="0" collapsed="false">
      <c r="A83" s="34" t="s">
        <v>3734</v>
      </c>
      <c r="B83" s="35" t="s">
        <v>3666</v>
      </c>
      <c r="C83" s="34" t="s">
        <v>2208</v>
      </c>
      <c r="D83" s="35" t="s">
        <v>3598</v>
      </c>
      <c r="E83" s="37" t="n">
        <v>20400</v>
      </c>
      <c r="F83" s="37" t="n">
        <v>35100</v>
      </c>
      <c r="G83" s="38" t="n">
        <f aca="false">(F83-E83)/E83</f>
        <v>0.720588235294118</v>
      </c>
      <c r="H83" s="37" t="n">
        <v>37</v>
      </c>
      <c r="I83" s="37" t="n">
        <v>16</v>
      </c>
      <c r="J83" s="37" t="n">
        <f aca="false">H83*E83</f>
        <v>754800</v>
      </c>
      <c r="K83" s="36" t="n">
        <v>45398</v>
      </c>
      <c r="L83" s="66" t="n">
        <v>52.2</v>
      </c>
      <c r="M83" s="34" t="str">
        <f aca="false">IF(L83=0,"N/A",TEXT(H83/L83,"0.0"))</f>
        <v>0.7</v>
      </c>
      <c r="N83" s="34" t="str">
        <f aca="false">IF(H83=0,"Out of Stock",IF(H83&lt;I83,"Low Stock","In Stock"))</f>
        <v>In Stock</v>
      </c>
      <c r="O83" s="34" t="s">
        <v>3615</v>
      </c>
      <c r="P83" s="34" t="s">
        <v>3604</v>
      </c>
      <c r="Q83" s="42" t="n">
        <v>24</v>
      </c>
      <c r="R83" s="65" t="n">
        <v>6.87</v>
      </c>
      <c r="S83" s="37" t="n">
        <v>10</v>
      </c>
      <c r="T83" s="37" t="n">
        <f aca="false">(H83+S83)*E83</f>
        <v>958800</v>
      </c>
    </row>
    <row r="84" customFormat="false" ht="15" hidden="false" customHeight="false" outlineLevel="0" collapsed="false">
      <c r="A84" s="43" t="s">
        <v>3735</v>
      </c>
      <c r="B84" s="44" t="s">
        <v>3668</v>
      </c>
      <c r="C84" s="43" t="s">
        <v>2244</v>
      </c>
      <c r="D84" s="44" t="s">
        <v>3631</v>
      </c>
      <c r="E84" s="46" t="n">
        <v>1300</v>
      </c>
      <c r="F84" s="46" t="n">
        <v>2200</v>
      </c>
      <c r="G84" s="47" t="n">
        <f aca="false">(F84-E84)/E84</f>
        <v>0.692307692307692</v>
      </c>
      <c r="H84" s="46" t="n">
        <v>199</v>
      </c>
      <c r="I84" s="46" t="n">
        <v>6</v>
      </c>
      <c r="J84" s="46" t="n">
        <f aca="false">H84*E84</f>
        <v>258700</v>
      </c>
      <c r="K84" s="45" t="n">
        <v>45442</v>
      </c>
      <c r="L84" s="70" t="n">
        <v>1.7</v>
      </c>
      <c r="M84" s="43" t="str">
        <f aca="false">IF(L84=0,"N/A",TEXT(H84/L84,"0.0"))</f>
        <v>117.1</v>
      </c>
      <c r="N84" s="43" t="str">
        <f aca="false">IF(H84=0,"Out of Stock",IF(H84&lt;I84,"Low Stock","In Stock"))</f>
        <v>In Stock</v>
      </c>
      <c r="O84" s="43" t="s">
        <v>3599</v>
      </c>
      <c r="P84" s="43" t="s">
        <v>3608</v>
      </c>
      <c r="Q84" s="51" t="n">
        <v>18</v>
      </c>
      <c r="R84" s="69" t="n">
        <v>6.46</v>
      </c>
      <c r="S84" s="46" t="n">
        <v>10</v>
      </c>
      <c r="T84" s="46" t="n">
        <f aca="false">(H84+S84)*E84</f>
        <v>271700</v>
      </c>
    </row>
    <row r="85" customFormat="false" ht="15" hidden="false" customHeight="false" outlineLevel="0" collapsed="false">
      <c r="A85" s="34" t="s">
        <v>3736</v>
      </c>
      <c r="B85" s="35" t="s">
        <v>3670</v>
      </c>
      <c r="C85" s="34" t="s">
        <v>2110</v>
      </c>
      <c r="D85" s="35" t="s">
        <v>3607</v>
      </c>
      <c r="E85" s="37" t="n">
        <v>43300</v>
      </c>
      <c r="F85" s="37" t="n">
        <v>70400</v>
      </c>
      <c r="G85" s="38" t="n">
        <f aca="false">(F85-E85)/E85</f>
        <v>0.625866050808314</v>
      </c>
      <c r="H85" s="37" t="n">
        <v>334</v>
      </c>
      <c r="I85" s="37" t="n">
        <v>47</v>
      </c>
      <c r="J85" s="37" t="n">
        <f aca="false">H85*E85</f>
        <v>14462200</v>
      </c>
      <c r="K85" s="36" t="n">
        <v>45302</v>
      </c>
      <c r="L85" s="66" t="n">
        <v>16.8</v>
      </c>
      <c r="M85" s="34" t="str">
        <f aca="false">IF(L85=0,"N/A",TEXT(H85/L85,"0.0"))</f>
        <v>19.9</v>
      </c>
      <c r="N85" s="34" t="str">
        <f aca="false">IF(H85=0,"Out of Stock",IF(H85&lt;I85,"Low Stock","In Stock"))</f>
        <v>In Stock</v>
      </c>
      <c r="O85" s="34" t="s">
        <v>3594</v>
      </c>
      <c r="P85" s="34" t="s">
        <v>3595</v>
      </c>
      <c r="Q85" s="42" t="n">
        <v>18</v>
      </c>
      <c r="R85" s="65" t="n">
        <v>8.66</v>
      </c>
      <c r="S85" s="37" t="n">
        <v>26</v>
      </c>
      <c r="T85" s="37" t="n">
        <f aca="false">(H85+S85)*E85</f>
        <v>15588000</v>
      </c>
    </row>
    <row r="86" customFormat="false" ht="15" hidden="false" customHeight="false" outlineLevel="0" collapsed="false">
      <c r="A86" s="43" t="s">
        <v>3737</v>
      </c>
      <c r="B86" s="44" t="s">
        <v>3672</v>
      </c>
      <c r="C86" s="43" t="s">
        <v>2103</v>
      </c>
      <c r="D86" s="44" t="s">
        <v>3607</v>
      </c>
      <c r="E86" s="46" t="n">
        <v>19900</v>
      </c>
      <c r="F86" s="46" t="n">
        <v>27200</v>
      </c>
      <c r="G86" s="47" t="n">
        <f aca="false">(F86-E86)/E86</f>
        <v>0.366834170854271</v>
      </c>
      <c r="H86" s="46" t="n">
        <v>92</v>
      </c>
      <c r="I86" s="46" t="n">
        <v>11</v>
      </c>
      <c r="J86" s="46" t="n">
        <f aca="false">H86*E86</f>
        <v>1830800</v>
      </c>
      <c r="K86" s="45" t="n">
        <v>45458</v>
      </c>
      <c r="L86" s="70" t="n">
        <v>3.1</v>
      </c>
      <c r="M86" s="43" t="str">
        <f aca="false">IF(L86=0,"N/A",TEXT(H86/L86,"0.0"))</f>
        <v>29.7</v>
      </c>
      <c r="N86" s="43" t="str">
        <f aca="false">IF(H86=0,"Out of Stock",IF(H86&lt;I86,"Low Stock","In Stock"))</f>
        <v>In Stock</v>
      </c>
      <c r="O86" s="43" t="s">
        <v>3599</v>
      </c>
      <c r="P86" s="43" t="s">
        <v>3608</v>
      </c>
      <c r="Q86" s="51" t="n">
        <v>6</v>
      </c>
      <c r="R86" s="69" t="n">
        <v>14.17</v>
      </c>
      <c r="S86" s="46" t="n">
        <v>19</v>
      </c>
      <c r="T86" s="46" t="n">
        <f aca="false">(H86+S86)*E86</f>
        <v>2208900</v>
      </c>
    </row>
    <row r="87" customFormat="false" ht="15" hidden="false" customHeight="false" outlineLevel="0" collapsed="false">
      <c r="A87" s="34" t="s">
        <v>3738</v>
      </c>
      <c r="B87" s="35" t="s">
        <v>3674</v>
      </c>
      <c r="C87" s="34" t="s">
        <v>2765</v>
      </c>
      <c r="D87" s="35" t="s">
        <v>3620</v>
      </c>
      <c r="E87" s="37" t="n">
        <v>43400</v>
      </c>
      <c r="F87" s="37" t="n">
        <v>82300</v>
      </c>
      <c r="G87" s="38" t="n">
        <f aca="false">(F87-E87)/E87</f>
        <v>0.8963133640553</v>
      </c>
      <c r="H87" s="37" t="n">
        <v>475</v>
      </c>
      <c r="I87" s="37" t="n">
        <v>19</v>
      </c>
      <c r="J87" s="37" t="n">
        <f aca="false">H87*E87</f>
        <v>20615000</v>
      </c>
      <c r="K87" s="36" t="n">
        <v>45617</v>
      </c>
      <c r="L87" s="66" t="n">
        <v>53</v>
      </c>
      <c r="M87" s="34" t="str">
        <f aca="false">IF(L87=0,"N/A",TEXT(H87/L87,"0.0"))</f>
        <v>9.0</v>
      </c>
      <c r="N87" s="34" t="str">
        <f aca="false">IF(H87=0,"Out of Stock",IF(H87&lt;I87,"Low Stock","In Stock"))</f>
        <v>In Stock</v>
      </c>
      <c r="O87" s="34" t="s">
        <v>3612</v>
      </c>
      <c r="P87" s="34" t="s">
        <v>3595</v>
      </c>
      <c r="Q87" s="42" t="n">
        <v>24</v>
      </c>
      <c r="R87" s="65" t="n">
        <v>4.61</v>
      </c>
      <c r="S87" s="37" t="n">
        <v>6</v>
      </c>
      <c r="T87" s="37" t="n">
        <f aca="false">(H87+S87)*E87</f>
        <v>20875400</v>
      </c>
    </row>
    <row r="88" customFormat="false" ht="15" hidden="false" customHeight="false" outlineLevel="0" collapsed="false">
      <c r="A88" s="43" t="s">
        <v>3739</v>
      </c>
      <c r="B88" s="44" t="s">
        <v>3676</v>
      </c>
      <c r="C88" s="43" t="s">
        <v>2103</v>
      </c>
      <c r="D88" s="44" t="s">
        <v>3607</v>
      </c>
      <c r="E88" s="46" t="n">
        <v>47000</v>
      </c>
      <c r="F88" s="46" t="n">
        <v>57400</v>
      </c>
      <c r="G88" s="47" t="n">
        <f aca="false">(F88-E88)/E88</f>
        <v>0.221276595744681</v>
      </c>
      <c r="H88" s="46" t="n">
        <v>449</v>
      </c>
      <c r="I88" s="46" t="n">
        <v>33</v>
      </c>
      <c r="J88" s="46" t="n">
        <f aca="false">H88*E88</f>
        <v>21103000</v>
      </c>
      <c r="K88" s="45" t="n">
        <v>45422</v>
      </c>
      <c r="L88" s="70" t="n">
        <v>10.7</v>
      </c>
      <c r="M88" s="43" t="str">
        <f aca="false">IF(L88=0,"N/A",TEXT(H88/L88,"0.0"))</f>
        <v>42.0</v>
      </c>
      <c r="N88" s="43" t="str">
        <f aca="false">IF(H88=0,"Out of Stock",IF(H88&lt;I88,"Low Stock","In Stock"))</f>
        <v>In Stock</v>
      </c>
      <c r="O88" s="43" t="s">
        <v>3599</v>
      </c>
      <c r="P88" s="43" t="s">
        <v>3604</v>
      </c>
      <c r="Q88" s="51" t="n">
        <v>24</v>
      </c>
      <c r="R88" s="69" t="n">
        <v>5.69</v>
      </c>
      <c r="S88" s="46" t="n">
        <v>30</v>
      </c>
      <c r="T88" s="46" t="n">
        <f aca="false">(H88+S88)*E88</f>
        <v>22513000</v>
      </c>
    </row>
    <row r="89" customFormat="false" ht="15" hidden="false" customHeight="false" outlineLevel="0" collapsed="false">
      <c r="A89" s="34" t="s">
        <v>3740</v>
      </c>
      <c r="B89" s="35" t="s">
        <v>3678</v>
      </c>
      <c r="C89" s="34" t="s">
        <v>3592</v>
      </c>
      <c r="D89" s="35" t="s">
        <v>3611</v>
      </c>
      <c r="E89" s="37" t="n">
        <v>57900</v>
      </c>
      <c r="F89" s="37" t="n">
        <v>88000</v>
      </c>
      <c r="G89" s="38" t="n">
        <f aca="false">(F89-E89)/E89</f>
        <v>0.51986183074266</v>
      </c>
      <c r="H89" s="37" t="n">
        <v>105</v>
      </c>
      <c r="I89" s="37" t="n">
        <v>29</v>
      </c>
      <c r="J89" s="37" t="n">
        <f aca="false">H89*E89</f>
        <v>6079500</v>
      </c>
      <c r="K89" s="36" t="n">
        <v>45541</v>
      </c>
      <c r="L89" s="66" t="n">
        <v>47.6</v>
      </c>
      <c r="M89" s="34" t="str">
        <f aca="false">IF(L89=0,"N/A",TEXT(H89/L89,"0.0"))</f>
        <v>2.2</v>
      </c>
      <c r="N89" s="34" t="str">
        <f aca="false">IF(H89=0,"Out of Stock",IF(H89&lt;I89,"Low Stock","In Stock"))</f>
        <v>In Stock</v>
      </c>
      <c r="O89" s="34" t="s">
        <v>3594</v>
      </c>
      <c r="P89" s="34" t="s">
        <v>3608</v>
      </c>
      <c r="Q89" s="42" t="n">
        <v>12</v>
      </c>
      <c r="R89" s="65" t="n">
        <v>1.48</v>
      </c>
      <c r="S89" s="37" t="n">
        <v>3</v>
      </c>
      <c r="T89" s="37" t="n">
        <f aca="false">(H89+S89)*E89</f>
        <v>6253200</v>
      </c>
    </row>
    <row r="90" customFormat="false" ht="15" hidden="false" customHeight="false" outlineLevel="0" collapsed="false">
      <c r="A90" s="43" t="s">
        <v>3741</v>
      </c>
      <c r="B90" s="44" t="s">
        <v>3680</v>
      </c>
      <c r="C90" s="43" t="s">
        <v>2110</v>
      </c>
      <c r="D90" s="44" t="s">
        <v>3593</v>
      </c>
      <c r="E90" s="46" t="n">
        <v>16400</v>
      </c>
      <c r="F90" s="46" t="n">
        <v>21800</v>
      </c>
      <c r="G90" s="47" t="n">
        <f aca="false">(F90-E90)/E90</f>
        <v>0.329268292682927</v>
      </c>
      <c r="H90" s="46" t="n">
        <v>107</v>
      </c>
      <c r="I90" s="46" t="n">
        <v>12</v>
      </c>
      <c r="J90" s="46" t="n">
        <f aca="false">H90*E90</f>
        <v>1754800</v>
      </c>
      <c r="K90" s="45" t="n">
        <v>45420</v>
      </c>
      <c r="L90" s="70" t="n">
        <v>75.3</v>
      </c>
      <c r="M90" s="43" t="str">
        <f aca="false">IF(L90=0,"N/A",TEXT(H90/L90,"0.0"))</f>
        <v>1.4</v>
      </c>
      <c r="N90" s="43" t="str">
        <f aca="false">IF(H90=0,"Out of Stock",IF(H90&lt;I90,"Low Stock","In Stock"))</f>
        <v>In Stock</v>
      </c>
      <c r="O90" s="43" t="s">
        <v>3603</v>
      </c>
      <c r="P90" s="43" t="s">
        <v>3595</v>
      </c>
      <c r="Q90" s="51" t="n">
        <v>18</v>
      </c>
      <c r="R90" s="69" t="n">
        <v>9.11</v>
      </c>
      <c r="S90" s="46" t="n">
        <v>23</v>
      </c>
      <c r="T90" s="46" t="n">
        <f aca="false">(H90+S90)*E90</f>
        <v>2132000</v>
      </c>
    </row>
    <row r="91" customFormat="false" ht="15" hidden="false" customHeight="false" outlineLevel="0" collapsed="false">
      <c r="A91" s="34" t="s">
        <v>3742</v>
      </c>
      <c r="B91" s="35" t="s">
        <v>3682</v>
      </c>
      <c r="C91" s="34" t="s">
        <v>2103</v>
      </c>
      <c r="D91" s="35" t="s">
        <v>3620</v>
      </c>
      <c r="E91" s="37" t="n">
        <v>105300</v>
      </c>
      <c r="F91" s="37" t="n">
        <v>169100</v>
      </c>
      <c r="G91" s="38" t="n">
        <f aca="false">(F91-E91)/E91</f>
        <v>0.605887939221273</v>
      </c>
      <c r="H91" s="37" t="n">
        <v>244</v>
      </c>
      <c r="I91" s="37" t="n">
        <v>21</v>
      </c>
      <c r="J91" s="37" t="n">
        <f aca="false">H91*E91</f>
        <v>25693200</v>
      </c>
      <c r="K91" s="36" t="n">
        <v>45644</v>
      </c>
      <c r="L91" s="66" t="n">
        <v>41.2</v>
      </c>
      <c r="M91" s="34" t="str">
        <f aca="false">IF(L91=0,"N/A",TEXT(H91/L91,"0.0"))</f>
        <v>5.9</v>
      </c>
      <c r="N91" s="34" t="str">
        <f aca="false">IF(H91=0,"Out of Stock",IF(H91&lt;I91,"Low Stock","In Stock"))</f>
        <v>In Stock</v>
      </c>
      <c r="O91" s="34" t="s">
        <v>3603</v>
      </c>
      <c r="P91" s="34" t="s">
        <v>3604</v>
      </c>
      <c r="Q91" s="42" t="n">
        <v>6</v>
      </c>
      <c r="R91" s="65" t="n">
        <v>6.91</v>
      </c>
      <c r="S91" s="37" t="n">
        <v>30</v>
      </c>
      <c r="T91" s="37" t="n">
        <f aca="false">(H91+S91)*E91</f>
        <v>28852200</v>
      </c>
    </row>
    <row r="92" customFormat="false" ht="15" hidden="false" customHeight="false" outlineLevel="0" collapsed="false">
      <c r="A92" s="43" t="s">
        <v>3743</v>
      </c>
      <c r="B92" s="44" t="s">
        <v>3684</v>
      </c>
      <c r="C92" s="43" t="s">
        <v>2208</v>
      </c>
      <c r="D92" s="44" t="s">
        <v>3607</v>
      </c>
      <c r="E92" s="46" t="n">
        <v>13600</v>
      </c>
      <c r="F92" s="46" t="n">
        <v>20200</v>
      </c>
      <c r="G92" s="47" t="n">
        <f aca="false">(F92-E92)/E92</f>
        <v>0.485294117647059</v>
      </c>
      <c r="H92" s="46" t="n">
        <v>484</v>
      </c>
      <c r="I92" s="46" t="n">
        <v>24</v>
      </c>
      <c r="J92" s="46" t="n">
        <f aca="false">H92*E92</f>
        <v>6582400</v>
      </c>
      <c r="K92" s="45" t="n">
        <v>45392</v>
      </c>
      <c r="L92" s="70" t="n">
        <v>67.1</v>
      </c>
      <c r="M92" s="43" t="str">
        <f aca="false">IF(L92=0,"N/A",TEXT(H92/L92,"0.0"))</f>
        <v>7.2</v>
      </c>
      <c r="N92" s="43" t="str">
        <f aca="false">IF(H92=0,"Out of Stock",IF(H92&lt;I92,"Low Stock","In Stock"))</f>
        <v>In Stock</v>
      </c>
      <c r="O92" s="43" t="s">
        <v>3599</v>
      </c>
      <c r="P92" s="43" t="s">
        <v>3595</v>
      </c>
      <c r="Q92" s="51" t="n">
        <v>18</v>
      </c>
      <c r="R92" s="69" t="n">
        <v>14.19</v>
      </c>
      <c r="S92" s="46" t="n">
        <v>13</v>
      </c>
      <c r="T92" s="46" t="n">
        <f aca="false">(H92+S92)*E92</f>
        <v>6759200</v>
      </c>
    </row>
    <row r="93" customFormat="false" ht="15" hidden="false" customHeight="false" outlineLevel="0" collapsed="false">
      <c r="A93" s="34" t="s">
        <v>3744</v>
      </c>
      <c r="B93" s="35" t="s">
        <v>3686</v>
      </c>
      <c r="C93" s="34" t="s">
        <v>2110</v>
      </c>
      <c r="D93" s="35" t="s">
        <v>3598</v>
      </c>
      <c r="E93" s="37" t="n">
        <v>106600</v>
      </c>
      <c r="F93" s="37" t="n">
        <v>161200</v>
      </c>
      <c r="G93" s="38" t="n">
        <f aca="false">(F93-E93)/E93</f>
        <v>0.51219512195122</v>
      </c>
      <c r="H93" s="37" t="n">
        <v>241</v>
      </c>
      <c r="I93" s="37" t="n">
        <v>6</v>
      </c>
      <c r="J93" s="37" t="n">
        <f aca="false">H93*E93</f>
        <v>25690600</v>
      </c>
      <c r="K93" s="36" t="n">
        <v>45578</v>
      </c>
      <c r="L93" s="66" t="n">
        <v>76.2</v>
      </c>
      <c r="M93" s="34" t="str">
        <f aca="false">IF(L93=0,"N/A",TEXT(H93/L93,"0.0"))</f>
        <v>3.2</v>
      </c>
      <c r="N93" s="34" t="str">
        <f aca="false">IF(H93=0,"Out of Stock",IF(H93&lt;I93,"Low Stock","In Stock"))</f>
        <v>In Stock</v>
      </c>
      <c r="O93" s="34" t="s">
        <v>3615</v>
      </c>
      <c r="P93" s="34" t="s">
        <v>3595</v>
      </c>
      <c r="Q93" s="42" t="n">
        <v>18</v>
      </c>
      <c r="R93" s="65" t="n">
        <v>10.97</v>
      </c>
      <c r="S93" s="37" t="n">
        <v>8</v>
      </c>
      <c r="T93" s="37" t="n">
        <f aca="false">(H93+S93)*E93</f>
        <v>26543400</v>
      </c>
    </row>
    <row r="94" customFormat="false" ht="15" hidden="false" customHeight="false" outlineLevel="0" collapsed="false">
      <c r="A94" s="43" t="s">
        <v>3745</v>
      </c>
      <c r="B94" s="44" t="s">
        <v>3688</v>
      </c>
      <c r="C94" s="43" t="s">
        <v>2181</v>
      </c>
      <c r="D94" s="44" t="s">
        <v>3602</v>
      </c>
      <c r="E94" s="46" t="n">
        <v>23700</v>
      </c>
      <c r="F94" s="46" t="n">
        <v>39100</v>
      </c>
      <c r="G94" s="47" t="n">
        <f aca="false">(F94-E94)/E94</f>
        <v>0.649789029535865</v>
      </c>
      <c r="H94" s="46" t="n">
        <v>65</v>
      </c>
      <c r="I94" s="46" t="n">
        <v>38</v>
      </c>
      <c r="J94" s="46" t="n">
        <f aca="false">H94*E94</f>
        <v>1540500</v>
      </c>
      <c r="K94" s="45" t="n">
        <v>45410</v>
      </c>
      <c r="L94" s="70" t="n">
        <v>13.3</v>
      </c>
      <c r="M94" s="43" t="str">
        <f aca="false">IF(L94=0,"N/A",TEXT(H94/L94,"0.0"))</f>
        <v>4.9</v>
      </c>
      <c r="N94" s="43" t="str">
        <f aca="false">IF(H94=0,"Out of Stock",IF(H94&lt;I94,"Low Stock","In Stock"))</f>
        <v>In Stock</v>
      </c>
      <c r="O94" s="43" t="s">
        <v>3615</v>
      </c>
      <c r="P94" s="43" t="s">
        <v>3608</v>
      </c>
      <c r="Q94" s="51" t="n">
        <v>6</v>
      </c>
      <c r="R94" s="69" t="n">
        <v>7.1</v>
      </c>
      <c r="S94" s="46" t="n">
        <v>22</v>
      </c>
      <c r="T94" s="46" t="n">
        <f aca="false">(H94+S94)*E94</f>
        <v>2061900</v>
      </c>
    </row>
    <row r="95" customFormat="false" ht="15" hidden="false" customHeight="false" outlineLevel="0" collapsed="false">
      <c r="A95" s="34" t="s">
        <v>3746</v>
      </c>
      <c r="B95" s="35" t="s">
        <v>3690</v>
      </c>
      <c r="C95" s="34" t="s">
        <v>2181</v>
      </c>
      <c r="D95" s="35" t="s">
        <v>3602</v>
      </c>
      <c r="E95" s="37" t="n">
        <v>114000</v>
      </c>
      <c r="F95" s="37" t="n">
        <v>204300</v>
      </c>
      <c r="G95" s="38" t="n">
        <f aca="false">(F95-E95)/E95</f>
        <v>0.792105263157895</v>
      </c>
      <c r="H95" s="37" t="n">
        <v>150</v>
      </c>
      <c r="I95" s="37" t="n">
        <v>28</v>
      </c>
      <c r="J95" s="37" t="n">
        <f aca="false">H95*E95</f>
        <v>17100000</v>
      </c>
      <c r="K95" s="36" t="n">
        <v>45547</v>
      </c>
      <c r="L95" s="66" t="n">
        <v>49.8</v>
      </c>
      <c r="M95" s="34" t="str">
        <f aca="false">IF(L95=0,"N/A",TEXT(H95/L95,"0.0"))</f>
        <v>3.0</v>
      </c>
      <c r="N95" s="34" t="str">
        <f aca="false">IF(H95=0,"Out of Stock",IF(H95&lt;I95,"Low Stock","In Stock"))</f>
        <v>In Stock</v>
      </c>
      <c r="O95" s="34" t="s">
        <v>3599</v>
      </c>
      <c r="P95" s="34" t="s">
        <v>3608</v>
      </c>
      <c r="Q95" s="42" t="n">
        <v>12</v>
      </c>
      <c r="R95" s="65" t="n">
        <v>2.45</v>
      </c>
      <c r="S95" s="37" t="n">
        <v>26</v>
      </c>
      <c r="T95" s="37" t="n">
        <f aca="false">(H95+S95)*E95</f>
        <v>20064000</v>
      </c>
    </row>
    <row r="96" customFormat="false" ht="15" hidden="false" customHeight="false" outlineLevel="0" collapsed="false">
      <c r="A96" s="43" t="s">
        <v>3747</v>
      </c>
      <c r="B96" s="44" t="s">
        <v>3692</v>
      </c>
      <c r="C96" s="43" t="s">
        <v>2103</v>
      </c>
      <c r="D96" s="44" t="s">
        <v>3598</v>
      </c>
      <c r="E96" s="46" t="n">
        <v>106500</v>
      </c>
      <c r="F96" s="46" t="n">
        <v>196800</v>
      </c>
      <c r="G96" s="47" t="n">
        <f aca="false">(F96-E96)/E96</f>
        <v>0.847887323943662</v>
      </c>
      <c r="H96" s="46" t="n">
        <v>92</v>
      </c>
      <c r="I96" s="46" t="n">
        <v>28</v>
      </c>
      <c r="J96" s="46" t="n">
        <f aca="false">H96*E96</f>
        <v>9798000</v>
      </c>
      <c r="K96" s="45" t="n">
        <v>45523</v>
      </c>
      <c r="L96" s="70" t="n">
        <v>70.4</v>
      </c>
      <c r="M96" s="43" t="str">
        <f aca="false">IF(L96=0,"N/A",TEXT(H96/L96,"0.0"))</f>
        <v>1.3</v>
      </c>
      <c r="N96" s="43" t="str">
        <f aca="false">IF(H96=0,"Out of Stock",IF(H96&lt;I96,"Low Stock","In Stock"))</f>
        <v>In Stock</v>
      </c>
      <c r="O96" s="43" t="s">
        <v>3603</v>
      </c>
      <c r="P96" s="43" t="s">
        <v>3595</v>
      </c>
      <c r="Q96" s="51" t="n">
        <v>6</v>
      </c>
      <c r="R96" s="69" t="n">
        <v>11.82</v>
      </c>
      <c r="S96" s="46" t="n">
        <v>3</v>
      </c>
      <c r="T96" s="46" t="n">
        <f aca="false">(H96+S96)*E96</f>
        <v>10117500</v>
      </c>
    </row>
    <row r="97" customFormat="false" ht="15" hidden="false" customHeight="false" outlineLevel="0" collapsed="false">
      <c r="A97" s="34" t="s">
        <v>3748</v>
      </c>
      <c r="B97" s="35" t="s">
        <v>3694</v>
      </c>
      <c r="C97" s="34" t="s">
        <v>2765</v>
      </c>
      <c r="D97" s="35" t="s">
        <v>3611</v>
      </c>
      <c r="E97" s="37" t="n">
        <v>82400</v>
      </c>
      <c r="F97" s="37" t="n">
        <v>123500</v>
      </c>
      <c r="G97" s="38" t="n">
        <f aca="false">(F97-E97)/E97</f>
        <v>0.49878640776699</v>
      </c>
      <c r="H97" s="37" t="n">
        <v>430</v>
      </c>
      <c r="I97" s="37" t="n">
        <v>21</v>
      </c>
      <c r="J97" s="37" t="n">
        <f aca="false">H97*E97</f>
        <v>35432000</v>
      </c>
      <c r="K97" s="36" t="n">
        <v>45572</v>
      </c>
      <c r="L97" s="66" t="n">
        <v>50.1</v>
      </c>
      <c r="M97" s="34" t="str">
        <f aca="false">IF(L97=0,"N/A",TEXT(H97/L97,"0.0"))</f>
        <v>8.6</v>
      </c>
      <c r="N97" s="34" t="str">
        <f aca="false">IF(H97=0,"Out of Stock",IF(H97&lt;I97,"Low Stock","In Stock"))</f>
        <v>In Stock</v>
      </c>
      <c r="O97" s="34" t="s">
        <v>3615</v>
      </c>
      <c r="P97" s="34" t="s">
        <v>3604</v>
      </c>
      <c r="Q97" s="42" t="n">
        <v>18</v>
      </c>
      <c r="R97" s="65" t="n">
        <v>11.77</v>
      </c>
      <c r="S97" s="37" t="n">
        <v>0</v>
      </c>
      <c r="T97" s="37" t="n">
        <f aca="false">(H97+S97)*E97</f>
        <v>35432000</v>
      </c>
    </row>
    <row r="98" customFormat="false" ht="15" hidden="false" customHeight="false" outlineLevel="0" collapsed="false">
      <c r="A98" s="43" t="s">
        <v>3749</v>
      </c>
      <c r="B98" s="44" t="s">
        <v>2102</v>
      </c>
      <c r="C98" s="43" t="s">
        <v>3592</v>
      </c>
      <c r="D98" s="44" t="s">
        <v>3598</v>
      </c>
      <c r="E98" s="46" t="n">
        <v>114700</v>
      </c>
      <c r="F98" s="46" t="n">
        <v>150900</v>
      </c>
      <c r="G98" s="47" t="n">
        <f aca="false">(F98-E98)/E98</f>
        <v>0.315605928509154</v>
      </c>
      <c r="H98" s="46" t="n">
        <v>208</v>
      </c>
      <c r="I98" s="46" t="n">
        <v>7</v>
      </c>
      <c r="J98" s="46" t="n">
        <f aca="false">H98*E98</f>
        <v>23857600</v>
      </c>
      <c r="K98" s="45" t="n">
        <v>45350</v>
      </c>
      <c r="L98" s="70" t="n">
        <v>43.6</v>
      </c>
      <c r="M98" s="43" t="str">
        <f aca="false">IF(L98=0,"N/A",TEXT(H98/L98,"0.0"))</f>
        <v>4.8</v>
      </c>
      <c r="N98" s="43" t="str">
        <f aca="false">IF(H98=0,"Out of Stock",IF(H98&lt;I98,"Low Stock","In Stock"))</f>
        <v>In Stock</v>
      </c>
      <c r="O98" s="43" t="s">
        <v>3599</v>
      </c>
      <c r="P98" s="43" t="s">
        <v>3595</v>
      </c>
      <c r="Q98" s="51" t="n">
        <v>36</v>
      </c>
      <c r="R98" s="69" t="n">
        <v>9.02</v>
      </c>
      <c r="S98" s="46" t="n">
        <v>24</v>
      </c>
      <c r="T98" s="46" t="n">
        <f aca="false">(H98+S98)*E98</f>
        <v>26610400</v>
      </c>
    </row>
    <row r="99" customFormat="false" ht="15" hidden="false" customHeight="false" outlineLevel="0" collapsed="false">
      <c r="A99" s="34" t="s">
        <v>3750</v>
      </c>
      <c r="B99" s="35" t="s">
        <v>3697</v>
      </c>
      <c r="C99" s="34" t="s">
        <v>3592</v>
      </c>
      <c r="D99" s="35" t="s">
        <v>3620</v>
      </c>
      <c r="E99" s="37" t="n">
        <v>46200</v>
      </c>
      <c r="F99" s="37" t="n">
        <v>88600</v>
      </c>
      <c r="G99" s="38" t="n">
        <f aca="false">(F99-E99)/E99</f>
        <v>0.917748917748918</v>
      </c>
      <c r="H99" s="37" t="n">
        <v>47</v>
      </c>
      <c r="I99" s="37" t="n">
        <v>31</v>
      </c>
      <c r="J99" s="37" t="n">
        <f aca="false">H99*E99</f>
        <v>2171400</v>
      </c>
      <c r="K99" s="36" t="n">
        <v>45495</v>
      </c>
      <c r="L99" s="66" t="n">
        <v>79.1</v>
      </c>
      <c r="M99" s="34" t="str">
        <f aca="false">IF(L99=0,"N/A",TEXT(H99/L99,"0.0"))</f>
        <v>0.6</v>
      </c>
      <c r="N99" s="34" t="str">
        <f aca="false">IF(H99=0,"Out of Stock",IF(H99&lt;I99,"Low Stock","In Stock"))</f>
        <v>In Stock</v>
      </c>
      <c r="O99" s="34" t="s">
        <v>3603</v>
      </c>
      <c r="P99" s="34" t="s">
        <v>3608</v>
      </c>
      <c r="Q99" s="42" t="n">
        <v>24</v>
      </c>
      <c r="R99" s="65" t="n">
        <v>14.53</v>
      </c>
      <c r="S99" s="37" t="n">
        <v>3</v>
      </c>
      <c r="T99" s="37" t="n">
        <f aca="false">(H99+S99)*E99</f>
        <v>2310000</v>
      </c>
    </row>
    <row r="100" customFormat="false" ht="15" hidden="false" customHeight="false" outlineLevel="0" collapsed="false">
      <c r="A100" s="43" t="s">
        <v>3751</v>
      </c>
      <c r="B100" s="44" t="s">
        <v>3699</v>
      </c>
      <c r="C100" s="43" t="s">
        <v>2208</v>
      </c>
      <c r="D100" s="44" t="s">
        <v>3602</v>
      </c>
      <c r="E100" s="46" t="n">
        <v>112800</v>
      </c>
      <c r="F100" s="46" t="n">
        <v>189800</v>
      </c>
      <c r="G100" s="47" t="n">
        <f aca="false">(F100-E100)/E100</f>
        <v>0.682624113475177</v>
      </c>
      <c r="H100" s="46" t="n">
        <v>326</v>
      </c>
      <c r="I100" s="46" t="n">
        <v>5</v>
      </c>
      <c r="J100" s="46" t="n">
        <f aca="false">H100*E100</f>
        <v>36772800</v>
      </c>
      <c r="K100" s="45" t="n">
        <v>45607</v>
      </c>
      <c r="L100" s="70" t="n">
        <v>25.6</v>
      </c>
      <c r="M100" s="43" t="str">
        <f aca="false">IF(L100=0,"N/A",TEXT(H100/L100,"0.0"))</f>
        <v>12.7</v>
      </c>
      <c r="N100" s="43" t="str">
        <f aca="false">IF(H100=0,"Out of Stock",IF(H100&lt;I100,"Low Stock","In Stock"))</f>
        <v>In Stock</v>
      </c>
      <c r="O100" s="43" t="s">
        <v>3599</v>
      </c>
      <c r="P100" s="43" t="s">
        <v>3595</v>
      </c>
      <c r="Q100" s="51" t="n">
        <v>18</v>
      </c>
      <c r="R100" s="69" t="n">
        <v>13.5</v>
      </c>
      <c r="S100" s="46" t="n">
        <v>15</v>
      </c>
      <c r="T100" s="46" t="n">
        <f aca="false">(H100+S100)*E100</f>
        <v>38464800</v>
      </c>
    </row>
    <row r="101" customFormat="false" ht="15" hidden="false" customHeight="false" outlineLevel="0" collapsed="false">
      <c r="A101" s="34" t="s">
        <v>3752</v>
      </c>
      <c r="B101" s="35" t="s">
        <v>3701</v>
      </c>
      <c r="C101" s="34" t="s">
        <v>2110</v>
      </c>
      <c r="D101" s="35" t="s">
        <v>3593</v>
      </c>
      <c r="E101" s="37" t="n">
        <v>48400</v>
      </c>
      <c r="F101" s="37" t="n">
        <v>95100</v>
      </c>
      <c r="G101" s="38" t="n">
        <f aca="false">(F101-E101)/E101</f>
        <v>0.964876033057851</v>
      </c>
      <c r="H101" s="37" t="n">
        <v>342</v>
      </c>
      <c r="I101" s="37" t="n">
        <v>50</v>
      </c>
      <c r="J101" s="37" t="n">
        <f aca="false">H101*E101</f>
        <v>16552800</v>
      </c>
      <c r="K101" s="36" t="n">
        <v>45528</v>
      </c>
      <c r="L101" s="66" t="n">
        <v>8.6</v>
      </c>
      <c r="M101" s="34" t="str">
        <f aca="false">IF(L101=0,"N/A",TEXT(H101/L101,"0.0"))</f>
        <v>39.8</v>
      </c>
      <c r="N101" s="34" t="str">
        <f aca="false">IF(H101=0,"Out of Stock",IF(H101&lt;I101,"Low Stock","In Stock"))</f>
        <v>In Stock</v>
      </c>
      <c r="O101" s="34" t="s">
        <v>3599</v>
      </c>
      <c r="P101" s="34" t="s">
        <v>3595</v>
      </c>
      <c r="Q101" s="42" t="n">
        <v>36</v>
      </c>
      <c r="R101" s="65" t="n">
        <v>11.26</v>
      </c>
      <c r="S101" s="37" t="n">
        <v>15</v>
      </c>
      <c r="T101" s="37" t="n">
        <f aca="false">(H101+S101)*E101</f>
        <v>17278800</v>
      </c>
    </row>
    <row r="102" customFormat="false" ht="15" hidden="false" customHeight="false" outlineLevel="0" collapsed="false">
      <c r="A102" s="43" t="s">
        <v>3753</v>
      </c>
      <c r="B102" s="44" t="s">
        <v>3703</v>
      </c>
      <c r="C102" s="43" t="s">
        <v>2103</v>
      </c>
      <c r="D102" s="44" t="s">
        <v>3593</v>
      </c>
      <c r="E102" s="46" t="n">
        <v>17500</v>
      </c>
      <c r="F102" s="46" t="n">
        <v>32300</v>
      </c>
      <c r="G102" s="47" t="n">
        <f aca="false">(F102-E102)/E102</f>
        <v>0.845714285714286</v>
      </c>
      <c r="H102" s="46" t="n">
        <v>73</v>
      </c>
      <c r="I102" s="46" t="n">
        <v>19</v>
      </c>
      <c r="J102" s="46" t="n">
        <f aca="false">H102*E102</f>
        <v>1277500</v>
      </c>
      <c r="K102" s="45" t="n">
        <v>45562</v>
      </c>
      <c r="L102" s="70" t="n">
        <v>53.1</v>
      </c>
      <c r="M102" s="43" t="str">
        <f aca="false">IF(L102=0,"N/A",TEXT(H102/L102,"0.0"))</f>
        <v>1.4</v>
      </c>
      <c r="N102" s="43" t="str">
        <f aca="false">IF(H102=0,"Out of Stock",IF(H102&lt;I102,"Low Stock","In Stock"))</f>
        <v>In Stock</v>
      </c>
      <c r="O102" s="43" t="s">
        <v>3612</v>
      </c>
      <c r="P102" s="43" t="s">
        <v>3608</v>
      </c>
      <c r="Q102" s="51" t="n">
        <v>24</v>
      </c>
      <c r="R102" s="69" t="n">
        <v>1.51</v>
      </c>
      <c r="S102" s="46" t="n">
        <v>23</v>
      </c>
      <c r="T102" s="46" t="n">
        <f aca="false">(H102+S102)*E102</f>
        <v>1680000</v>
      </c>
    </row>
    <row r="103" customFormat="false" ht="15" hidden="false" customHeight="false" outlineLevel="0" collapsed="false">
      <c r="A103" s="34" t="s">
        <v>3754</v>
      </c>
      <c r="B103" s="35" t="s">
        <v>3591</v>
      </c>
      <c r="C103" s="34" t="s">
        <v>3592</v>
      </c>
      <c r="D103" s="35" t="s">
        <v>3602</v>
      </c>
      <c r="E103" s="37" t="n">
        <v>30100</v>
      </c>
      <c r="F103" s="37" t="n">
        <v>42200</v>
      </c>
      <c r="G103" s="38" t="n">
        <f aca="false">(F103-E103)/E103</f>
        <v>0.401993355481728</v>
      </c>
      <c r="H103" s="37" t="n">
        <v>373</v>
      </c>
      <c r="I103" s="37" t="n">
        <v>47</v>
      </c>
      <c r="J103" s="37" t="n">
        <f aca="false">H103*E103</f>
        <v>11227300</v>
      </c>
      <c r="K103" s="36" t="n">
        <v>45566</v>
      </c>
      <c r="L103" s="66" t="n">
        <v>24.8</v>
      </c>
      <c r="M103" s="34" t="str">
        <f aca="false">IF(L103=0,"N/A",TEXT(H103/L103,"0.0"))</f>
        <v>15.0</v>
      </c>
      <c r="N103" s="34" t="str">
        <f aca="false">IF(H103=0,"Out of Stock",IF(H103&lt;I103,"Low Stock","In Stock"))</f>
        <v>In Stock</v>
      </c>
      <c r="O103" s="34" t="s">
        <v>3594</v>
      </c>
      <c r="P103" s="34" t="s">
        <v>3608</v>
      </c>
      <c r="Q103" s="42" t="n">
        <v>36</v>
      </c>
      <c r="R103" s="65" t="n">
        <v>14.61</v>
      </c>
      <c r="S103" s="37" t="n">
        <v>22</v>
      </c>
      <c r="T103" s="37" t="n">
        <f aca="false">(H103+S103)*E103</f>
        <v>11889500</v>
      </c>
    </row>
    <row r="104" customFormat="false" ht="15" hidden="false" customHeight="false" outlineLevel="0" collapsed="false">
      <c r="A104" s="43" t="s">
        <v>3755</v>
      </c>
      <c r="B104" s="44" t="s">
        <v>3597</v>
      </c>
      <c r="C104" s="43" t="s">
        <v>2244</v>
      </c>
      <c r="D104" s="44" t="s">
        <v>3631</v>
      </c>
      <c r="E104" s="46" t="n">
        <v>100100</v>
      </c>
      <c r="F104" s="46" t="n">
        <v>192200</v>
      </c>
      <c r="G104" s="47" t="n">
        <f aca="false">(F104-E104)/E104</f>
        <v>0.92007992007992</v>
      </c>
      <c r="H104" s="46" t="n">
        <v>167</v>
      </c>
      <c r="I104" s="46" t="n">
        <v>32</v>
      </c>
      <c r="J104" s="46" t="n">
        <f aca="false">H104*E104</f>
        <v>16716700</v>
      </c>
      <c r="K104" s="45" t="n">
        <v>45577</v>
      </c>
      <c r="L104" s="70" t="n">
        <v>30.6</v>
      </c>
      <c r="M104" s="43" t="str">
        <f aca="false">IF(L104=0,"N/A",TEXT(H104/L104,"0.0"))</f>
        <v>5.5</v>
      </c>
      <c r="N104" s="43" t="str">
        <f aca="false">IF(H104=0,"Out of Stock",IF(H104&lt;I104,"Low Stock","In Stock"))</f>
        <v>In Stock</v>
      </c>
      <c r="O104" s="43" t="s">
        <v>3603</v>
      </c>
      <c r="P104" s="43" t="s">
        <v>3595</v>
      </c>
      <c r="Q104" s="51" t="n">
        <v>6</v>
      </c>
      <c r="R104" s="69" t="n">
        <v>8.73</v>
      </c>
      <c r="S104" s="46" t="n">
        <v>4</v>
      </c>
      <c r="T104" s="46" t="n">
        <f aca="false">(H104+S104)*E104</f>
        <v>17117100</v>
      </c>
    </row>
    <row r="105" customFormat="false" ht="15" hidden="false" customHeight="false" outlineLevel="0" collapsed="false">
      <c r="A105" s="34" t="s">
        <v>3756</v>
      </c>
      <c r="B105" s="35" t="s">
        <v>3601</v>
      </c>
      <c r="C105" s="34" t="s">
        <v>2181</v>
      </c>
      <c r="D105" s="35" t="s">
        <v>3602</v>
      </c>
      <c r="E105" s="37" t="n">
        <v>24300</v>
      </c>
      <c r="F105" s="37" t="n">
        <v>29400</v>
      </c>
      <c r="G105" s="38" t="n">
        <f aca="false">(F105-E105)/E105</f>
        <v>0.209876543209877</v>
      </c>
      <c r="H105" s="37" t="n">
        <v>324</v>
      </c>
      <c r="I105" s="37" t="n">
        <v>7</v>
      </c>
      <c r="J105" s="37" t="n">
        <f aca="false">H105*E105</f>
        <v>7873200</v>
      </c>
      <c r="K105" s="36" t="n">
        <v>45354</v>
      </c>
      <c r="L105" s="66" t="n">
        <v>67</v>
      </c>
      <c r="M105" s="34" t="str">
        <f aca="false">IF(L105=0,"N/A",TEXT(H105/L105,"0.0"))</f>
        <v>4.8</v>
      </c>
      <c r="N105" s="34" t="str">
        <f aca="false">IF(H105=0,"Out of Stock",IF(H105&lt;I105,"Low Stock","In Stock"))</f>
        <v>In Stock</v>
      </c>
      <c r="O105" s="34" t="s">
        <v>3615</v>
      </c>
      <c r="P105" s="34" t="s">
        <v>3608</v>
      </c>
      <c r="Q105" s="42" t="n">
        <v>18</v>
      </c>
      <c r="R105" s="65" t="n">
        <v>2.51</v>
      </c>
      <c r="S105" s="37" t="n">
        <v>7</v>
      </c>
      <c r="T105" s="37" t="n">
        <f aca="false">(H105+S105)*E105</f>
        <v>8043300</v>
      </c>
    </row>
    <row r="106" customFormat="false" ht="15" hidden="false" customHeight="false" outlineLevel="0" collapsed="false">
      <c r="A106" s="43" t="s">
        <v>3757</v>
      </c>
      <c r="B106" s="44" t="s">
        <v>3606</v>
      </c>
      <c r="C106" s="43" t="s">
        <v>2208</v>
      </c>
      <c r="D106" s="44" t="s">
        <v>3611</v>
      </c>
      <c r="E106" s="46" t="n">
        <v>112900</v>
      </c>
      <c r="F106" s="46" t="n">
        <v>166500</v>
      </c>
      <c r="G106" s="47" t="n">
        <f aca="false">(F106-E106)/E106</f>
        <v>0.474756421612046</v>
      </c>
      <c r="H106" s="46" t="n">
        <v>321</v>
      </c>
      <c r="I106" s="46" t="n">
        <v>41</v>
      </c>
      <c r="J106" s="46" t="n">
        <f aca="false">H106*E106</f>
        <v>36240900</v>
      </c>
      <c r="K106" s="45" t="n">
        <v>45474</v>
      </c>
      <c r="L106" s="70" t="n">
        <v>33</v>
      </c>
      <c r="M106" s="43" t="str">
        <f aca="false">IF(L106=0,"N/A",TEXT(H106/L106,"0.0"))</f>
        <v>9.7</v>
      </c>
      <c r="N106" s="43" t="str">
        <f aca="false">IF(H106=0,"Out of Stock",IF(H106&lt;I106,"Low Stock","In Stock"))</f>
        <v>In Stock</v>
      </c>
      <c r="O106" s="43" t="s">
        <v>3594</v>
      </c>
      <c r="P106" s="43" t="s">
        <v>3604</v>
      </c>
      <c r="Q106" s="51" t="n">
        <v>18</v>
      </c>
      <c r="R106" s="69" t="n">
        <v>6.85</v>
      </c>
      <c r="S106" s="46" t="n">
        <v>6</v>
      </c>
      <c r="T106" s="46" t="n">
        <f aca="false">(H106+S106)*E106</f>
        <v>36918300</v>
      </c>
    </row>
    <row r="107" customFormat="false" ht="15" hidden="false" customHeight="false" outlineLevel="0" collapsed="false">
      <c r="A107" s="34" t="s">
        <v>3758</v>
      </c>
      <c r="B107" s="35" t="s">
        <v>3610</v>
      </c>
      <c r="C107" s="34" t="s">
        <v>3592</v>
      </c>
      <c r="D107" s="35" t="s">
        <v>3598</v>
      </c>
      <c r="E107" s="37" t="n">
        <v>37100</v>
      </c>
      <c r="F107" s="37" t="n">
        <v>64000</v>
      </c>
      <c r="G107" s="38" t="n">
        <f aca="false">(F107-E107)/E107</f>
        <v>0.725067385444744</v>
      </c>
      <c r="H107" s="37" t="n">
        <v>263</v>
      </c>
      <c r="I107" s="37" t="n">
        <v>26</v>
      </c>
      <c r="J107" s="37" t="n">
        <f aca="false">H107*E107</f>
        <v>9757300</v>
      </c>
      <c r="K107" s="36" t="n">
        <v>45324</v>
      </c>
      <c r="L107" s="66" t="n">
        <v>27.6</v>
      </c>
      <c r="M107" s="34" t="str">
        <f aca="false">IF(L107=0,"N/A",TEXT(H107/L107,"0.0"))</f>
        <v>9.5</v>
      </c>
      <c r="N107" s="34" t="str">
        <f aca="false">IF(H107=0,"Out of Stock",IF(H107&lt;I107,"Low Stock","In Stock"))</f>
        <v>In Stock</v>
      </c>
      <c r="O107" s="34" t="s">
        <v>3603</v>
      </c>
      <c r="P107" s="34" t="s">
        <v>3608</v>
      </c>
      <c r="Q107" s="42" t="n">
        <v>18</v>
      </c>
      <c r="R107" s="65" t="n">
        <v>2.88</v>
      </c>
      <c r="S107" s="37" t="n">
        <v>28</v>
      </c>
      <c r="T107" s="37" t="n">
        <f aca="false">(H107+S107)*E107</f>
        <v>10796100</v>
      </c>
    </row>
    <row r="108" customFormat="false" ht="15" hidden="false" customHeight="false" outlineLevel="0" collapsed="false">
      <c r="A108" s="43" t="s">
        <v>3759</v>
      </c>
      <c r="B108" s="44" t="s">
        <v>3614</v>
      </c>
      <c r="C108" s="43" t="s">
        <v>2208</v>
      </c>
      <c r="D108" s="44" t="s">
        <v>3598</v>
      </c>
      <c r="E108" s="46" t="n">
        <v>13100</v>
      </c>
      <c r="F108" s="46" t="n">
        <v>22700</v>
      </c>
      <c r="G108" s="47" t="n">
        <f aca="false">(F108-E108)/E108</f>
        <v>0.732824427480916</v>
      </c>
      <c r="H108" s="46" t="n">
        <v>175</v>
      </c>
      <c r="I108" s="46" t="n">
        <v>38</v>
      </c>
      <c r="J108" s="46" t="n">
        <f aca="false">H108*E108</f>
        <v>2292500</v>
      </c>
      <c r="K108" s="45" t="n">
        <v>45420</v>
      </c>
      <c r="L108" s="70" t="n">
        <v>21.8</v>
      </c>
      <c r="M108" s="43" t="str">
        <f aca="false">IF(L108=0,"N/A",TEXT(H108/L108,"0.0"))</f>
        <v>8.0</v>
      </c>
      <c r="N108" s="43" t="str">
        <f aca="false">IF(H108=0,"Out of Stock",IF(H108&lt;I108,"Low Stock","In Stock"))</f>
        <v>In Stock</v>
      </c>
      <c r="O108" s="43" t="s">
        <v>3594</v>
      </c>
      <c r="P108" s="43" t="s">
        <v>3595</v>
      </c>
      <c r="Q108" s="51" t="n">
        <v>6</v>
      </c>
      <c r="R108" s="69" t="n">
        <v>5.54</v>
      </c>
      <c r="S108" s="46" t="n">
        <v>25</v>
      </c>
      <c r="T108" s="46" t="n">
        <f aca="false">(H108+S108)*E108</f>
        <v>2620000</v>
      </c>
    </row>
    <row r="109" customFormat="false" ht="15" hidden="false" customHeight="false" outlineLevel="0" collapsed="false">
      <c r="A109" s="34" t="s">
        <v>3760</v>
      </c>
      <c r="B109" s="35" t="s">
        <v>3617</v>
      </c>
      <c r="C109" s="34" t="s">
        <v>3592</v>
      </c>
      <c r="D109" s="35" t="s">
        <v>3602</v>
      </c>
      <c r="E109" s="37" t="n">
        <v>60400</v>
      </c>
      <c r="F109" s="37" t="n">
        <v>112600</v>
      </c>
      <c r="G109" s="38" t="n">
        <f aca="false">(F109-E109)/E109</f>
        <v>0.864238410596027</v>
      </c>
      <c r="H109" s="37" t="n">
        <v>61</v>
      </c>
      <c r="I109" s="37" t="n">
        <v>40</v>
      </c>
      <c r="J109" s="37" t="n">
        <f aca="false">H109*E109</f>
        <v>3684400</v>
      </c>
      <c r="K109" s="36" t="n">
        <v>45488</v>
      </c>
      <c r="L109" s="66" t="n">
        <v>57.3</v>
      </c>
      <c r="M109" s="34" t="str">
        <f aca="false">IF(L109=0,"N/A",TEXT(H109/L109,"0.0"))</f>
        <v>1.1</v>
      </c>
      <c r="N109" s="34" t="str">
        <f aca="false">IF(H109=0,"Out of Stock",IF(H109&lt;I109,"Low Stock","In Stock"))</f>
        <v>In Stock</v>
      </c>
      <c r="O109" s="34" t="s">
        <v>3603</v>
      </c>
      <c r="P109" s="34" t="s">
        <v>3604</v>
      </c>
      <c r="Q109" s="42" t="n">
        <v>18</v>
      </c>
      <c r="R109" s="65" t="n">
        <v>13.11</v>
      </c>
      <c r="S109" s="37" t="n">
        <v>4</v>
      </c>
      <c r="T109" s="37" t="n">
        <f aca="false">(H109+S109)*E109</f>
        <v>3926000</v>
      </c>
    </row>
    <row r="110" customFormat="false" ht="15" hidden="false" customHeight="false" outlineLevel="0" collapsed="false">
      <c r="A110" s="43" t="s">
        <v>3761</v>
      </c>
      <c r="B110" s="44" t="s">
        <v>3619</v>
      </c>
      <c r="C110" s="43" t="s">
        <v>2244</v>
      </c>
      <c r="D110" s="44" t="s">
        <v>3620</v>
      </c>
      <c r="E110" s="46" t="n">
        <v>114100</v>
      </c>
      <c r="F110" s="46" t="n">
        <v>225600</v>
      </c>
      <c r="G110" s="47" t="n">
        <f aca="false">(F110-E110)/E110</f>
        <v>0.977212971078002</v>
      </c>
      <c r="H110" s="46" t="n">
        <v>93</v>
      </c>
      <c r="I110" s="46" t="n">
        <v>30</v>
      </c>
      <c r="J110" s="46" t="n">
        <f aca="false">H110*E110</f>
        <v>10611300</v>
      </c>
      <c r="K110" s="45" t="n">
        <v>45585</v>
      </c>
      <c r="L110" s="70" t="n">
        <v>65.8</v>
      </c>
      <c r="M110" s="43" t="str">
        <f aca="false">IF(L110=0,"N/A",TEXT(H110/L110,"0.0"))</f>
        <v>1.4</v>
      </c>
      <c r="N110" s="43" t="str">
        <f aca="false">IF(H110=0,"Out of Stock",IF(H110&lt;I110,"Low Stock","In Stock"))</f>
        <v>In Stock</v>
      </c>
      <c r="O110" s="43" t="s">
        <v>3599</v>
      </c>
      <c r="P110" s="43" t="s">
        <v>3595</v>
      </c>
      <c r="Q110" s="51" t="n">
        <v>12</v>
      </c>
      <c r="R110" s="69" t="n">
        <v>14.98</v>
      </c>
      <c r="S110" s="46" t="n">
        <v>28</v>
      </c>
      <c r="T110" s="46" t="n">
        <f aca="false">(H110+S110)*E110</f>
        <v>13806100</v>
      </c>
    </row>
    <row r="111" customFormat="false" ht="15" hidden="false" customHeight="false" outlineLevel="0" collapsed="false">
      <c r="A111" s="34" t="s">
        <v>3762</v>
      </c>
      <c r="B111" s="35" t="s">
        <v>3622</v>
      </c>
      <c r="C111" s="34" t="s">
        <v>2181</v>
      </c>
      <c r="D111" s="35" t="s">
        <v>3620</v>
      </c>
      <c r="E111" s="37" t="n">
        <v>26500</v>
      </c>
      <c r="F111" s="37" t="n">
        <v>47300</v>
      </c>
      <c r="G111" s="38" t="n">
        <f aca="false">(F111-E111)/E111</f>
        <v>0.784905660377359</v>
      </c>
      <c r="H111" s="37" t="n">
        <v>181</v>
      </c>
      <c r="I111" s="37" t="n">
        <v>38</v>
      </c>
      <c r="J111" s="37" t="n">
        <f aca="false">H111*E111</f>
        <v>4796500</v>
      </c>
      <c r="K111" s="36" t="n">
        <v>45644</v>
      </c>
      <c r="L111" s="66" t="n">
        <v>48.5</v>
      </c>
      <c r="M111" s="34" t="str">
        <f aca="false">IF(L111=0,"N/A",TEXT(H111/L111,"0.0"))</f>
        <v>3.7</v>
      </c>
      <c r="N111" s="34" t="str">
        <f aca="false">IF(H111=0,"Out of Stock",IF(H111&lt;I111,"Low Stock","In Stock"))</f>
        <v>In Stock</v>
      </c>
      <c r="O111" s="34" t="s">
        <v>3594</v>
      </c>
      <c r="P111" s="34" t="s">
        <v>3595</v>
      </c>
      <c r="Q111" s="42" t="n">
        <v>36</v>
      </c>
      <c r="R111" s="65" t="n">
        <v>8.49</v>
      </c>
      <c r="S111" s="37" t="n">
        <v>4</v>
      </c>
      <c r="T111" s="37" t="n">
        <f aca="false">(H111+S111)*E111</f>
        <v>4902500</v>
      </c>
    </row>
    <row r="112" customFormat="false" ht="15" hidden="false" customHeight="false" outlineLevel="0" collapsed="false">
      <c r="A112" s="43" t="s">
        <v>3763</v>
      </c>
      <c r="B112" s="44" t="s">
        <v>3624</v>
      </c>
      <c r="C112" s="43" t="s">
        <v>2181</v>
      </c>
      <c r="D112" s="44" t="s">
        <v>3593</v>
      </c>
      <c r="E112" s="46" t="n">
        <v>48000</v>
      </c>
      <c r="F112" s="46" t="n">
        <v>78300</v>
      </c>
      <c r="G112" s="47" t="n">
        <f aca="false">(F112-E112)/E112</f>
        <v>0.63125</v>
      </c>
      <c r="H112" s="46" t="n">
        <v>355</v>
      </c>
      <c r="I112" s="46" t="n">
        <v>38</v>
      </c>
      <c r="J112" s="46" t="n">
        <f aca="false">H112*E112</f>
        <v>17040000</v>
      </c>
      <c r="K112" s="45" t="n">
        <v>45407</v>
      </c>
      <c r="L112" s="70" t="n">
        <v>14.2</v>
      </c>
      <c r="M112" s="43" t="str">
        <f aca="false">IF(L112=0,"N/A",TEXT(H112/L112,"0.0"))</f>
        <v>25.0</v>
      </c>
      <c r="N112" s="43" t="str">
        <f aca="false">IF(H112=0,"Out of Stock",IF(H112&lt;I112,"Low Stock","In Stock"))</f>
        <v>In Stock</v>
      </c>
      <c r="O112" s="43" t="s">
        <v>3594</v>
      </c>
      <c r="P112" s="43" t="s">
        <v>3595</v>
      </c>
      <c r="Q112" s="51" t="n">
        <v>12</v>
      </c>
      <c r="R112" s="69" t="n">
        <v>1.59</v>
      </c>
      <c r="S112" s="46" t="n">
        <v>5</v>
      </c>
      <c r="T112" s="46" t="n">
        <f aca="false">(H112+S112)*E112</f>
        <v>17280000</v>
      </c>
    </row>
    <row r="113" customFormat="false" ht="15" hidden="false" customHeight="false" outlineLevel="0" collapsed="false">
      <c r="A113" s="34" t="s">
        <v>3764</v>
      </c>
      <c r="B113" s="35" t="s">
        <v>3626</v>
      </c>
      <c r="C113" s="34" t="s">
        <v>2181</v>
      </c>
      <c r="D113" s="35" t="s">
        <v>3607</v>
      </c>
      <c r="E113" s="37" t="n">
        <v>94300</v>
      </c>
      <c r="F113" s="37" t="n">
        <v>124600</v>
      </c>
      <c r="G113" s="38" t="n">
        <f aca="false">(F113-E113)/E113</f>
        <v>0.321314952279958</v>
      </c>
      <c r="H113" s="37" t="n">
        <v>482</v>
      </c>
      <c r="I113" s="37" t="n">
        <v>44</v>
      </c>
      <c r="J113" s="37" t="n">
        <f aca="false">H113*E113</f>
        <v>45452600</v>
      </c>
      <c r="K113" s="36" t="n">
        <v>45403</v>
      </c>
      <c r="L113" s="66" t="n">
        <v>34.5</v>
      </c>
      <c r="M113" s="34" t="str">
        <f aca="false">IF(L113=0,"N/A",TEXT(H113/L113,"0.0"))</f>
        <v>14.0</v>
      </c>
      <c r="N113" s="34" t="str">
        <f aca="false">IF(H113=0,"Out of Stock",IF(H113&lt;I113,"Low Stock","In Stock"))</f>
        <v>In Stock</v>
      </c>
      <c r="O113" s="34" t="s">
        <v>3612</v>
      </c>
      <c r="P113" s="34" t="s">
        <v>3604</v>
      </c>
      <c r="Q113" s="42" t="n">
        <v>24</v>
      </c>
      <c r="R113" s="65" t="n">
        <v>4.25</v>
      </c>
      <c r="S113" s="37" t="n">
        <v>6</v>
      </c>
      <c r="T113" s="37" t="n">
        <f aca="false">(H113+S113)*E113</f>
        <v>46018400</v>
      </c>
    </row>
    <row r="114" customFormat="false" ht="15" hidden="false" customHeight="false" outlineLevel="0" collapsed="false">
      <c r="A114" s="43" t="s">
        <v>3765</v>
      </c>
      <c r="B114" s="44" t="s">
        <v>3628</v>
      </c>
      <c r="C114" s="43" t="s">
        <v>2244</v>
      </c>
      <c r="D114" s="44" t="s">
        <v>3611</v>
      </c>
      <c r="E114" s="46" t="n">
        <v>117600</v>
      </c>
      <c r="F114" s="46" t="n">
        <v>186000</v>
      </c>
      <c r="G114" s="47" t="n">
        <f aca="false">(F114-E114)/E114</f>
        <v>0.581632653061225</v>
      </c>
      <c r="H114" s="46" t="n">
        <v>164</v>
      </c>
      <c r="I114" s="46" t="n">
        <v>13</v>
      </c>
      <c r="J114" s="46" t="n">
        <f aca="false">H114*E114</f>
        <v>19286400</v>
      </c>
      <c r="K114" s="45" t="n">
        <v>45625</v>
      </c>
      <c r="L114" s="70" t="n">
        <v>58</v>
      </c>
      <c r="M114" s="43" t="str">
        <f aca="false">IF(L114=0,"N/A",TEXT(H114/L114,"0.0"))</f>
        <v>2.8</v>
      </c>
      <c r="N114" s="43" t="str">
        <f aca="false">IF(H114=0,"Out of Stock",IF(H114&lt;I114,"Low Stock","In Stock"))</f>
        <v>In Stock</v>
      </c>
      <c r="O114" s="43" t="s">
        <v>3594</v>
      </c>
      <c r="P114" s="43" t="s">
        <v>3595</v>
      </c>
      <c r="Q114" s="51" t="n">
        <v>18</v>
      </c>
      <c r="R114" s="69" t="n">
        <v>0.11</v>
      </c>
      <c r="S114" s="46" t="n">
        <v>9</v>
      </c>
      <c r="T114" s="46" t="n">
        <f aca="false">(H114+S114)*E114</f>
        <v>20344800</v>
      </c>
    </row>
    <row r="115" customFormat="false" ht="15" hidden="false" customHeight="false" outlineLevel="0" collapsed="false">
      <c r="A115" s="34" t="s">
        <v>3766</v>
      </c>
      <c r="B115" s="35" t="s">
        <v>3630</v>
      </c>
      <c r="C115" s="34" t="s">
        <v>2103</v>
      </c>
      <c r="D115" s="35" t="s">
        <v>3598</v>
      </c>
      <c r="E115" s="37" t="n">
        <v>80800</v>
      </c>
      <c r="F115" s="37" t="n">
        <v>135400</v>
      </c>
      <c r="G115" s="38" t="n">
        <f aca="false">(F115-E115)/E115</f>
        <v>0.675742574257426</v>
      </c>
      <c r="H115" s="37" t="n">
        <v>34</v>
      </c>
      <c r="I115" s="37" t="n">
        <v>8</v>
      </c>
      <c r="J115" s="37" t="n">
        <f aca="false">H115*E115</f>
        <v>2747200</v>
      </c>
      <c r="K115" s="36" t="n">
        <v>45325</v>
      </c>
      <c r="L115" s="66" t="n">
        <v>60.7</v>
      </c>
      <c r="M115" s="34" t="str">
        <f aca="false">IF(L115=0,"N/A",TEXT(H115/L115,"0.0"))</f>
        <v>0.6</v>
      </c>
      <c r="N115" s="34" t="str">
        <f aca="false">IF(H115=0,"Out of Stock",IF(H115&lt;I115,"Low Stock","In Stock"))</f>
        <v>In Stock</v>
      </c>
      <c r="O115" s="34" t="s">
        <v>3599</v>
      </c>
      <c r="P115" s="34" t="s">
        <v>3604</v>
      </c>
      <c r="Q115" s="42" t="n">
        <v>12</v>
      </c>
      <c r="R115" s="65" t="n">
        <v>2.24</v>
      </c>
      <c r="S115" s="37" t="n">
        <v>4</v>
      </c>
      <c r="T115" s="37" t="n">
        <f aca="false">(H115+S115)*E115</f>
        <v>3070400</v>
      </c>
    </row>
    <row r="116" customFormat="false" ht="15" hidden="false" customHeight="false" outlineLevel="0" collapsed="false">
      <c r="A116" s="43" t="s">
        <v>3767</v>
      </c>
      <c r="B116" s="44" t="s">
        <v>3633</v>
      </c>
      <c r="C116" s="43" t="s">
        <v>2181</v>
      </c>
      <c r="D116" s="44" t="s">
        <v>3602</v>
      </c>
      <c r="E116" s="46" t="n">
        <v>85100</v>
      </c>
      <c r="F116" s="46" t="n">
        <v>130600</v>
      </c>
      <c r="G116" s="47" t="n">
        <f aca="false">(F116-E116)/E116</f>
        <v>0.534665099882491</v>
      </c>
      <c r="H116" s="46" t="n">
        <v>302</v>
      </c>
      <c r="I116" s="46" t="n">
        <v>17</v>
      </c>
      <c r="J116" s="46" t="n">
        <f aca="false">H116*E116</f>
        <v>25700200</v>
      </c>
      <c r="K116" s="45" t="n">
        <v>45440</v>
      </c>
      <c r="L116" s="70" t="n">
        <v>20.6</v>
      </c>
      <c r="M116" s="43" t="str">
        <f aca="false">IF(L116=0,"N/A",TEXT(H116/L116,"0.0"))</f>
        <v>14.7</v>
      </c>
      <c r="N116" s="43" t="str">
        <f aca="false">IF(H116=0,"Out of Stock",IF(H116&lt;I116,"Low Stock","In Stock"))</f>
        <v>In Stock</v>
      </c>
      <c r="O116" s="43" t="s">
        <v>3599</v>
      </c>
      <c r="P116" s="43" t="s">
        <v>3604</v>
      </c>
      <c r="Q116" s="51" t="n">
        <v>18</v>
      </c>
      <c r="R116" s="69" t="n">
        <v>1.15</v>
      </c>
      <c r="S116" s="46" t="n">
        <v>11</v>
      </c>
      <c r="T116" s="46" t="n">
        <f aca="false">(H116+S116)*E116</f>
        <v>26636300</v>
      </c>
    </row>
    <row r="117" customFormat="false" ht="15" hidden="false" customHeight="false" outlineLevel="0" collapsed="false">
      <c r="A117" s="34" t="s">
        <v>3768</v>
      </c>
      <c r="B117" s="35" t="s">
        <v>3635</v>
      </c>
      <c r="C117" s="34" t="s">
        <v>3592</v>
      </c>
      <c r="D117" s="35" t="s">
        <v>3598</v>
      </c>
      <c r="E117" s="37" t="n">
        <v>97400</v>
      </c>
      <c r="F117" s="37" t="n">
        <v>162500</v>
      </c>
      <c r="G117" s="38" t="n">
        <f aca="false">(F117-E117)/E117</f>
        <v>0.668377823408624</v>
      </c>
      <c r="H117" s="37" t="n">
        <v>344</v>
      </c>
      <c r="I117" s="37" t="n">
        <v>14</v>
      </c>
      <c r="J117" s="37" t="n">
        <f aca="false">H117*E117</f>
        <v>33505600</v>
      </c>
      <c r="K117" s="36" t="n">
        <v>45518</v>
      </c>
      <c r="L117" s="66" t="n">
        <v>17.3</v>
      </c>
      <c r="M117" s="34" t="str">
        <f aca="false">IF(L117=0,"N/A",TEXT(H117/L117,"0.0"))</f>
        <v>19.9</v>
      </c>
      <c r="N117" s="34" t="str">
        <f aca="false">IF(H117=0,"Out of Stock",IF(H117&lt;I117,"Low Stock","In Stock"))</f>
        <v>In Stock</v>
      </c>
      <c r="O117" s="34" t="s">
        <v>3615</v>
      </c>
      <c r="P117" s="34" t="s">
        <v>3595</v>
      </c>
      <c r="Q117" s="42" t="n">
        <v>18</v>
      </c>
      <c r="R117" s="65" t="n">
        <v>10.12</v>
      </c>
      <c r="S117" s="37" t="n">
        <v>4</v>
      </c>
      <c r="T117" s="37" t="n">
        <f aca="false">(H117+S117)*E117</f>
        <v>33895200</v>
      </c>
    </row>
    <row r="118" customFormat="false" ht="15" hidden="false" customHeight="false" outlineLevel="0" collapsed="false">
      <c r="A118" s="43" t="s">
        <v>3769</v>
      </c>
      <c r="B118" s="44" t="s">
        <v>3637</v>
      </c>
      <c r="C118" s="43" t="s">
        <v>2244</v>
      </c>
      <c r="D118" s="44" t="s">
        <v>3631</v>
      </c>
      <c r="E118" s="46" t="n">
        <v>69200</v>
      </c>
      <c r="F118" s="46" t="n">
        <v>88700</v>
      </c>
      <c r="G118" s="47" t="n">
        <f aca="false">(F118-E118)/E118</f>
        <v>0.281791907514451</v>
      </c>
      <c r="H118" s="46" t="n">
        <v>321</v>
      </c>
      <c r="I118" s="46" t="n">
        <v>43</v>
      </c>
      <c r="J118" s="46" t="n">
        <f aca="false">H118*E118</f>
        <v>22213200</v>
      </c>
      <c r="K118" s="45" t="n">
        <v>45525</v>
      </c>
      <c r="L118" s="70" t="n">
        <v>38.2</v>
      </c>
      <c r="M118" s="43" t="str">
        <f aca="false">IF(L118=0,"N/A",TEXT(H118/L118,"0.0"))</f>
        <v>8.4</v>
      </c>
      <c r="N118" s="43" t="str">
        <f aca="false">IF(H118=0,"Out of Stock",IF(H118&lt;I118,"Low Stock","In Stock"))</f>
        <v>In Stock</v>
      </c>
      <c r="O118" s="43" t="s">
        <v>3594</v>
      </c>
      <c r="P118" s="43" t="s">
        <v>3608</v>
      </c>
      <c r="Q118" s="51" t="n">
        <v>6</v>
      </c>
      <c r="R118" s="69" t="n">
        <v>6.63</v>
      </c>
      <c r="S118" s="46" t="n">
        <v>21</v>
      </c>
      <c r="T118" s="46" t="n">
        <f aca="false">(H118+S118)*E118</f>
        <v>23666400</v>
      </c>
    </row>
    <row r="119" customFormat="false" ht="15" hidden="false" customHeight="false" outlineLevel="0" collapsed="false">
      <c r="A119" s="34" t="s">
        <v>3770</v>
      </c>
      <c r="B119" s="35" t="s">
        <v>3639</v>
      </c>
      <c r="C119" s="34" t="s">
        <v>2208</v>
      </c>
      <c r="D119" s="35" t="s">
        <v>3602</v>
      </c>
      <c r="E119" s="37" t="n">
        <v>9700</v>
      </c>
      <c r="F119" s="37" t="n">
        <v>18500</v>
      </c>
      <c r="G119" s="38" t="n">
        <f aca="false">(F119-E119)/E119</f>
        <v>0.907216494845361</v>
      </c>
      <c r="H119" s="37" t="n">
        <v>386</v>
      </c>
      <c r="I119" s="37" t="n">
        <v>26</v>
      </c>
      <c r="J119" s="37" t="n">
        <f aca="false">H119*E119</f>
        <v>3744200</v>
      </c>
      <c r="K119" s="36" t="n">
        <v>45568</v>
      </c>
      <c r="L119" s="66" t="n">
        <v>70.1</v>
      </c>
      <c r="M119" s="34" t="str">
        <f aca="false">IF(L119=0,"N/A",TEXT(H119/L119,"0.0"))</f>
        <v>5.5</v>
      </c>
      <c r="N119" s="34" t="str">
        <f aca="false">IF(H119=0,"Out of Stock",IF(H119&lt;I119,"Low Stock","In Stock"))</f>
        <v>In Stock</v>
      </c>
      <c r="O119" s="34" t="s">
        <v>3612</v>
      </c>
      <c r="P119" s="34" t="s">
        <v>3595</v>
      </c>
      <c r="Q119" s="42" t="n">
        <v>24</v>
      </c>
      <c r="R119" s="65" t="n">
        <v>14.82</v>
      </c>
      <c r="S119" s="37" t="n">
        <v>30</v>
      </c>
      <c r="T119" s="37" t="n">
        <f aca="false">(H119+S119)*E119</f>
        <v>4035200</v>
      </c>
    </row>
    <row r="120" customFormat="false" ht="15" hidden="false" customHeight="false" outlineLevel="0" collapsed="false">
      <c r="A120" s="43" t="s">
        <v>3771</v>
      </c>
      <c r="B120" s="44" t="s">
        <v>3641</v>
      </c>
      <c r="C120" s="43" t="s">
        <v>2110</v>
      </c>
      <c r="D120" s="44" t="s">
        <v>3611</v>
      </c>
      <c r="E120" s="46" t="n">
        <v>56300</v>
      </c>
      <c r="F120" s="46" t="n">
        <v>93900</v>
      </c>
      <c r="G120" s="47" t="n">
        <f aca="false">(F120-E120)/E120</f>
        <v>0.66785079928952</v>
      </c>
      <c r="H120" s="46" t="n">
        <v>448</v>
      </c>
      <c r="I120" s="46" t="n">
        <v>50</v>
      </c>
      <c r="J120" s="46" t="n">
        <f aca="false">H120*E120</f>
        <v>25222400</v>
      </c>
      <c r="K120" s="45" t="n">
        <v>45365</v>
      </c>
      <c r="L120" s="70" t="n">
        <v>55.6</v>
      </c>
      <c r="M120" s="43" t="str">
        <f aca="false">IF(L120=0,"N/A",TEXT(H120/L120,"0.0"))</f>
        <v>8.1</v>
      </c>
      <c r="N120" s="43" t="str">
        <f aca="false">IF(H120=0,"Out of Stock",IF(H120&lt;I120,"Low Stock","In Stock"))</f>
        <v>In Stock</v>
      </c>
      <c r="O120" s="43" t="s">
        <v>3599</v>
      </c>
      <c r="P120" s="43" t="s">
        <v>3608</v>
      </c>
      <c r="Q120" s="51" t="n">
        <v>18</v>
      </c>
      <c r="R120" s="69" t="n">
        <v>7.36</v>
      </c>
      <c r="S120" s="46" t="n">
        <v>25</v>
      </c>
      <c r="T120" s="46" t="n">
        <f aca="false">(H120+S120)*E120</f>
        <v>26629900</v>
      </c>
    </row>
    <row r="121" customFormat="false" ht="15" hidden="false" customHeight="false" outlineLevel="0" collapsed="false">
      <c r="A121" s="34" t="s">
        <v>3772</v>
      </c>
      <c r="B121" s="35" t="s">
        <v>3643</v>
      </c>
      <c r="C121" s="34" t="s">
        <v>3592</v>
      </c>
      <c r="D121" s="35" t="s">
        <v>3620</v>
      </c>
      <c r="E121" s="37" t="n">
        <v>96400</v>
      </c>
      <c r="F121" s="37" t="n">
        <v>162200</v>
      </c>
      <c r="G121" s="38" t="n">
        <f aca="false">(F121-E121)/E121</f>
        <v>0.682572614107884</v>
      </c>
      <c r="H121" s="37" t="n">
        <v>306</v>
      </c>
      <c r="I121" s="37" t="n">
        <v>28</v>
      </c>
      <c r="J121" s="37" t="n">
        <f aca="false">H121*E121</f>
        <v>29498400</v>
      </c>
      <c r="K121" s="36" t="n">
        <v>45604</v>
      </c>
      <c r="L121" s="66" t="n">
        <v>20.1</v>
      </c>
      <c r="M121" s="34" t="str">
        <f aca="false">IF(L121=0,"N/A",TEXT(H121/L121,"0.0"))</f>
        <v>15.2</v>
      </c>
      <c r="N121" s="34" t="str">
        <f aca="false">IF(H121=0,"Out of Stock",IF(H121&lt;I121,"Low Stock","In Stock"))</f>
        <v>In Stock</v>
      </c>
      <c r="O121" s="34" t="s">
        <v>3603</v>
      </c>
      <c r="P121" s="34" t="s">
        <v>3595</v>
      </c>
      <c r="Q121" s="42" t="n">
        <v>24</v>
      </c>
      <c r="R121" s="65" t="n">
        <v>10.01</v>
      </c>
      <c r="S121" s="37" t="n">
        <v>27</v>
      </c>
      <c r="T121" s="37" t="n">
        <f aca="false">(H121+S121)*E121</f>
        <v>32101200</v>
      </c>
    </row>
    <row r="122" customFormat="false" ht="15" hidden="false" customHeight="false" outlineLevel="0" collapsed="false">
      <c r="A122" s="43" t="s">
        <v>3773</v>
      </c>
      <c r="B122" s="44" t="s">
        <v>3645</v>
      </c>
      <c r="C122" s="43" t="s">
        <v>2110</v>
      </c>
      <c r="D122" s="44" t="s">
        <v>3620</v>
      </c>
      <c r="E122" s="46" t="n">
        <v>113800</v>
      </c>
      <c r="F122" s="46" t="n">
        <v>206700</v>
      </c>
      <c r="G122" s="47" t="n">
        <f aca="false">(F122-E122)/E122</f>
        <v>0.816344463971881</v>
      </c>
      <c r="H122" s="46" t="n">
        <v>431</v>
      </c>
      <c r="I122" s="46" t="n">
        <v>22</v>
      </c>
      <c r="J122" s="46" t="n">
        <f aca="false">H122*E122</f>
        <v>49047800</v>
      </c>
      <c r="K122" s="45" t="n">
        <v>45469</v>
      </c>
      <c r="L122" s="70" t="n">
        <v>72.5</v>
      </c>
      <c r="M122" s="43" t="str">
        <f aca="false">IF(L122=0,"N/A",TEXT(H122/L122,"0.0"))</f>
        <v>5.9</v>
      </c>
      <c r="N122" s="43" t="str">
        <f aca="false">IF(H122=0,"Out of Stock",IF(H122&lt;I122,"Low Stock","In Stock"))</f>
        <v>In Stock</v>
      </c>
      <c r="O122" s="43" t="s">
        <v>3612</v>
      </c>
      <c r="P122" s="43" t="s">
        <v>3595</v>
      </c>
      <c r="Q122" s="51" t="n">
        <v>24</v>
      </c>
      <c r="R122" s="69" t="n">
        <v>7.67</v>
      </c>
      <c r="S122" s="46" t="n">
        <v>20</v>
      </c>
      <c r="T122" s="46" t="n">
        <f aca="false">(H122+S122)*E122</f>
        <v>51323800</v>
      </c>
    </row>
    <row r="123" customFormat="false" ht="15" hidden="false" customHeight="false" outlineLevel="0" collapsed="false">
      <c r="A123" s="34" t="s">
        <v>3774</v>
      </c>
      <c r="B123" s="35" t="s">
        <v>3647</v>
      </c>
      <c r="C123" s="34" t="s">
        <v>3592</v>
      </c>
      <c r="D123" s="35" t="s">
        <v>3620</v>
      </c>
      <c r="E123" s="37" t="n">
        <v>13700</v>
      </c>
      <c r="F123" s="37" t="n">
        <v>24300</v>
      </c>
      <c r="G123" s="38" t="n">
        <f aca="false">(F123-E123)/E123</f>
        <v>0.773722627737226</v>
      </c>
      <c r="H123" s="37" t="n">
        <v>248</v>
      </c>
      <c r="I123" s="37" t="n">
        <v>20</v>
      </c>
      <c r="J123" s="37" t="n">
        <f aca="false">H123*E123</f>
        <v>3397600</v>
      </c>
      <c r="K123" s="36" t="n">
        <v>45415</v>
      </c>
      <c r="L123" s="66" t="n">
        <v>47.3</v>
      </c>
      <c r="M123" s="34" t="str">
        <f aca="false">IF(L123=0,"N/A",TEXT(H123/L123,"0.0"))</f>
        <v>5.2</v>
      </c>
      <c r="N123" s="34" t="str">
        <f aca="false">IF(H123=0,"Out of Stock",IF(H123&lt;I123,"Low Stock","In Stock"))</f>
        <v>In Stock</v>
      </c>
      <c r="O123" s="34" t="s">
        <v>3615</v>
      </c>
      <c r="P123" s="34" t="s">
        <v>3604</v>
      </c>
      <c r="Q123" s="42" t="n">
        <v>18</v>
      </c>
      <c r="R123" s="65" t="n">
        <v>8.91</v>
      </c>
      <c r="S123" s="37" t="n">
        <v>7</v>
      </c>
      <c r="T123" s="37" t="n">
        <f aca="false">(H123+S123)*E123</f>
        <v>3493500</v>
      </c>
    </row>
    <row r="124" customFormat="false" ht="15" hidden="false" customHeight="false" outlineLevel="0" collapsed="false">
      <c r="A124" s="43" t="s">
        <v>3775</v>
      </c>
      <c r="B124" s="44" t="s">
        <v>3649</v>
      </c>
      <c r="C124" s="43" t="s">
        <v>2244</v>
      </c>
      <c r="D124" s="44" t="s">
        <v>3593</v>
      </c>
      <c r="E124" s="46" t="n">
        <v>110200</v>
      </c>
      <c r="F124" s="46" t="n">
        <v>182100</v>
      </c>
      <c r="G124" s="47" t="n">
        <f aca="false">(F124-E124)/E124</f>
        <v>0.652450090744102</v>
      </c>
      <c r="H124" s="46" t="n">
        <v>310</v>
      </c>
      <c r="I124" s="46" t="n">
        <v>38</v>
      </c>
      <c r="J124" s="46" t="n">
        <f aca="false">H124*E124</f>
        <v>34162000</v>
      </c>
      <c r="K124" s="45" t="n">
        <v>45451</v>
      </c>
      <c r="L124" s="70" t="n">
        <v>69.8</v>
      </c>
      <c r="M124" s="43" t="str">
        <f aca="false">IF(L124=0,"N/A",TEXT(H124/L124,"0.0"))</f>
        <v>4.4</v>
      </c>
      <c r="N124" s="43" t="str">
        <f aca="false">IF(H124=0,"Out of Stock",IF(H124&lt;I124,"Low Stock","In Stock"))</f>
        <v>In Stock</v>
      </c>
      <c r="O124" s="43" t="s">
        <v>3615</v>
      </c>
      <c r="P124" s="43" t="s">
        <v>3608</v>
      </c>
      <c r="Q124" s="51" t="n">
        <v>36</v>
      </c>
      <c r="R124" s="69" t="n">
        <v>5.8</v>
      </c>
      <c r="S124" s="46" t="n">
        <v>21</v>
      </c>
      <c r="T124" s="46" t="n">
        <f aca="false">(H124+S124)*E124</f>
        <v>36476200</v>
      </c>
    </row>
    <row r="125" customFormat="false" ht="15" hidden="false" customHeight="false" outlineLevel="0" collapsed="false">
      <c r="A125" s="34" t="s">
        <v>3776</v>
      </c>
      <c r="B125" s="35" t="s">
        <v>2207</v>
      </c>
      <c r="C125" s="34" t="s">
        <v>2181</v>
      </c>
      <c r="D125" s="35" t="s">
        <v>3607</v>
      </c>
      <c r="E125" s="37" t="n">
        <v>84700</v>
      </c>
      <c r="F125" s="37" t="n">
        <v>166300</v>
      </c>
      <c r="G125" s="38" t="n">
        <f aca="false">(F125-E125)/E125</f>
        <v>0.963400236127509</v>
      </c>
      <c r="H125" s="37" t="n">
        <v>294</v>
      </c>
      <c r="I125" s="37" t="n">
        <v>11</v>
      </c>
      <c r="J125" s="37" t="n">
        <f aca="false">H125*E125</f>
        <v>24901800</v>
      </c>
      <c r="K125" s="36" t="n">
        <v>45423</v>
      </c>
      <c r="L125" s="66" t="n">
        <v>10.3</v>
      </c>
      <c r="M125" s="34" t="str">
        <f aca="false">IF(L125=0,"N/A",TEXT(H125/L125,"0.0"))</f>
        <v>28.5</v>
      </c>
      <c r="N125" s="34" t="str">
        <f aca="false">IF(H125=0,"Out of Stock",IF(H125&lt;I125,"Low Stock","In Stock"))</f>
        <v>In Stock</v>
      </c>
      <c r="O125" s="34" t="s">
        <v>3594</v>
      </c>
      <c r="P125" s="34" t="s">
        <v>3604</v>
      </c>
      <c r="Q125" s="42" t="n">
        <v>36</v>
      </c>
      <c r="R125" s="65" t="n">
        <v>3.66</v>
      </c>
      <c r="S125" s="37" t="n">
        <v>24</v>
      </c>
      <c r="T125" s="37" t="n">
        <f aca="false">(H125+S125)*E125</f>
        <v>26934600</v>
      </c>
    </row>
    <row r="126" customFormat="false" ht="15" hidden="false" customHeight="false" outlineLevel="0" collapsed="false">
      <c r="A126" s="43" t="s">
        <v>3777</v>
      </c>
      <c r="B126" s="44" t="s">
        <v>3652</v>
      </c>
      <c r="C126" s="43" t="s">
        <v>2181</v>
      </c>
      <c r="D126" s="44" t="s">
        <v>3611</v>
      </c>
      <c r="E126" s="46" t="n">
        <v>94600</v>
      </c>
      <c r="F126" s="46" t="n">
        <v>169800</v>
      </c>
      <c r="G126" s="47" t="n">
        <f aca="false">(F126-E126)/E126</f>
        <v>0.79492600422833</v>
      </c>
      <c r="H126" s="46" t="n">
        <v>177</v>
      </c>
      <c r="I126" s="46" t="n">
        <v>46</v>
      </c>
      <c r="J126" s="46" t="n">
        <f aca="false">H126*E126</f>
        <v>16744200</v>
      </c>
      <c r="K126" s="45" t="n">
        <v>45350</v>
      </c>
      <c r="L126" s="70" t="n">
        <v>63.3</v>
      </c>
      <c r="M126" s="43" t="str">
        <f aca="false">IF(L126=0,"N/A",TEXT(H126/L126,"0.0"))</f>
        <v>2.8</v>
      </c>
      <c r="N126" s="43" t="str">
        <f aca="false">IF(H126=0,"Out of Stock",IF(H126&lt;I126,"Low Stock","In Stock"))</f>
        <v>In Stock</v>
      </c>
      <c r="O126" s="43" t="s">
        <v>3615</v>
      </c>
      <c r="P126" s="43" t="s">
        <v>3604</v>
      </c>
      <c r="Q126" s="51" t="n">
        <v>36</v>
      </c>
      <c r="R126" s="69" t="n">
        <v>6.97</v>
      </c>
      <c r="S126" s="46" t="n">
        <v>27</v>
      </c>
      <c r="T126" s="46" t="n">
        <f aca="false">(H126+S126)*E126</f>
        <v>19298400</v>
      </c>
    </row>
    <row r="127" customFormat="false" ht="15" hidden="false" customHeight="false" outlineLevel="0" collapsed="false">
      <c r="A127" s="34" t="s">
        <v>3778</v>
      </c>
      <c r="B127" s="35" t="s">
        <v>3654</v>
      </c>
      <c r="C127" s="34" t="s">
        <v>2181</v>
      </c>
      <c r="D127" s="35" t="s">
        <v>3607</v>
      </c>
      <c r="E127" s="37" t="n">
        <v>82800</v>
      </c>
      <c r="F127" s="37" t="n">
        <v>148700</v>
      </c>
      <c r="G127" s="38" t="n">
        <f aca="false">(F127-E127)/E127</f>
        <v>0.795893719806763</v>
      </c>
      <c r="H127" s="37" t="n">
        <v>221</v>
      </c>
      <c r="I127" s="37" t="n">
        <v>47</v>
      </c>
      <c r="J127" s="37" t="n">
        <f aca="false">H127*E127</f>
        <v>18298800</v>
      </c>
      <c r="K127" s="36" t="n">
        <v>45353</v>
      </c>
      <c r="L127" s="66" t="n">
        <v>72.7</v>
      </c>
      <c r="M127" s="34" t="str">
        <f aca="false">IF(L127=0,"N/A",TEXT(H127/L127,"0.0"))</f>
        <v>3.0</v>
      </c>
      <c r="N127" s="34" t="str">
        <f aca="false">IF(H127=0,"Out of Stock",IF(H127&lt;I127,"Low Stock","In Stock"))</f>
        <v>In Stock</v>
      </c>
      <c r="O127" s="34" t="s">
        <v>3612</v>
      </c>
      <c r="P127" s="34" t="s">
        <v>3595</v>
      </c>
      <c r="Q127" s="42" t="n">
        <v>6</v>
      </c>
      <c r="R127" s="65" t="n">
        <v>8.55</v>
      </c>
      <c r="S127" s="37" t="n">
        <v>6</v>
      </c>
      <c r="T127" s="37" t="n">
        <f aca="false">(H127+S127)*E127</f>
        <v>18795600</v>
      </c>
    </row>
    <row r="128" customFormat="false" ht="15" hidden="false" customHeight="false" outlineLevel="0" collapsed="false">
      <c r="A128" s="43" t="s">
        <v>3779</v>
      </c>
      <c r="B128" s="44" t="s">
        <v>3656</v>
      </c>
      <c r="C128" s="43" t="s">
        <v>2765</v>
      </c>
      <c r="D128" s="44" t="s">
        <v>3611</v>
      </c>
      <c r="E128" s="46" t="n">
        <v>105600</v>
      </c>
      <c r="F128" s="46" t="n">
        <v>129100</v>
      </c>
      <c r="G128" s="47" t="n">
        <f aca="false">(F128-E128)/E128</f>
        <v>0.222537878787879</v>
      </c>
      <c r="H128" s="46" t="n">
        <v>233</v>
      </c>
      <c r="I128" s="46" t="n">
        <v>21</v>
      </c>
      <c r="J128" s="46" t="n">
        <f aca="false">H128*E128</f>
        <v>24604800</v>
      </c>
      <c r="K128" s="45" t="n">
        <v>45297</v>
      </c>
      <c r="L128" s="70" t="n">
        <v>29.3</v>
      </c>
      <c r="M128" s="43" t="str">
        <f aca="false">IF(L128=0,"N/A",TEXT(H128/L128,"0.0"))</f>
        <v>8.0</v>
      </c>
      <c r="N128" s="43" t="str">
        <f aca="false">IF(H128=0,"Out of Stock",IF(H128&lt;I128,"Low Stock","In Stock"))</f>
        <v>In Stock</v>
      </c>
      <c r="O128" s="43" t="s">
        <v>3612</v>
      </c>
      <c r="P128" s="43" t="s">
        <v>3604</v>
      </c>
      <c r="Q128" s="51" t="n">
        <v>12</v>
      </c>
      <c r="R128" s="69" t="n">
        <v>5.23</v>
      </c>
      <c r="S128" s="46" t="n">
        <v>21</v>
      </c>
      <c r="T128" s="46" t="n">
        <f aca="false">(H128+S128)*E128</f>
        <v>26822400</v>
      </c>
    </row>
    <row r="129" customFormat="false" ht="15" hidden="false" customHeight="false" outlineLevel="0" collapsed="false">
      <c r="A129" s="34" t="s">
        <v>3780</v>
      </c>
      <c r="B129" s="35" t="s">
        <v>3658</v>
      </c>
      <c r="C129" s="34" t="s">
        <v>2181</v>
      </c>
      <c r="D129" s="35" t="s">
        <v>3620</v>
      </c>
      <c r="E129" s="37" t="n">
        <v>43000</v>
      </c>
      <c r="F129" s="37" t="n">
        <v>67400</v>
      </c>
      <c r="G129" s="38" t="n">
        <f aca="false">(F129-E129)/E129</f>
        <v>0.567441860465116</v>
      </c>
      <c r="H129" s="37" t="n">
        <v>325</v>
      </c>
      <c r="I129" s="37" t="n">
        <v>21</v>
      </c>
      <c r="J129" s="37" t="n">
        <f aca="false">H129*E129</f>
        <v>13975000</v>
      </c>
      <c r="K129" s="36" t="n">
        <v>45361</v>
      </c>
      <c r="L129" s="66" t="n">
        <v>61.7</v>
      </c>
      <c r="M129" s="34" t="str">
        <f aca="false">IF(L129=0,"N/A",TEXT(H129/L129,"0.0"))</f>
        <v>5.3</v>
      </c>
      <c r="N129" s="34" t="str">
        <f aca="false">IF(H129=0,"Out of Stock",IF(H129&lt;I129,"Low Stock","In Stock"))</f>
        <v>In Stock</v>
      </c>
      <c r="O129" s="34" t="s">
        <v>3612</v>
      </c>
      <c r="P129" s="34" t="s">
        <v>3604</v>
      </c>
      <c r="Q129" s="42" t="n">
        <v>36</v>
      </c>
      <c r="R129" s="65" t="n">
        <v>3.22</v>
      </c>
      <c r="S129" s="37" t="n">
        <v>5</v>
      </c>
      <c r="T129" s="37" t="n">
        <f aca="false">(H129+S129)*E129</f>
        <v>14190000</v>
      </c>
    </row>
    <row r="130" customFormat="false" ht="15" hidden="false" customHeight="false" outlineLevel="0" collapsed="false">
      <c r="A130" s="43" t="s">
        <v>3781</v>
      </c>
      <c r="B130" s="44" t="s">
        <v>3660</v>
      </c>
      <c r="C130" s="43" t="s">
        <v>2181</v>
      </c>
      <c r="D130" s="44" t="s">
        <v>3631</v>
      </c>
      <c r="E130" s="46" t="n">
        <v>102800</v>
      </c>
      <c r="F130" s="46" t="n">
        <v>190400</v>
      </c>
      <c r="G130" s="47" t="n">
        <f aca="false">(F130-E130)/E130</f>
        <v>0.852140077821012</v>
      </c>
      <c r="H130" s="46" t="n">
        <v>432</v>
      </c>
      <c r="I130" s="46" t="n">
        <v>36</v>
      </c>
      <c r="J130" s="46" t="n">
        <f aca="false">H130*E130</f>
        <v>44409600</v>
      </c>
      <c r="K130" s="45" t="n">
        <v>45405</v>
      </c>
      <c r="L130" s="70" t="n">
        <v>68.7</v>
      </c>
      <c r="M130" s="43" t="str">
        <f aca="false">IF(L130=0,"N/A",TEXT(H130/L130,"0.0"))</f>
        <v>6.3</v>
      </c>
      <c r="N130" s="43" t="str">
        <f aca="false">IF(H130=0,"Out of Stock",IF(H130&lt;I130,"Low Stock","In Stock"))</f>
        <v>In Stock</v>
      </c>
      <c r="O130" s="43" t="s">
        <v>3599</v>
      </c>
      <c r="P130" s="43" t="s">
        <v>3595</v>
      </c>
      <c r="Q130" s="51" t="n">
        <v>36</v>
      </c>
      <c r="R130" s="69" t="n">
        <v>5.34</v>
      </c>
      <c r="S130" s="46" t="n">
        <v>10</v>
      </c>
      <c r="T130" s="46" t="n">
        <f aca="false">(H130+S130)*E130</f>
        <v>45437600</v>
      </c>
    </row>
    <row r="131" customFormat="false" ht="15" hidden="false" customHeight="false" outlineLevel="0" collapsed="false">
      <c r="A131" s="34" t="s">
        <v>3782</v>
      </c>
      <c r="B131" s="35" t="s">
        <v>3662</v>
      </c>
      <c r="C131" s="34" t="s">
        <v>2181</v>
      </c>
      <c r="D131" s="35" t="s">
        <v>3631</v>
      </c>
      <c r="E131" s="37" t="n">
        <v>13700</v>
      </c>
      <c r="F131" s="37" t="n">
        <v>26500</v>
      </c>
      <c r="G131" s="38" t="n">
        <f aca="false">(F131-E131)/E131</f>
        <v>0.934306569343066</v>
      </c>
      <c r="H131" s="37" t="n">
        <v>46</v>
      </c>
      <c r="I131" s="37" t="n">
        <v>45</v>
      </c>
      <c r="J131" s="37" t="n">
        <f aca="false">H131*E131</f>
        <v>630200</v>
      </c>
      <c r="K131" s="36" t="n">
        <v>45476</v>
      </c>
      <c r="L131" s="66" t="n">
        <v>33.1</v>
      </c>
      <c r="M131" s="34" t="str">
        <f aca="false">IF(L131=0,"N/A",TEXT(H131/L131,"0.0"))</f>
        <v>1.4</v>
      </c>
      <c r="N131" s="34" t="str">
        <f aca="false">IF(H131=0,"Out of Stock",IF(H131&lt;I131,"Low Stock","In Stock"))</f>
        <v>In Stock</v>
      </c>
      <c r="O131" s="34" t="s">
        <v>3603</v>
      </c>
      <c r="P131" s="34" t="s">
        <v>3595</v>
      </c>
      <c r="Q131" s="42" t="n">
        <v>12</v>
      </c>
      <c r="R131" s="65" t="n">
        <v>7.51</v>
      </c>
      <c r="S131" s="37" t="n">
        <v>19</v>
      </c>
      <c r="T131" s="37" t="n">
        <f aca="false">(H131+S131)*E131</f>
        <v>890500</v>
      </c>
    </row>
    <row r="132" customFormat="false" ht="15" hidden="false" customHeight="false" outlineLevel="0" collapsed="false">
      <c r="A132" s="43" t="s">
        <v>3783</v>
      </c>
      <c r="B132" s="44" t="s">
        <v>3664</v>
      </c>
      <c r="C132" s="43" t="s">
        <v>2765</v>
      </c>
      <c r="D132" s="44" t="s">
        <v>3607</v>
      </c>
      <c r="E132" s="46" t="n">
        <v>93200</v>
      </c>
      <c r="F132" s="46" t="n">
        <v>148000</v>
      </c>
      <c r="G132" s="47" t="n">
        <f aca="false">(F132-E132)/E132</f>
        <v>0.587982832618026</v>
      </c>
      <c r="H132" s="46" t="n">
        <v>172</v>
      </c>
      <c r="I132" s="46" t="n">
        <v>33</v>
      </c>
      <c r="J132" s="46" t="n">
        <f aca="false">H132*E132</f>
        <v>16030400</v>
      </c>
      <c r="K132" s="45" t="n">
        <v>45526</v>
      </c>
      <c r="L132" s="70" t="n">
        <v>71.8</v>
      </c>
      <c r="M132" s="43" t="str">
        <f aca="false">IF(L132=0,"N/A",TEXT(H132/L132,"0.0"))</f>
        <v>2.4</v>
      </c>
      <c r="N132" s="43" t="str">
        <f aca="false">IF(H132=0,"Out of Stock",IF(H132&lt;I132,"Low Stock","In Stock"))</f>
        <v>In Stock</v>
      </c>
      <c r="O132" s="43" t="s">
        <v>3612</v>
      </c>
      <c r="P132" s="43" t="s">
        <v>3595</v>
      </c>
      <c r="Q132" s="51" t="n">
        <v>12</v>
      </c>
      <c r="R132" s="69" t="n">
        <v>2.47</v>
      </c>
      <c r="S132" s="46" t="n">
        <v>24</v>
      </c>
      <c r="T132" s="46" t="n">
        <f aca="false">(H132+S132)*E132</f>
        <v>18267200</v>
      </c>
    </row>
    <row r="133" customFormat="false" ht="15" hidden="false" customHeight="false" outlineLevel="0" collapsed="false">
      <c r="A133" s="34" t="s">
        <v>3784</v>
      </c>
      <c r="B133" s="35" t="s">
        <v>3666</v>
      </c>
      <c r="C133" s="34" t="s">
        <v>3592</v>
      </c>
      <c r="D133" s="35" t="s">
        <v>3602</v>
      </c>
      <c r="E133" s="37" t="n">
        <v>76700</v>
      </c>
      <c r="F133" s="37" t="n">
        <v>111100</v>
      </c>
      <c r="G133" s="38" t="n">
        <f aca="false">(F133-E133)/E133</f>
        <v>0.448500651890482</v>
      </c>
      <c r="H133" s="37" t="n">
        <v>259</v>
      </c>
      <c r="I133" s="37" t="n">
        <v>49</v>
      </c>
      <c r="J133" s="37" t="n">
        <f aca="false">H133*E133</f>
        <v>19865300</v>
      </c>
      <c r="K133" s="36" t="n">
        <v>45400</v>
      </c>
      <c r="L133" s="66" t="n">
        <v>51.7</v>
      </c>
      <c r="M133" s="34" t="str">
        <f aca="false">IF(L133=0,"N/A",TEXT(H133/L133,"0.0"))</f>
        <v>5.0</v>
      </c>
      <c r="N133" s="34" t="str">
        <f aca="false">IF(H133=0,"Out of Stock",IF(H133&lt;I133,"Low Stock","In Stock"))</f>
        <v>In Stock</v>
      </c>
      <c r="O133" s="34" t="s">
        <v>3599</v>
      </c>
      <c r="P133" s="34" t="s">
        <v>3604</v>
      </c>
      <c r="Q133" s="42" t="n">
        <v>36</v>
      </c>
      <c r="R133" s="65" t="n">
        <v>11.38</v>
      </c>
      <c r="S133" s="37" t="n">
        <v>9</v>
      </c>
      <c r="T133" s="37" t="n">
        <f aca="false">(H133+S133)*E133</f>
        <v>20555600</v>
      </c>
    </row>
    <row r="134" customFormat="false" ht="15" hidden="false" customHeight="false" outlineLevel="0" collapsed="false">
      <c r="A134" s="43" t="s">
        <v>3785</v>
      </c>
      <c r="B134" s="44" t="s">
        <v>3668</v>
      </c>
      <c r="C134" s="43" t="s">
        <v>2244</v>
      </c>
      <c r="D134" s="44" t="s">
        <v>3598</v>
      </c>
      <c r="E134" s="46" t="n">
        <v>10400</v>
      </c>
      <c r="F134" s="46" t="n">
        <v>14100</v>
      </c>
      <c r="G134" s="47" t="n">
        <f aca="false">(F134-E134)/E134</f>
        <v>0.355769230769231</v>
      </c>
      <c r="H134" s="46" t="n">
        <v>46</v>
      </c>
      <c r="I134" s="46" t="n">
        <v>50</v>
      </c>
      <c r="J134" s="46" t="n">
        <f aca="false">H134*E134</f>
        <v>478400</v>
      </c>
      <c r="K134" s="45" t="n">
        <v>45496</v>
      </c>
      <c r="L134" s="70" t="n">
        <v>48.2</v>
      </c>
      <c r="M134" s="43" t="str">
        <f aca="false">IF(L134=0,"N/A",TEXT(H134/L134,"0.0"))</f>
        <v>1.0</v>
      </c>
      <c r="N134" s="43" t="str">
        <f aca="false">IF(H134=0,"Out of Stock",IF(H134&lt;I134,"Low Stock","In Stock"))</f>
        <v>Low Stock</v>
      </c>
      <c r="O134" s="43" t="s">
        <v>3599</v>
      </c>
      <c r="P134" s="43" t="s">
        <v>3595</v>
      </c>
      <c r="Q134" s="51" t="n">
        <v>18</v>
      </c>
      <c r="R134" s="69" t="n">
        <v>9.98</v>
      </c>
      <c r="S134" s="46" t="n">
        <v>28</v>
      </c>
      <c r="T134" s="46" t="n">
        <f aca="false">(H134+S134)*E134</f>
        <v>769600</v>
      </c>
    </row>
    <row r="135" customFormat="false" ht="15" hidden="false" customHeight="false" outlineLevel="0" collapsed="false">
      <c r="A135" s="34" t="s">
        <v>3786</v>
      </c>
      <c r="B135" s="35" t="s">
        <v>3670</v>
      </c>
      <c r="C135" s="34" t="s">
        <v>2244</v>
      </c>
      <c r="D135" s="35" t="s">
        <v>3631</v>
      </c>
      <c r="E135" s="37" t="n">
        <v>52500</v>
      </c>
      <c r="F135" s="37" t="n">
        <v>68600</v>
      </c>
      <c r="G135" s="38" t="n">
        <f aca="false">(F135-E135)/E135</f>
        <v>0.306666666666667</v>
      </c>
      <c r="H135" s="37" t="n">
        <v>197</v>
      </c>
      <c r="I135" s="37" t="n">
        <v>11</v>
      </c>
      <c r="J135" s="37" t="n">
        <f aca="false">H135*E135</f>
        <v>10342500</v>
      </c>
      <c r="K135" s="36" t="n">
        <v>45356</v>
      </c>
      <c r="L135" s="66" t="n">
        <v>67.8</v>
      </c>
      <c r="M135" s="34" t="str">
        <f aca="false">IF(L135=0,"N/A",TEXT(H135/L135,"0.0"))</f>
        <v>2.9</v>
      </c>
      <c r="N135" s="34" t="str">
        <f aca="false">IF(H135=0,"Out of Stock",IF(H135&lt;I135,"Low Stock","In Stock"))</f>
        <v>In Stock</v>
      </c>
      <c r="O135" s="34" t="s">
        <v>3594</v>
      </c>
      <c r="P135" s="34" t="s">
        <v>3608</v>
      </c>
      <c r="Q135" s="42" t="n">
        <v>18</v>
      </c>
      <c r="R135" s="65" t="n">
        <v>12.24</v>
      </c>
      <c r="S135" s="37" t="n">
        <v>23</v>
      </c>
      <c r="T135" s="37" t="n">
        <f aca="false">(H135+S135)*E135</f>
        <v>11550000</v>
      </c>
    </row>
    <row r="136" customFormat="false" ht="15" hidden="false" customHeight="false" outlineLevel="0" collapsed="false">
      <c r="A136" s="43" t="s">
        <v>3787</v>
      </c>
      <c r="B136" s="44" t="s">
        <v>3672</v>
      </c>
      <c r="C136" s="43" t="s">
        <v>3592</v>
      </c>
      <c r="D136" s="44" t="s">
        <v>3631</v>
      </c>
      <c r="E136" s="46" t="n">
        <v>29900</v>
      </c>
      <c r="F136" s="46" t="n">
        <v>46500</v>
      </c>
      <c r="G136" s="47" t="n">
        <f aca="false">(F136-E136)/E136</f>
        <v>0.555183946488294</v>
      </c>
      <c r="H136" s="46" t="n">
        <v>20</v>
      </c>
      <c r="I136" s="46" t="n">
        <v>20</v>
      </c>
      <c r="J136" s="46" t="n">
        <f aca="false">H136*E136</f>
        <v>598000</v>
      </c>
      <c r="K136" s="45" t="n">
        <v>45517</v>
      </c>
      <c r="L136" s="70" t="n">
        <v>44.3</v>
      </c>
      <c r="M136" s="43" t="str">
        <f aca="false">IF(L136=0,"N/A",TEXT(H136/L136,"0.0"))</f>
        <v>0.5</v>
      </c>
      <c r="N136" s="43" t="str">
        <f aca="false">IF(H136=0,"Out of Stock",IF(H136&lt;I136,"Low Stock","In Stock"))</f>
        <v>In Stock</v>
      </c>
      <c r="O136" s="43" t="s">
        <v>3603</v>
      </c>
      <c r="P136" s="43" t="s">
        <v>3595</v>
      </c>
      <c r="Q136" s="51" t="n">
        <v>6</v>
      </c>
      <c r="R136" s="69" t="n">
        <v>14.89</v>
      </c>
      <c r="S136" s="46" t="n">
        <v>21</v>
      </c>
      <c r="T136" s="46" t="n">
        <f aca="false">(H136+S136)*E136</f>
        <v>1225900</v>
      </c>
    </row>
    <row r="137" customFormat="false" ht="15" hidden="false" customHeight="false" outlineLevel="0" collapsed="false">
      <c r="A137" s="34" t="s">
        <v>3788</v>
      </c>
      <c r="B137" s="35" t="s">
        <v>3674</v>
      </c>
      <c r="C137" s="34" t="s">
        <v>2181</v>
      </c>
      <c r="D137" s="35" t="s">
        <v>3598</v>
      </c>
      <c r="E137" s="37" t="n">
        <v>29200</v>
      </c>
      <c r="F137" s="37" t="n">
        <v>40800</v>
      </c>
      <c r="G137" s="38" t="n">
        <f aca="false">(F137-E137)/E137</f>
        <v>0.397260273972603</v>
      </c>
      <c r="H137" s="37" t="n">
        <v>115</v>
      </c>
      <c r="I137" s="37" t="n">
        <v>33</v>
      </c>
      <c r="J137" s="37" t="n">
        <f aca="false">H137*E137</f>
        <v>3358000</v>
      </c>
      <c r="K137" s="36" t="n">
        <v>45319</v>
      </c>
      <c r="L137" s="66" t="n">
        <v>52.2</v>
      </c>
      <c r="M137" s="34" t="str">
        <f aca="false">IF(L137=0,"N/A",TEXT(H137/L137,"0.0"))</f>
        <v>2.2</v>
      </c>
      <c r="N137" s="34" t="str">
        <f aca="false">IF(H137=0,"Out of Stock",IF(H137&lt;I137,"Low Stock","In Stock"))</f>
        <v>In Stock</v>
      </c>
      <c r="O137" s="34" t="s">
        <v>3599</v>
      </c>
      <c r="P137" s="34" t="s">
        <v>3595</v>
      </c>
      <c r="Q137" s="42" t="n">
        <v>18</v>
      </c>
      <c r="R137" s="65" t="n">
        <v>2.27</v>
      </c>
      <c r="S137" s="37" t="n">
        <v>6</v>
      </c>
      <c r="T137" s="37" t="n">
        <f aca="false">(H137+S137)*E137</f>
        <v>3533200</v>
      </c>
    </row>
    <row r="138" customFormat="false" ht="15" hidden="false" customHeight="false" outlineLevel="0" collapsed="false">
      <c r="A138" s="43" t="s">
        <v>3789</v>
      </c>
      <c r="B138" s="44" t="s">
        <v>3676</v>
      </c>
      <c r="C138" s="43" t="s">
        <v>2181</v>
      </c>
      <c r="D138" s="44" t="s">
        <v>3593</v>
      </c>
      <c r="E138" s="46" t="n">
        <v>63800</v>
      </c>
      <c r="F138" s="46" t="n">
        <v>119300</v>
      </c>
      <c r="G138" s="47" t="n">
        <f aca="false">(F138-E138)/E138</f>
        <v>0.869905956112853</v>
      </c>
      <c r="H138" s="46" t="n">
        <v>212</v>
      </c>
      <c r="I138" s="46" t="n">
        <v>40</v>
      </c>
      <c r="J138" s="46" t="n">
        <f aca="false">H138*E138</f>
        <v>13525600</v>
      </c>
      <c r="K138" s="45" t="n">
        <v>45326</v>
      </c>
      <c r="L138" s="70" t="n">
        <v>44.5</v>
      </c>
      <c r="M138" s="43" t="str">
        <f aca="false">IF(L138=0,"N/A",TEXT(H138/L138,"0.0"))</f>
        <v>4.8</v>
      </c>
      <c r="N138" s="43" t="str">
        <f aca="false">IF(H138=0,"Out of Stock",IF(H138&lt;I138,"Low Stock","In Stock"))</f>
        <v>In Stock</v>
      </c>
      <c r="O138" s="43" t="s">
        <v>3594</v>
      </c>
      <c r="P138" s="43" t="s">
        <v>3608</v>
      </c>
      <c r="Q138" s="51" t="n">
        <v>12</v>
      </c>
      <c r="R138" s="69" t="n">
        <v>2.96</v>
      </c>
      <c r="S138" s="46" t="n">
        <v>18</v>
      </c>
      <c r="T138" s="46" t="n">
        <f aca="false">(H138+S138)*E138</f>
        <v>14674000</v>
      </c>
    </row>
    <row r="139" customFormat="false" ht="15" hidden="false" customHeight="false" outlineLevel="0" collapsed="false">
      <c r="A139" s="34" t="s">
        <v>3790</v>
      </c>
      <c r="B139" s="35" t="s">
        <v>3678</v>
      </c>
      <c r="C139" s="34" t="s">
        <v>2208</v>
      </c>
      <c r="D139" s="35" t="s">
        <v>3598</v>
      </c>
      <c r="E139" s="37" t="n">
        <v>75900</v>
      </c>
      <c r="F139" s="37" t="n">
        <v>145000</v>
      </c>
      <c r="G139" s="38" t="n">
        <f aca="false">(F139-E139)/E139</f>
        <v>0.910408432147563</v>
      </c>
      <c r="H139" s="37" t="n">
        <v>198</v>
      </c>
      <c r="I139" s="37" t="n">
        <v>21</v>
      </c>
      <c r="J139" s="37" t="n">
        <f aca="false">H139*E139</f>
        <v>15028200</v>
      </c>
      <c r="K139" s="36" t="n">
        <v>45551</v>
      </c>
      <c r="L139" s="66" t="n">
        <v>56.8</v>
      </c>
      <c r="M139" s="34" t="str">
        <f aca="false">IF(L139=0,"N/A",TEXT(H139/L139,"0.0"))</f>
        <v>3.5</v>
      </c>
      <c r="N139" s="34" t="str">
        <f aca="false">IF(H139=0,"Out of Stock",IF(H139&lt;I139,"Low Stock","In Stock"))</f>
        <v>In Stock</v>
      </c>
      <c r="O139" s="34" t="s">
        <v>3603</v>
      </c>
      <c r="P139" s="34" t="s">
        <v>3595</v>
      </c>
      <c r="Q139" s="42" t="n">
        <v>18</v>
      </c>
      <c r="R139" s="65" t="n">
        <v>12.07</v>
      </c>
      <c r="S139" s="37" t="n">
        <v>11</v>
      </c>
      <c r="T139" s="37" t="n">
        <f aca="false">(H139+S139)*E139</f>
        <v>15863100</v>
      </c>
    </row>
    <row r="140" customFormat="false" ht="15" hidden="false" customHeight="false" outlineLevel="0" collapsed="false">
      <c r="A140" s="43" t="s">
        <v>3791</v>
      </c>
      <c r="B140" s="44" t="s">
        <v>3680</v>
      </c>
      <c r="C140" s="43" t="s">
        <v>2765</v>
      </c>
      <c r="D140" s="44" t="s">
        <v>3602</v>
      </c>
      <c r="E140" s="46" t="n">
        <v>42400</v>
      </c>
      <c r="F140" s="46" t="n">
        <v>69200</v>
      </c>
      <c r="G140" s="47" t="n">
        <f aca="false">(F140-E140)/E140</f>
        <v>0.632075471698113</v>
      </c>
      <c r="H140" s="46" t="n">
        <v>39</v>
      </c>
      <c r="I140" s="46" t="n">
        <v>49</v>
      </c>
      <c r="J140" s="46" t="n">
        <f aca="false">H140*E140</f>
        <v>1653600</v>
      </c>
      <c r="K140" s="45" t="n">
        <v>45625</v>
      </c>
      <c r="L140" s="70" t="n">
        <v>11.6</v>
      </c>
      <c r="M140" s="43" t="str">
        <f aca="false">IF(L140=0,"N/A",TEXT(H140/L140,"0.0"))</f>
        <v>3.4</v>
      </c>
      <c r="N140" s="43" t="str">
        <f aca="false">IF(H140=0,"Out of Stock",IF(H140&lt;I140,"Low Stock","In Stock"))</f>
        <v>Low Stock</v>
      </c>
      <c r="O140" s="43" t="s">
        <v>3594</v>
      </c>
      <c r="P140" s="43" t="s">
        <v>3608</v>
      </c>
      <c r="Q140" s="51" t="n">
        <v>12</v>
      </c>
      <c r="R140" s="69" t="n">
        <v>12.43</v>
      </c>
      <c r="S140" s="46" t="n">
        <v>27</v>
      </c>
      <c r="T140" s="46" t="n">
        <f aca="false">(H140+S140)*E140</f>
        <v>2798400</v>
      </c>
    </row>
    <row r="141" customFormat="false" ht="15" hidden="false" customHeight="false" outlineLevel="0" collapsed="false">
      <c r="A141" s="34" t="s">
        <v>3792</v>
      </c>
      <c r="B141" s="35" t="s">
        <v>3682</v>
      </c>
      <c r="C141" s="34" t="s">
        <v>2103</v>
      </c>
      <c r="D141" s="35" t="s">
        <v>3620</v>
      </c>
      <c r="E141" s="37" t="n">
        <v>103200</v>
      </c>
      <c r="F141" s="37" t="n">
        <v>205200</v>
      </c>
      <c r="G141" s="38" t="n">
        <f aca="false">(F141-E141)/E141</f>
        <v>0.988372093023256</v>
      </c>
      <c r="H141" s="37" t="n">
        <v>362</v>
      </c>
      <c r="I141" s="37" t="n">
        <v>35</v>
      </c>
      <c r="J141" s="37" t="n">
        <f aca="false">H141*E141</f>
        <v>37358400</v>
      </c>
      <c r="K141" s="36" t="n">
        <v>45534</v>
      </c>
      <c r="L141" s="66" t="n">
        <v>43.3</v>
      </c>
      <c r="M141" s="34" t="str">
        <f aca="false">IF(L141=0,"N/A",TEXT(H141/L141,"0.0"))</f>
        <v>8.4</v>
      </c>
      <c r="N141" s="34" t="str">
        <f aca="false">IF(H141=0,"Out of Stock",IF(H141&lt;I141,"Low Stock","In Stock"))</f>
        <v>In Stock</v>
      </c>
      <c r="O141" s="34" t="s">
        <v>3599</v>
      </c>
      <c r="P141" s="34" t="s">
        <v>3595</v>
      </c>
      <c r="Q141" s="42" t="n">
        <v>36</v>
      </c>
      <c r="R141" s="65" t="n">
        <v>12.13</v>
      </c>
      <c r="S141" s="37" t="n">
        <v>3</v>
      </c>
      <c r="T141" s="37" t="n">
        <f aca="false">(H141+S141)*E141</f>
        <v>37668000</v>
      </c>
    </row>
    <row r="142" customFormat="false" ht="15" hidden="false" customHeight="false" outlineLevel="0" collapsed="false">
      <c r="A142" s="43" t="s">
        <v>3793</v>
      </c>
      <c r="B142" s="44" t="s">
        <v>3684</v>
      </c>
      <c r="C142" s="43" t="s">
        <v>2110</v>
      </c>
      <c r="D142" s="44" t="s">
        <v>3598</v>
      </c>
      <c r="E142" s="46" t="n">
        <v>85000</v>
      </c>
      <c r="F142" s="46" t="n">
        <v>168400</v>
      </c>
      <c r="G142" s="47" t="n">
        <f aca="false">(F142-E142)/E142</f>
        <v>0.981176470588235</v>
      </c>
      <c r="H142" s="46" t="n">
        <v>420</v>
      </c>
      <c r="I142" s="46" t="n">
        <v>19</v>
      </c>
      <c r="J142" s="46" t="n">
        <f aca="false">H142*E142</f>
        <v>35700000</v>
      </c>
      <c r="K142" s="45" t="n">
        <v>45603</v>
      </c>
      <c r="L142" s="70" t="n">
        <v>37.8</v>
      </c>
      <c r="M142" s="43" t="str">
        <f aca="false">IF(L142=0,"N/A",TEXT(H142/L142,"0.0"))</f>
        <v>11.1</v>
      </c>
      <c r="N142" s="43" t="str">
        <f aca="false">IF(H142=0,"Out of Stock",IF(H142&lt;I142,"Low Stock","In Stock"))</f>
        <v>In Stock</v>
      </c>
      <c r="O142" s="43" t="s">
        <v>3594</v>
      </c>
      <c r="P142" s="43" t="s">
        <v>3604</v>
      </c>
      <c r="Q142" s="51" t="n">
        <v>24</v>
      </c>
      <c r="R142" s="69" t="n">
        <v>12.57</v>
      </c>
      <c r="S142" s="46" t="n">
        <v>18</v>
      </c>
      <c r="T142" s="46" t="n">
        <f aca="false">(H142+S142)*E142</f>
        <v>37230000</v>
      </c>
    </row>
    <row r="143" customFormat="false" ht="15" hidden="false" customHeight="false" outlineLevel="0" collapsed="false">
      <c r="A143" s="34" t="s">
        <v>3794</v>
      </c>
      <c r="B143" s="35" t="s">
        <v>3686</v>
      </c>
      <c r="C143" s="34" t="s">
        <v>2208</v>
      </c>
      <c r="D143" s="35" t="s">
        <v>3593</v>
      </c>
      <c r="E143" s="37" t="n">
        <v>57600</v>
      </c>
      <c r="F143" s="37" t="n">
        <v>72100</v>
      </c>
      <c r="G143" s="38" t="n">
        <f aca="false">(F143-E143)/E143</f>
        <v>0.251736111111111</v>
      </c>
      <c r="H143" s="37" t="n">
        <v>87</v>
      </c>
      <c r="I143" s="37" t="n">
        <v>6</v>
      </c>
      <c r="J143" s="37" t="n">
        <f aca="false">H143*E143</f>
        <v>5011200</v>
      </c>
      <c r="K143" s="36" t="n">
        <v>45345</v>
      </c>
      <c r="L143" s="66" t="n">
        <v>45.2</v>
      </c>
      <c r="M143" s="34" t="str">
        <f aca="false">IF(L143=0,"N/A",TEXT(H143/L143,"0.0"))</f>
        <v>1.9</v>
      </c>
      <c r="N143" s="34" t="str">
        <f aca="false">IF(H143=0,"Out of Stock",IF(H143&lt;I143,"Low Stock","In Stock"))</f>
        <v>In Stock</v>
      </c>
      <c r="O143" s="34" t="s">
        <v>3603</v>
      </c>
      <c r="P143" s="34" t="s">
        <v>3595</v>
      </c>
      <c r="Q143" s="42" t="n">
        <v>18</v>
      </c>
      <c r="R143" s="65" t="n">
        <v>9.79</v>
      </c>
      <c r="S143" s="37" t="n">
        <v>17</v>
      </c>
      <c r="T143" s="37" t="n">
        <f aca="false">(H143+S143)*E143</f>
        <v>5990400</v>
      </c>
    </row>
    <row r="144" customFormat="false" ht="15" hidden="false" customHeight="false" outlineLevel="0" collapsed="false">
      <c r="A144" s="43" t="s">
        <v>3795</v>
      </c>
      <c r="B144" s="44" t="s">
        <v>3688</v>
      </c>
      <c r="C144" s="43" t="s">
        <v>3592</v>
      </c>
      <c r="D144" s="44" t="s">
        <v>3598</v>
      </c>
      <c r="E144" s="46" t="n">
        <v>46900</v>
      </c>
      <c r="F144" s="46" t="n">
        <v>58700</v>
      </c>
      <c r="G144" s="47" t="n">
        <f aca="false">(F144-E144)/E144</f>
        <v>0.251599147121535</v>
      </c>
      <c r="H144" s="46" t="n">
        <v>368</v>
      </c>
      <c r="I144" s="46" t="n">
        <v>22</v>
      </c>
      <c r="J144" s="46" t="n">
        <f aca="false">H144*E144</f>
        <v>17259200</v>
      </c>
      <c r="K144" s="45" t="n">
        <v>45416</v>
      </c>
      <c r="L144" s="70" t="n">
        <v>46</v>
      </c>
      <c r="M144" s="43" t="str">
        <f aca="false">IF(L144=0,"N/A",TEXT(H144/L144,"0.0"))</f>
        <v>8.0</v>
      </c>
      <c r="N144" s="43" t="str">
        <f aca="false">IF(H144=0,"Out of Stock",IF(H144&lt;I144,"Low Stock","In Stock"))</f>
        <v>In Stock</v>
      </c>
      <c r="O144" s="43" t="s">
        <v>3594</v>
      </c>
      <c r="P144" s="43" t="s">
        <v>3604</v>
      </c>
      <c r="Q144" s="51" t="n">
        <v>6</v>
      </c>
      <c r="R144" s="69" t="n">
        <v>13.46</v>
      </c>
      <c r="S144" s="46" t="n">
        <v>30</v>
      </c>
      <c r="T144" s="46" t="n">
        <f aca="false">(H144+S144)*E144</f>
        <v>18666200</v>
      </c>
    </row>
    <row r="145" customFormat="false" ht="15" hidden="false" customHeight="false" outlineLevel="0" collapsed="false">
      <c r="A145" s="34" t="s">
        <v>3796</v>
      </c>
      <c r="B145" s="35" t="s">
        <v>3690</v>
      </c>
      <c r="C145" s="34" t="s">
        <v>2208</v>
      </c>
      <c r="D145" s="35" t="s">
        <v>3598</v>
      </c>
      <c r="E145" s="37" t="n">
        <v>100600</v>
      </c>
      <c r="F145" s="37" t="n">
        <v>196600</v>
      </c>
      <c r="G145" s="38" t="n">
        <f aca="false">(F145-E145)/E145</f>
        <v>0.95427435387674</v>
      </c>
      <c r="H145" s="37" t="n">
        <v>202</v>
      </c>
      <c r="I145" s="37" t="n">
        <v>18</v>
      </c>
      <c r="J145" s="37" t="n">
        <f aca="false">H145*E145</f>
        <v>20321200</v>
      </c>
      <c r="K145" s="36" t="n">
        <v>45421</v>
      </c>
      <c r="L145" s="66" t="n">
        <v>53.3</v>
      </c>
      <c r="M145" s="34" t="str">
        <f aca="false">IF(L145=0,"N/A",TEXT(H145/L145,"0.0"))</f>
        <v>3.8</v>
      </c>
      <c r="N145" s="34" t="str">
        <f aca="false">IF(H145=0,"Out of Stock",IF(H145&lt;I145,"Low Stock","In Stock"))</f>
        <v>In Stock</v>
      </c>
      <c r="O145" s="34" t="s">
        <v>3612</v>
      </c>
      <c r="P145" s="34" t="s">
        <v>3595</v>
      </c>
      <c r="Q145" s="42" t="n">
        <v>18</v>
      </c>
      <c r="R145" s="65" t="n">
        <v>8.12</v>
      </c>
      <c r="S145" s="37" t="n">
        <v>9</v>
      </c>
      <c r="T145" s="37" t="n">
        <f aca="false">(H145+S145)*E145</f>
        <v>21226600</v>
      </c>
    </row>
    <row r="146" customFormat="false" ht="15" hidden="false" customHeight="false" outlineLevel="0" collapsed="false">
      <c r="A146" s="43" t="s">
        <v>3797</v>
      </c>
      <c r="B146" s="44" t="s">
        <v>3692</v>
      </c>
      <c r="C146" s="43" t="s">
        <v>2244</v>
      </c>
      <c r="D146" s="44" t="s">
        <v>3607</v>
      </c>
      <c r="E146" s="46" t="n">
        <v>115300</v>
      </c>
      <c r="F146" s="46" t="n">
        <v>185200</v>
      </c>
      <c r="G146" s="47" t="n">
        <f aca="false">(F146-E146)/E146</f>
        <v>0.606244579358196</v>
      </c>
      <c r="H146" s="46" t="n">
        <v>208</v>
      </c>
      <c r="I146" s="46" t="n">
        <v>14</v>
      </c>
      <c r="J146" s="46" t="n">
        <f aca="false">H146*E146</f>
        <v>23982400</v>
      </c>
      <c r="K146" s="45" t="n">
        <v>45340</v>
      </c>
      <c r="L146" s="70" t="n">
        <v>61.5</v>
      </c>
      <c r="M146" s="43" t="str">
        <f aca="false">IF(L146=0,"N/A",TEXT(H146/L146,"0.0"))</f>
        <v>3.4</v>
      </c>
      <c r="N146" s="43" t="str">
        <f aca="false">IF(H146=0,"Out of Stock",IF(H146&lt;I146,"Low Stock","In Stock"))</f>
        <v>In Stock</v>
      </c>
      <c r="O146" s="43" t="s">
        <v>3594</v>
      </c>
      <c r="P146" s="43" t="s">
        <v>3595</v>
      </c>
      <c r="Q146" s="51" t="n">
        <v>6</v>
      </c>
      <c r="R146" s="69" t="n">
        <v>8.84</v>
      </c>
      <c r="S146" s="46" t="n">
        <v>21</v>
      </c>
      <c r="T146" s="46" t="n">
        <f aca="false">(H146+S146)*E146</f>
        <v>26403700</v>
      </c>
    </row>
    <row r="147" customFormat="false" ht="15" hidden="false" customHeight="false" outlineLevel="0" collapsed="false">
      <c r="A147" s="34" t="s">
        <v>3798</v>
      </c>
      <c r="B147" s="35" t="s">
        <v>3694</v>
      </c>
      <c r="C147" s="34" t="s">
        <v>2110</v>
      </c>
      <c r="D147" s="35" t="s">
        <v>3607</v>
      </c>
      <c r="E147" s="37" t="n">
        <v>47400</v>
      </c>
      <c r="F147" s="37" t="n">
        <v>79200</v>
      </c>
      <c r="G147" s="38" t="n">
        <f aca="false">(F147-E147)/E147</f>
        <v>0.670886075949367</v>
      </c>
      <c r="H147" s="37" t="n">
        <v>396</v>
      </c>
      <c r="I147" s="37" t="n">
        <v>9</v>
      </c>
      <c r="J147" s="37" t="n">
        <f aca="false">H147*E147</f>
        <v>18770400</v>
      </c>
      <c r="K147" s="36" t="n">
        <v>45432</v>
      </c>
      <c r="L147" s="66" t="n">
        <v>49.5</v>
      </c>
      <c r="M147" s="34" t="str">
        <f aca="false">IF(L147=0,"N/A",TEXT(H147/L147,"0.0"))</f>
        <v>8.0</v>
      </c>
      <c r="N147" s="34" t="str">
        <f aca="false">IF(H147=0,"Out of Stock",IF(H147&lt;I147,"Low Stock","In Stock"))</f>
        <v>In Stock</v>
      </c>
      <c r="O147" s="34" t="s">
        <v>3599</v>
      </c>
      <c r="P147" s="34" t="s">
        <v>3595</v>
      </c>
      <c r="Q147" s="42" t="n">
        <v>12</v>
      </c>
      <c r="R147" s="65" t="n">
        <v>6.26</v>
      </c>
      <c r="S147" s="37" t="n">
        <v>16</v>
      </c>
      <c r="T147" s="37" t="n">
        <f aca="false">(H147+S147)*E147</f>
        <v>19528800</v>
      </c>
    </row>
    <row r="148" customFormat="false" ht="15" hidden="false" customHeight="false" outlineLevel="0" collapsed="false">
      <c r="A148" s="43" t="s">
        <v>3799</v>
      </c>
      <c r="B148" s="44" t="s">
        <v>2102</v>
      </c>
      <c r="C148" s="43" t="s">
        <v>2244</v>
      </c>
      <c r="D148" s="44" t="s">
        <v>3607</v>
      </c>
      <c r="E148" s="46" t="n">
        <v>99900</v>
      </c>
      <c r="F148" s="46" t="n">
        <v>199000</v>
      </c>
      <c r="G148" s="47" t="n">
        <f aca="false">(F148-E148)/E148</f>
        <v>0.991991991991992</v>
      </c>
      <c r="H148" s="46" t="n">
        <v>427</v>
      </c>
      <c r="I148" s="46" t="n">
        <v>16</v>
      </c>
      <c r="J148" s="46" t="n">
        <f aca="false">H148*E148</f>
        <v>42657300</v>
      </c>
      <c r="K148" s="45" t="n">
        <v>45600</v>
      </c>
      <c r="L148" s="70" t="n">
        <v>3.3</v>
      </c>
      <c r="M148" s="43" t="str">
        <f aca="false">IF(L148=0,"N/A",TEXT(H148/L148,"0.0"))</f>
        <v>129.4</v>
      </c>
      <c r="N148" s="43" t="str">
        <f aca="false">IF(H148=0,"Out of Stock",IF(H148&lt;I148,"Low Stock","In Stock"))</f>
        <v>In Stock</v>
      </c>
      <c r="O148" s="43" t="s">
        <v>3612</v>
      </c>
      <c r="P148" s="43" t="s">
        <v>3595</v>
      </c>
      <c r="Q148" s="51" t="n">
        <v>6</v>
      </c>
      <c r="R148" s="69" t="n">
        <v>7.48</v>
      </c>
      <c r="S148" s="46" t="n">
        <v>29</v>
      </c>
      <c r="T148" s="46" t="n">
        <f aca="false">(H148+S148)*E148</f>
        <v>45554400</v>
      </c>
    </row>
    <row r="149" customFormat="false" ht="15" hidden="false" customHeight="false" outlineLevel="0" collapsed="false">
      <c r="A149" s="34" t="s">
        <v>3800</v>
      </c>
      <c r="B149" s="35" t="s">
        <v>3697</v>
      </c>
      <c r="C149" s="34" t="s">
        <v>3592</v>
      </c>
      <c r="D149" s="35" t="s">
        <v>3611</v>
      </c>
      <c r="E149" s="37" t="n">
        <v>75700</v>
      </c>
      <c r="F149" s="37" t="n">
        <v>133300</v>
      </c>
      <c r="G149" s="38" t="n">
        <f aca="false">(F149-E149)/E149</f>
        <v>0.760898282694848</v>
      </c>
      <c r="H149" s="37" t="n">
        <v>350</v>
      </c>
      <c r="I149" s="37" t="n">
        <v>29</v>
      </c>
      <c r="J149" s="37" t="n">
        <f aca="false">H149*E149</f>
        <v>26495000</v>
      </c>
      <c r="K149" s="36" t="n">
        <v>45560</v>
      </c>
      <c r="L149" s="66" t="n">
        <v>64.6</v>
      </c>
      <c r="M149" s="34" t="str">
        <f aca="false">IF(L149=0,"N/A",TEXT(H149/L149,"0.0"))</f>
        <v>5.4</v>
      </c>
      <c r="N149" s="34" t="str">
        <f aca="false">IF(H149=0,"Out of Stock",IF(H149&lt;I149,"Low Stock","In Stock"))</f>
        <v>In Stock</v>
      </c>
      <c r="O149" s="34" t="s">
        <v>3612</v>
      </c>
      <c r="P149" s="34" t="s">
        <v>3595</v>
      </c>
      <c r="Q149" s="42" t="n">
        <v>12</v>
      </c>
      <c r="R149" s="65" t="n">
        <v>10.48</v>
      </c>
      <c r="S149" s="37" t="n">
        <v>12</v>
      </c>
      <c r="T149" s="37" t="n">
        <f aca="false">(H149+S149)*E149</f>
        <v>27403400</v>
      </c>
    </row>
    <row r="150" customFormat="false" ht="15" hidden="false" customHeight="false" outlineLevel="0" collapsed="false">
      <c r="A150" s="43" t="s">
        <v>3801</v>
      </c>
      <c r="B150" s="44" t="s">
        <v>3699</v>
      </c>
      <c r="C150" s="43" t="s">
        <v>3592</v>
      </c>
      <c r="D150" s="44" t="s">
        <v>3631</v>
      </c>
      <c r="E150" s="46" t="n">
        <v>47000</v>
      </c>
      <c r="F150" s="46" t="n">
        <v>63100</v>
      </c>
      <c r="G150" s="47" t="n">
        <f aca="false">(F150-E150)/E150</f>
        <v>0.342553191489362</v>
      </c>
      <c r="H150" s="46" t="n">
        <v>220</v>
      </c>
      <c r="I150" s="46" t="n">
        <v>21</v>
      </c>
      <c r="J150" s="46" t="n">
        <f aca="false">H150*E150</f>
        <v>10340000</v>
      </c>
      <c r="K150" s="45" t="n">
        <v>45611</v>
      </c>
      <c r="L150" s="70" t="n">
        <v>40.5</v>
      </c>
      <c r="M150" s="43" t="str">
        <f aca="false">IF(L150=0,"N/A",TEXT(H150/L150,"0.0"))</f>
        <v>5.4</v>
      </c>
      <c r="N150" s="43" t="str">
        <f aca="false">IF(H150=0,"Out of Stock",IF(H150&lt;I150,"Low Stock","In Stock"))</f>
        <v>In Stock</v>
      </c>
      <c r="O150" s="43" t="s">
        <v>3599</v>
      </c>
      <c r="P150" s="43" t="s">
        <v>3595</v>
      </c>
      <c r="Q150" s="51" t="n">
        <v>12</v>
      </c>
      <c r="R150" s="69" t="n">
        <v>3.98</v>
      </c>
      <c r="S150" s="46" t="n">
        <v>5</v>
      </c>
      <c r="T150" s="46" t="n">
        <f aca="false">(H150+S150)*E150</f>
        <v>10575000</v>
      </c>
    </row>
    <row r="151" customFormat="false" ht="15" hidden="false" customHeight="false" outlineLevel="0" collapsed="false">
      <c r="A151" s="34" t="s">
        <v>3802</v>
      </c>
      <c r="B151" s="35" t="s">
        <v>3701</v>
      </c>
      <c r="C151" s="34" t="s">
        <v>2110</v>
      </c>
      <c r="D151" s="35" t="s">
        <v>3598</v>
      </c>
      <c r="E151" s="37" t="n">
        <v>11100</v>
      </c>
      <c r="F151" s="37" t="n">
        <v>16300</v>
      </c>
      <c r="G151" s="38" t="n">
        <f aca="false">(F151-E151)/E151</f>
        <v>0.468468468468468</v>
      </c>
      <c r="H151" s="37" t="n">
        <v>384</v>
      </c>
      <c r="I151" s="37" t="n">
        <v>11</v>
      </c>
      <c r="J151" s="37" t="n">
        <f aca="false">H151*E151</f>
        <v>4262400</v>
      </c>
      <c r="K151" s="36" t="n">
        <v>45583</v>
      </c>
      <c r="L151" s="66" t="n">
        <v>42.4</v>
      </c>
      <c r="M151" s="34" t="str">
        <f aca="false">IF(L151=0,"N/A",TEXT(H151/L151,"0.0"))</f>
        <v>9.1</v>
      </c>
      <c r="N151" s="34" t="str">
        <f aca="false">IF(H151=0,"Out of Stock",IF(H151&lt;I151,"Low Stock","In Stock"))</f>
        <v>In Stock</v>
      </c>
      <c r="O151" s="34" t="s">
        <v>3594</v>
      </c>
      <c r="P151" s="34" t="s">
        <v>3595</v>
      </c>
      <c r="Q151" s="42" t="n">
        <v>6</v>
      </c>
      <c r="R151" s="65" t="n">
        <v>13.2</v>
      </c>
      <c r="S151" s="37" t="n">
        <v>0</v>
      </c>
      <c r="T151" s="37" t="n">
        <f aca="false">(H151+S151)*E151</f>
        <v>4262400</v>
      </c>
    </row>
    <row r="152" customFormat="false" ht="15" hidden="false" customHeight="false" outlineLevel="0" collapsed="false">
      <c r="A152" s="43" t="s">
        <v>3803</v>
      </c>
      <c r="B152" s="44" t="s">
        <v>3703</v>
      </c>
      <c r="C152" s="43" t="s">
        <v>2110</v>
      </c>
      <c r="D152" s="44" t="s">
        <v>3631</v>
      </c>
      <c r="E152" s="46" t="n">
        <v>13000</v>
      </c>
      <c r="F152" s="46" t="n">
        <v>17400</v>
      </c>
      <c r="G152" s="47" t="n">
        <f aca="false">(F152-E152)/E152</f>
        <v>0.338461538461539</v>
      </c>
      <c r="H152" s="46" t="n">
        <v>493</v>
      </c>
      <c r="I152" s="46" t="n">
        <v>38</v>
      </c>
      <c r="J152" s="46" t="n">
        <f aca="false">H152*E152</f>
        <v>6409000</v>
      </c>
      <c r="K152" s="45" t="n">
        <v>45515</v>
      </c>
      <c r="L152" s="70" t="n">
        <v>2</v>
      </c>
      <c r="M152" s="43" t="str">
        <f aca="false">IF(L152=0,"N/A",TEXT(H152/L152,"0.0"))</f>
        <v>246.5</v>
      </c>
      <c r="N152" s="43" t="str">
        <f aca="false">IF(H152=0,"Out of Stock",IF(H152&lt;I152,"Low Stock","In Stock"))</f>
        <v>In Stock</v>
      </c>
      <c r="O152" s="43" t="s">
        <v>3594</v>
      </c>
      <c r="P152" s="43" t="s">
        <v>3608</v>
      </c>
      <c r="Q152" s="51" t="n">
        <v>6</v>
      </c>
      <c r="R152" s="69" t="n">
        <v>5.83</v>
      </c>
      <c r="S152" s="46" t="n">
        <v>10</v>
      </c>
      <c r="T152" s="46" t="n">
        <f aca="false">(H152+S152)*E152</f>
        <v>6539000</v>
      </c>
    </row>
    <row r="153" customFormat="false" ht="15" hidden="false" customHeight="false" outlineLevel="0" collapsed="false">
      <c r="A153" s="34" t="s">
        <v>3804</v>
      </c>
      <c r="B153" s="35" t="s">
        <v>3591</v>
      </c>
      <c r="C153" s="34" t="s">
        <v>2765</v>
      </c>
      <c r="D153" s="35" t="s">
        <v>3607</v>
      </c>
      <c r="E153" s="37" t="n">
        <v>9500</v>
      </c>
      <c r="F153" s="37" t="n">
        <v>18700</v>
      </c>
      <c r="G153" s="38" t="n">
        <f aca="false">(F153-E153)/E153</f>
        <v>0.968421052631579</v>
      </c>
      <c r="H153" s="37" t="n">
        <v>96</v>
      </c>
      <c r="I153" s="37" t="n">
        <v>45</v>
      </c>
      <c r="J153" s="37" t="n">
        <f aca="false">H153*E153</f>
        <v>912000</v>
      </c>
      <c r="K153" s="36" t="n">
        <v>45646</v>
      </c>
      <c r="L153" s="66" t="n">
        <v>50</v>
      </c>
      <c r="M153" s="34" t="str">
        <f aca="false">IF(L153=0,"N/A",TEXT(H153/L153,"0.0"))</f>
        <v>1.9</v>
      </c>
      <c r="N153" s="34" t="str">
        <f aca="false">IF(H153=0,"Out of Stock",IF(H153&lt;I153,"Low Stock","In Stock"))</f>
        <v>In Stock</v>
      </c>
      <c r="O153" s="34" t="s">
        <v>3615</v>
      </c>
      <c r="P153" s="34" t="s">
        <v>3595</v>
      </c>
      <c r="Q153" s="42" t="n">
        <v>18</v>
      </c>
      <c r="R153" s="65" t="n">
        <v>8.07</v>
      </c>
      <c r="S153" s="37" t="n">
        <v>5</v>
      </c>
      <c r="T153" s="37" t="n">
        <f aca="false">(H153+S153)*E153</f>
        <v>959500</v>
      </c>
    </row>
    <row r="154" customFormat="false" ht="15" hidden="false" customHeight="false" outlineLevel="0" collapsed="false">
      <c r="A154" s="43" t="s">
        <v>3805</v>
      </c>
      <c r="B154" s="44" t="s">
        <v>3597</v>
      </c>
      <c r="C154" s="43" t="s">
        <v>2244</v>
      </c>
      <c r="D154" s="44" t="s">
        <v>3631</v>
      </c>
      <c r="E154" s="46" t="n">
        <v>75700</v>
      </c>
      <c r="F154" s="46" t="n">
        <v>101600</v>
      </c>
      <c r="G154" s="47" t="n">
        <f aca="false">(F154-E154)/E154</f>
        <v>0.342140026420079</v>
      </c>
      <c r="H154" s="46" t="n">
        <v>225</v>
      </c>
      <c r="I154" s="46" t="n">
        <v>50</v>
      </c>
      <c r="J154" s="46" t="n">
        <f aca="false">H154*E154</f>
        <v>17032500</v>
      </c>
      <c r="K154" s="45" t="n">
        <v>45410</v>
      </c>
      <c r="L154" s="70" t="n">
        <v>67.8</v>
      </c>
      <c r="M154" s="43" t="str">
        <f aca="false">IF(L154=0,"N/A",TEXT(H154/L154,"0.0"))</f>
        <v>3.3</v>
      </c>
      <c r="N154" s="43" t="str">
        <f aca="false">IF(H154=0,"Out of Stock",IF(H154&lt;I154,"Low Stock","In Stock"))</f>
        <v>In Stock</v>
      </c>
      <c r="O154" s="43" t="s">
        <v>3603</v>
      </c>
      <c r="P154" s="43" t="s">
        <v>3595</v>
      </c>
      <c r="Q154" s="51" t="n">
        <v>12</v>
      </c>
      <c r="R154" s="69" t="n">
        <v>2.74</v>
      </c>
      <c r="S154" s="46" t="n">
        <v>24</v>
      </c>
      <c r="T154" s="46" t="n">
        <f aca="false">(H154+S154)*E154</f>
        <v>18849300</v>
      </c>
    </row>
    <row r="155" customFormat="false" ht="15" hidden="false" customHeight="false" outlineLevel="0" collapsed="false">
      <c r="A155" s="34" t="s">
        <v>3806</v>
      </c>
      <c r="B155" s="35" t="s">
        <v>3601</v>
      </c>
      <c r="C155" s="34" t="s">
        <v>2244</v>
      </c>
      <c r="D155" s="35" t="s">
        <v>3620</v>
      </c>
      <c r="E155" s="37" t="n">
        <v>70900</v>
      </c>
      <c r="F155" s="37" t="n">
        <v>135500</v>
      </c>
      <c r="G155" s="38" t="n">
        <f aca="false">(F155-E155)/E155</f>
        <v>0.91114245416079</v>
      </c>
      <c r="H155" s="37" t="n">
        <v>406</v>
      </c>
      <c r="I155" s="37" t="n">
        <v>12</v>
      </c>
      <c r="J155" s="37" t="n">
        <f aca="false">H155*E155</f>
        <v>28785400</v>
      </c>
      <c r="K155" s="36" t="n">
        <v>45374</v>
      </c>
      <c r="L155" s="66" t="n">
        <v>64.8</v>
      </c>
      <c r="M155" s="34" t="str">
        <f aca="false">IF(L155=0,"N/A",TEXT(H155/L155,"0.0"))</f>
        <v>6.3</v>
      </c>
      <c r="N155" s="34" t="str">
        <f aca="false">IF(H155=0,"Out of Stock",IF(H155&lt;I155,"Low Stock","In Stock"))</f>
        <v>In Stock</v>
      </c>
      <c r="O155" s="34" t="s">
        <v>3612</v>
      </c>
      <c r="P155" s="34" t="s">
        <v>3595</v>
      </c>
      <c r="Q155" s="42" t="n">
        <v>6</v>
      </c>
      <c r="R155" s="65" t="n">
        <v>14.03</v>
      </c>
      <c r="S155" s="37" t="n">
        <v>9</v>
      </c>
      <c r="T155" s="37" t="n">
        <f aca="false">(H155+S155)*E155</f>
        <v>29423500</v>
      </c>
    </row>
    <row r="156" customFormat="false" ht="15" hidden="false" customHeight="false" outlineLevel="0" collapsed="false">
      <c r="A156" s="43" t="s">
        <v>3807</v>
      </c>
      <c r="B156" s="44" t="s">
        <v>3606</v>
      </c>
      <c r="C156" s="43" t="s">
        <v>2244</v>
      </c>
      <c r="D156" s="44" t="s">
        <v>3593</v>
      </c>
      <c r="E156" s="46" t="n">
        <v>22400</v>
      </c>
      <c r="F156" s="46" t="n">
        <v>43000</v>
      </c>
      <c r="G156" s="47" t="n">
        <f aca="false">(F156-E156)/E156</f>
        <v>0.919642857142857</v>
      </c>
      <c r="H156" s="46" t="n">
        <v>254</v>
      </c>
      <c r="I156" s="46" t="n">
        <v>17</v>
      </c>
      <c r="J156" s="46" t="n">
        <f aca="false">H156*E156</f>
        <v>5689600</v>
      </c>
      <c r="K156" s="45" t="n">
        <v>45593</v>
      </c>
      <c r="L156" s="70" t="n">
        <v>48.7</v>
      </c>
      <c r="M156" s="43" t="str">
        <f aca="false">IF(L156=0,"N/A",TEXT(H156/L156,"0.0"))</f>
        <v>5.2</v>
      </c>
      <c r="N156" s="43" t="str">
        <f aca="false">IF(H156=0,"Out of Stock",IF(H156&lt;I156,"Low Stock","In Stock"))</f>
        <v>In Stock</v>
      </c>
      <c r="O156" s="43" t="s">
        <v>3594</v>
      </c>
      <c r="P156" s="43" t="s">
        <v>3604</v>
      </c>
      <c r="Q156" s="51" t="n">
        <v>24</v>
      </c>
      <c r="R156" s="69" t="n">
        <v>13.81</v>
      </c>
      <c r="S156" s="46" t="n">
        <v>19</v>
      </c>
      <c r="T156" s="46" t="n">
        <f aca="false">(H156+S156)*E156</f>
        <v>6115200</v>
      </c>
    </row>
    <row r="157" customFormat="false" ht="15" hidden="false" customHeight="false" outlineLevel="0" collapsed="false">
      <c r="A157" s="34" t="s">
        <v>3808</v>
      </c>
      <c r="B157" s="35" t="s">
        <v>3610</v>
      </c>
      <c r="C157" s="34" t="s">
        <v>2181</v>
      </c>
      <c r="D157" s="35" t="s">
        <v>3611</v>
      </c>
      <c r="E157" s="37" t="n">
        <v>15700</v>
      </c>
      <c r="F157" s="37" t="n">
        <v>27200</v>
      </c>
      <c r="G157" s="38" t="n">
        <f aca="false">(F157-E157)/E157</f>
        <v>0.732484076433121</v>
      </c>
      <c r="H157" s="37" t="n">
        <v>33</v>
      </c>
      <c r="I157" s="37" t="n">
        <v>26</v>
      </c>
      <c r="J157" s="37" t="n">
        <f aca="false">H157*E157</f>
        <v>518100</v>
      </c>
      <c r="K157" s="36" t="n">
        <v>45381</v>
      </c>
      <c r="L157" s="66" t="n">
        <v>20.5</v>
      </c>
      <c r="M157" s="34" t="str">
        <f aca="false">IF(L157=0,"N/A",TEXT(H157/L157,"0.0"))</f>
        <v>1.6</v>
      </c>
      <c r="N157" s="34" t="str">
        <f aca="false">IF(H157=0,"Out of Stock",IF(H157&lt;I157,"Low Stock","In Stock"))</f>
        <v>In Stock</v>
      </c>
      <c r="O157" s="34" t="s">
        <v>3599</v>
      </c>
      <c r="P157" s="34" t="s">
        <v>3604</v>
      </c>
      <c r="Q157" s="42" t="n">
        <v>24</v>
      </c>
      <c r="R157" s="65" t="n">
        <v>3.67</v>
      </c>
      <c r="S157" s="37" t="n">
        <v>4</v>
      </c>
      <c r="T157" s="37" t="n">
        <f aca="false">(H157+S157)*E157</f>
        <v>580900</v>
      </c>
    </row>
    <row r="158" customFormat="false" ht="15" hidden="false" customHeight="false" outlineLevel="0" collapsed="false">
      <c r="A158" s="43" t="s">
        <v>3809</v>
      </c>
      <c r="B158" s="44" t="s">
        <v>3614</v>
      </c>
      <c r="C158" s="43" t="s">
        <v>3592</v>
      </c>
      <c r="D158" s="44" t="s">
        <v>3631</v>
      </c>
      <c r="E158" s="46" t="n">
        <v>8100</v>
      </c>
      <c r="F158" s="46" t="n">
        <v>15700</v>
      </c>
      <c r="G158" s="47" t="n">
        <f aca="false">(F158-E158)/E158</f>
        <v>0.938271604938272</v>
      </c>
      <c r="H158" s="46" t="n">
        <v>471</v>
      </c>
      <c r="I158" s="46" t="n">
        <v>35</v>
      </c>
      <c r="J158" s="46" t="n">
        <f aca="false">H158*E158</f>
        <v>3815100</v>
      </c>
      <c r="K158" s="45" t="n">
        <v>45348</v>
      </c>
      <c r="L158" s="70" t="n">
        <v>65.1</v>
      </c>
      <c r="M158" s="43" t="str">
        <f aca="false">IF(L158=0,"N/A",TEXT(H158/L158,"0.0"))</f>
        <v>7.2</v>
      </c>
      <c r="N158" s="43" t="str">
        <f aca="false">IF(H158=0,"Out of Stock",IF(H158&lt;I158,"Low Stock","In Stock"))</f>
        <v>In Stock</v>
      </c>
      <c r="O158" s="43" t="s">
        <v>3615</v>
      </c>
      <c r="P158" s="43" t="s">
        <v>3608</v>
      </c>
      <c r="Q158" s="51" t="n">
        <v>36</v>
      </c>
      <c r="R158" s="69" t="n">
        <v>9.93</v>
      </c>
      <c r="S158" s="46" t="n">
        <v>29</v>
      </c>
      <c r="T158" s="46" t="n">
        <f aca="false">(H158+S158)*E158</f>
        <v>4050000</v>
      </c>
    </row>
    <row r="159" customFormat="false" ht="15" hidden="false" customHeight="false" outlineLevel="0" collapsed="false">
      <c r="A159" s="34" t="s">
        <v>3810</v>
      </c>
      <c r="B159" s="35" t="s">
        <v>3617</v>
      </c>
      <c r="C159" s="34" t="s">
        <v>3592</v>
      </c>
      <c r="D159" s="35" t="s">
        <v>3598</v>
      </c>
      <c r="E159" s="37" t="n">
        <v>86300</v>
      </c>
      <c r="F159" s="37" t="n">
        <v>125700</v>
      </c>
      <c r="G159" s="38" t="n">
        <f aca="false">(F159-E159)/E159</f>
        <v>0.456546929316338</v>
      </c>
      <c r="H159" s="37" t="n">
        <v>269</v>
      </c>
      <c r="I159" s="37" t="n">
        <v>41</v>
      </c>
      <c r="J159" s="37" t="n">
        <f aca="false">H159*E159</f>
        <v>23214700</v>
      </c>
      <c r="K159" s="36" t="n">
        <v>45654</v>
      </c>
      <c r="L159" s="66" t="n">
        <v>46.4</v>
      </c>
      <c r="M159" s="34" t="str">
        <f aca="false">IF(L159=0,"N/A",TEXT(H159/L159,"0.0"))</f>
        <v>5.8</v>
      </c>
      <c r="N159" s="34" t="str">
        <f aca="false">IF(H159=0,"Out of Stock",IF(H159&lt;I159,"Low Stock","In Stock"))</f>
        <v>In Stock</v>
      </c>
      <c r="O159" s="34" t="s">
        <v>3599</v>
      </c>
      <c r="P159" s="34" t="s">
        <v>3595</v>
      </c>
      <c r="Q159" s="42" t="n">
        <v>36</v>
      </c>
      <c r="R159" s="65" t="n">
        <v>7.87</v>
      </c>
      <c r="S159" s="37" t="n">
        <v>17</v>
      </c>
      <c r="T159" s="37" t="n">
        <f aca="false">(H159+S159)*E159</f>
        <v>24681800</v>
      </c>
    </row>
    <row r="160" customFormat="false" ht="15" hidden="false" customHeight="false" outlineLevel="0" collapsed="false">
      <c r="A160" s="43" t="s">
        <v>3811</v>
      </c>
      <c r="B160" s="44" t="s">
        <v>3619</v>
      </c>
      <c r="C160" s="43" t="s">
        <v>2765</v>
      </c>
      <c r="D160" s="44" t="s">
        <v>3602</v>
      </c>
      <c r="E160" s="46" t="n">
        <v>59200</v>
      </c>
      <c r="F160" s="46" t="n">
        <v>107200</v>
      </c>
      <c r="G160" s="47" t="n">
        <f aca="false">(F160-E160)/E160</f>
        <v>0.810810810810811</v>
      </c>
      <c r="H160" s="46" t="n">
        <v>149</v>
      </c>
      <c r="I160" s="46" t="n">
        <v>45</v>
      </c>
      <c r="J160" s="46" t="n">
        <f aca="false">H160*E160</f>
        <v>8820800</v>
      </c>
      <c r="K160" s="45" t="n">
        <v>45301</v>
      </c>
      <c r="L160" s="70" t="n">
        <v>34.7</v>
      </c>
      <c r="M160" s="43" t="str">
        <f aca="false">IF(L160=0,"N/A",TEXT(H160/L160,"0.0"))</f>
        <v>4.3</v>
      </c>
      <c r="N160" s="43" t="str">
        <f aca="false">IF(H160=0,"Out of Stock",IF(H160&lt;I160,"Low Stock","In Stock"))</f>
        <v>In Stock</v>
      </c>
      <c r="O160" s="43" t="s">
        <v>3615</v>
      </c>
      <c r="P160" s="43" t="s">
        <v>3604</v>
      </c>
      <c r="Q160" s="51" t="n">
        <v>24</v>
      </c>
      <c r="R160" s="69" t="n">
        <v>5.72</v>
      </c>
      <c r="S160" s="46" t="n">
        <v>13</v>
      </c>
      <c r="T160" s="46" t="n">
        <f aca="false">(H160+S160)*E160</f>
        <v>9590400</v>
      </c>
    </row>
    <row r="161" customFormat="false" ht="15" hidden="false" customHeight="false" outlineLevel="0" collapsed="false">
      <c r="A161" s="34" t="s">
        <v>3812</v>
      </c>
      <c r="B161" s="35" t="s">
        <v>3622</v>
      </c>
      <c r="C161" s="34" t="s">
        <v>3592</v>
      </c>
      <c r="D161" s="35" t="s">
        <v>3631</v>
      </c>
      <c r="E161" s="37" t="n">
        <v>74000</v>
      </c>
      <c r="F161" s="37" t="n">
        <v>117500</v>
      </c>
      <c r="G161" s="38" t="n">
        <f aca="false">(F161-E161)/E161</f>
        <v>0.587837837837838</v>
      </c>
      <c r="H161" s="37" t="n">
        <v>199</v>
      </c>
      <c r="I161" s="37" t="n">
        <v>24</v>
      </c>
      <c r="J161" s="37" t="n">
        <f aca="false">H161*E161</f>
        <v>14726000</v>
      </c>
      <c r="K161" s="36" t="n">
        <v>45373</v>
      </c>
      <c r="L161" s="66" t="n">
        <v>40.3</v>
      </c>
      <c r="M161" s="34" t="str">
        <f aca="false">IF(L161=0,"N/A",TEXT(H161/L161,"0.0"))</f>
        <v>4.9</v>
      </c>
      <c r="N161" s="34" t="str">
        <f aca="false">IF(H161=0,"Out of Stock",IF(H161&lt;I161,"Low Stock","In Stock"))</f>
        <v>In Stock</v>
      </c>
      <c r="O161" s="34" t="s">
        <v>3594</v>
      </c>
      <c r="P161" s="34" t="s">
        <v>3595</v>
      </c>
      <c r="Q161" s="42" t="n">
        <v>6</v>
      </c>
      <c r="R161" s="65" t="n">
        <v>11.58</v>
      </c>
      <c r="S161" s="37" t="n">
        <v>25</v>
      </c>
      <c r="T161" s="37" t="n">
        <f aca="false">(H161+S161)*E161</f>
        <v>16576000</v>
      </c>
    </row>
    <row r="162" customFormat="false" ht="15" hidden="false" customHeight="false" outlineLevel="0" collapsed="false">
      <c r="A162" s="43" t="s">
        <v>3813</v>
      </c>
      <c r="B162" s="44" t="s">
        <v>3624</v>
      </c>
      <c r="C162" s="43" t="s">
        <v>2103</v>
      </c>
      <c r="D162" s="44" t="s">
        <v>3620</v>
      </c>
      <c r="E162" s="46" t="n">
        <v>40700</v>
      </c>
      <c r="F162" s="46" t="n">
        <v>77900</v>
      </c>
      <c r="G162" s="47" t="n">
        <f aca="false">(F162-E162)/E162</f>
        <v>0.914004914004914</v>
      </c>
      <c r="H162" s="46" t="n">
        <v>382</v>
      </c>
      <c r="I162" s="46" t="n">
        <v>41</v>
      </c>
      <c r="J162" s="46" t="n">
        <f aca="false">H162*E162</f>
        <v>15547400</v>
      </c>
      <c r="K162" s="45" t="n">
        <v>45545</v>
      </c>
      <c r="L162" s="70" t="n">
        <v>43.9</v>
      </c>
      <c r="M162" s="43" t="str">
        <f aca="false">IF(L162=0,"N/A",TEXT(H162/L162,"0.0"))</f>
        <v>8.7</v>
      </c>
      <c r="N162" s="43" t="str">
        <f aca="false">IF(H162=0,"Out of Stock",IF(H162&lt;I162,"Low Stock","In Stock"))</f>
        <v>In Stock</v>
      </c>
      <c r="O162" s="43" t="s">
        <v>3594</v>
      </c>
      <c r="P162" s="43" t="s">
        <v>3595</v>
      </c>
      <c r="Q162" s="51" t="n">
        <v>6</v>
      </c>
      <c r="R162" s="69" t="n">
        <v>4.77</v>
      </c>
      <c r="S162" s="46" t="n">
        <v>20</v>
      </c>
      <c r="T162" s="46" t="n">
        <f aca="false">(H162+S162)*E162</f>
        <v>16361400</v>
      </c>
    </row>
    <row r="163" customFormat="false" ht="15" hidden="false" customHeight="false" outlineLevel="0" collapsed="false">
      <c r="A163" s="34" t="s">
        <v>3814</v>
      </c>
      <c r="B163" s="35" t="s">
        <v>3626</v>
      </c>
      <c r="C163" s="34" t="s">
        <v>3592</v>
      </c>
      <c r="D163" s="35" t="s">
        <v>3631</v>
      </c>
      <c r="E163" s="37" t="n">
        <v>50900</v>
      </c>
      <c r="F163" s="37" t="n">
        <v>68700</v>
      </c>
      <c r="G163" s="38" t="n">
        <f aca="false">(F163-E163)/E163</f>
        <v>0.349705304518664</v>
      </c>
      <c r="H163" s="37" t="n">
        <v>493</v>
      </c>
      <c r="I163" s="37" t="n">
        <v>39</v>
      </c>
      <c r="J163" s="37" t="n">
        <f aca="false">H163*E163</f>
        <v>25093700</v>
      </c>
      <c r="K163" s="36" t="n">
        <v>45371</v>
      </c>
      <c r="L163" s="66" t="n">
        <v>5.1</v>
      </c>
      <c r="M163" s="34" t="str">
        <f aca="false">IF(L163=0,"N/A",TEXT(H163/L163,"0.0"))</f>
        <v>96.7</v>
      </c>
      <c r="N163" s="34" t="str">
        <f aca="false">IF(H163=0,"Out of Stock",IF(H163&lt;I163,"Low Stock","In Stock"))</f>
        <v>In Stock</v>
      </c>
      <c r="O163" s="34" t="s">
        <v>3594</v>
      </c>
      <c r="P163" s="34" t="s">
        <v>3608</v>
      </c>
      <c r="Q163" s="42" t="n">
        <v>24</v>
      </c>
      <c r="R163" s="65" t="n">
        <v>10.29</v>
      </c>
      <c r="S163" s="37" t="n">
        <v>26</v>
      </c>
      <c r="T163" s="37" t="n">
        <f aca="false">(H163+S163)*E163</f>
        <v>26417100</v>
      </c>
    </row>
    <row r="164" customFormat="false" ht="15" hidden="false" customHeight="false" outlineLevel="0" collapsed="false">
      <c r="A164" s="43" t="s">
        <v>3815</v>
      </c>
      <c r="B164" s="44" t="s">
        <v>3628</v>
      </c>
      <c r="C164" s="43" t="s">
        <v>2181</v>
      </c>
      <c r="D164" s="44" t="s">
        <v>3602</v>
      </c>
      <c r="E164" s="46" t="n">
        <v>67100</v>
      </c>
      <c r="F164" s="46" t="n">
        <v>100400</v>
      </c>
      <c r="G164" s="47" t="n">
        <f aca="false">(F164-E164)/E164</f>
        <v>0.496274217585693</v>
      </c>
      <c r="H164" s="46" t="n">
        <v>357</v>
      </c>
      <c r="I164" s="46" t="n">
        <v>7</v>
      </c>
      <c r="J164" s="46" t="n">
        <f aca="false">H164*E164</f>
        <v>23954700</v>
      </c>
      <c r="K164" s="45" t="n">
        <v>45611</v>
      </c>
      <c r="L164" s="70" t="n">
        <v>72.9</v>
      </c>
      <c r="M164" s="43" t="str">
        <f aca="false">IF(L164=0,"N/A",TEXT(H164/L164,"0.0"))</f>
        <v>4.9</v>
      </c>
      <c r="N164" s="43" t="str">
        <f aca="false">IF(H164=0,"Out of Stock",IF(H164&lt;I164,"Low Stock","In Stock"))</f>
        <v>In Stock</v>
      </c>
      <c r="O164" s="43" t="s">
        <v>3599</v>
      </c>
      <c r="P164" s="43" t="s">
        <v>3595</v>
      </c>
      <c r="Q164" s="51" t="n">
        <v>12</v>
      </c>
      <c r="R164" s="69" t="n">
        <v>6.91</v>
      </c>
      <c r="S164" s="46" t="n">
        <v>3</v>
      </c>
      <c r="T164" s="46" t="n">
        <f aca="false">(H164+S164)*E164</f>
        <v>24156000</v>
      </c>
    </row>
    <row r="165" customFormat="false" ht="15" hidden="false" customHeight="false" outlineLevel="0" collapsed="false">
      <c r="A165" s="34" t="s">
        <v>3816</v>
      </c>
      <c r="B165" s="35" t="s">
        <v>3630</v>
      </c>
      <c r="C165" s="34" t="s">
        <v>3592</v>
      </c>
      <c r="D165" s="35" t="s">
        <v>3598</v>
      </c>
      <c r="E165" s="37" t="n">
        <v>27100</v>
      </c>
      <c r="F165" s="37" t="n">
        <v>43300</v>
      </c>
      <c r="G165" s="38" t="n">
        <f aca="false">(F165-E165)/E165</f>
        <v>0.597785977859779</v>
      </c>
      <c r="H165" s="37" t="n">
        <v>292</v>
      </c>
      <c r="I165" s="37" t="n">
        <v>45</v>
      </c>
      <c r="J165" s="37" t="n">
        <f aca="false">H165*E165</f>
        <v>7913200</v>
      </c>
      <c r="K165" s="36" t="n">
        <v>45452</v>
      </c>
      <c r="L165" s="66" t="n">
        <v>49.4</v>
      </c>
      <c r="M165" s="34" t="str">
        <f aca="false">IF(L165=0,"N/A",TEXT(H165/L165,"0.0"))</f>
        <v>5.9</v>
      </c>
      <c r="N165" s="34" t="str">
        <f aca="false">IF(H165=0,"Out of Stock",IF(H165&lt;I165,"Low Stock","In Stock"))</f>
        <v>In Stock</v>
      </c>
      <c r="O165" s="34" t="s">
        <v>3615</v>
      </c>
      <c r="P165" s="34" t="s">
        <v>3595</v>
      </c>
      <c r="Q165" s="42" t="n">
        <v>12</v>
      </c>
      <c r="R165" s="65" t="n">
        <v>13.84</v>
      </c>
      <c r="S165" s="37" t="n">
        <v>1</v>
      </c>
      <c r="T165" s="37" t="n">
        <f aca="false">(H165+S165)*E165</f>
        <v>7940300</v>
      </c>
    </row>
    <row r="166" customFormat="false" ht="15" hidden="false" customHeight="false" outlineLevel="0" collapsed="false">
      <c r="A166" s="43" t="s">
        <v>3817</v>
      </c>
      <c r="B166" s="44" t="s">
        <v>3633</v>
      </c>
      <c r="C166" s="43" t="s">
        <v>3592</v>
      </c>
      <c r="D166" s="44" t="s">
        <v>3602</v>
      </c>
      <c r="E166" s="46" t="n">
        <v>86900</v>
      </c>
      <c r="F166" s="46" t="n">
        <v>160800</v>
      </c>
      <c r="G166" s="47" t="n">
        <f aca="false">(F166-E166)/E166</f>
        <v>0.850402761795167</v>
      </c>
      <c r="H166" s="46" t="n">
        <v>425</v>
      </c>
      <c r="I166" s="46" t="n">
        <v>26</v>
      </c>
      <c r="J166" s="46" t="n">
        <f aca="false">H166*E166</f>
        <v>36932500</v>
      </c>
      <c r="K166" s="45" t="n">
        <v>45588</v>
      </c>
      <c r="L166" s="70" t="n">
        <v>78.8</v>
      </c>
      <c r="M166" s="43" t="str">
        <f aca="false">IF(L166=0,"N/A",TEXT(H166/L166,"0.0"))</f>
        <v>5.4</v>
      </c>
      <c r="N166" s="43" t="str">
        <f aca="false">IF(H166=0,"Out of Stock",IF(H166&lt;I166,"Low Stock","In Stock"))</f>
        <v>In Stock</v>
      </c>
      <c r="O166" s="43" t="s">
        <v>3603</v>
      </c>
      <c r="P166" s="43" t="s">
        <v>3595</v>
      </c>
      <c r="Q166" s="51" t="n">
        <v>18</v>
      </c>
      <c r="R166" s="69" t="n">
        <v>12.42</v>
      </c>
      <c r="S166" s="46" t="n">
        <v>12</v>
      </c>
      <c r="T166" s="46" t="n">
        <f aca="false">(H166+S166)*E166</f>
        <v>37975300</v>
      </c>
    </row>
    <row r="167" customFormat="false" ht="15" hidden="false" customHeight="false" outlineLevel="0" collapsed="false">
      <c r="A167" s="34" t="s">
        <v>3818</v>
      </c>
      <c r="B167" s="35" t="s">
        <v>3635</v>
      </c>
      <c r="C167" s="34" t="s">
        <v>2103</v>
      </c>
      <c r="D167" s="35" t="s">
        <v>3602</v>
      </c>
      <c r="E167" s="37" t="n">
        <v>78900</v>
      </c>
      <c r="F167" s="37" t="n">
        <v>110200</v>
      </c>
      <c r="G167" s="38" t="n">
        <f aca="false">(F167-E167)/E167</f>
        <v>0.396704689480355</v>
      </c>
      <c r="H167" s="37" t="n">
        <v>342</v>
      </c>
      <c r="I167" s="37" t="n">
        <v>21</v>
      </c>
      <c r="J167" s="37" t="n">
        <f aca="false">H167*E167</f>
        <v>26983800</v>
      </c>
      <c r="K167" s="36" t="n">
        <v>45345</v>
      </c>
      <c r="L167" s="66" t="n">
        <v>70.7</v>
      </c>
      <c r="M167" s="34" t="str">
        <f aca="false">IF(L167=0,"N/A",TEXT(H167/L167,"0.0"))</f>
        <v>4.8</v>
      </c>
      <c r="N167" s="34" t="str">
        <f aca="false">IF(H167=0,"Out of Stock",IF(H167&lt;I167,"Low Stock","In Stock"))</f>
        <v>In Stock</v>
      </c>
      <c r="O167" s="34" t="s">
        <v>3599</v>
      </c>
      <c r="P167" s="34" t="s">
        <v>3595</v>
      </c>
      <c r="Q167" s="42" t="n">
        <v>18</v>
      </c>
      <c r="R167" s="65" t="n">
        <v>10.24</v>
      </c>
      <c r="S167" s="37" t="n">
        <v>13</v>
      </c>
      <c r="T167" s="37" t="n">
        <f aca="false">(H167+S167)*E167</f>
        <v>28009500</v>
      </c>
    </row>
    <row r="168" customFormat="false" ht="15" hidden="false" customHeight="false" outlineLevel="0" collapsed="false">
      <c r="A168" s="43" t="s">
        <v>3819</v>
      </c>
      <c r="B168" s="44" t="s">
        <v>3637</v>
      </c>
      <c r="C168" s="43" t="s">
        <v>2208</v>
      </c>
      <c r="D168" s="44" t="s">
        <v>3598</v>
      </c>
      <c r="E168" s="46" t="n">
        <v>1800</v>
      </c>
      <c r="F168" s="46" t="n">
        <v>2800</v>
      </c>
      <c r="G168" s="47" t="n">
        <f aca="false">(F168-E168)/E168</f>
        <v>0.555555555555556</v>
      </c>
      <c r="H168" s="46" t="n">
        <v>211</v>
      </c>
      <c r="I168" s="46" t="n">
        <v>29</v>
      </c>
      <c r="J168" s="46" t="n">
        <f aca="false">H168*E168</f>
        <v>379800</v>
      </c>
      <c r="K168" s="45" t="n">
        <v>45400</v>
      </c>
      <c r="L168" s="70" t="n">
        <v>23</v>
      </c>
      <c r="M168" s="43" t="str">
        <f aca="false">IF(L168=0,"N/A",TEXT(H168/L168,"0.0"))</f>
        <v>9.2</v>
      </c>
      <c r="N168" s="43" t="str">
        <f aca="false">IF(H168=0,"Out of Stock",IF(H168&lt;I168,"Low Stock","In Stock"))</f>
        <v>In Stock</v>
      </c>
      <c r="O168" s="43" t="s">
        <v>3612</v>
      </c>
      <c r="P168" s="43" t="s">
        <v>3608</v>
      </c>
      <c r="Q168" s="51" t="n">
        <v>24</v>
      </c>
      <c r="R168" s="69" t="n">
        <v>2.92</v>
      </c>
      <c r="S168" s="46" t="n">
        <v>28</v>
      </c>
      <c r="T168" s="46" t="n">
        <f aca="false">(H168+S168)*E168</f>
        <v>430200</v>
      </c>
    </row>
    <row r="169" customFormat="false" ht="15" hidden="false" customHeight="false" outlineLevel="0" collapsed="false">
      <c r="A169" s="34" t="s">
        <v>3820</v>
      </c>
      <c r="B169" s="35" t="s">
        <v>3639</v>
      </c>
      <c r="C169" s="34" t="s">
        <v>3592</v>
      </c>
      <c r="D169" s="35" t="s">
        <v>3598</v>
      </c>
      <c r="E169" s="37" t="n">
        <v>91200</v>
      </c>
      <c r="F169" s="37" t="n">
        <v>138300</v>
      </c>
      <c r="G169" s="38" t="n">
        <f aca="false">(F169-E169)/E169</f>
        <v>0.516447368421053</v>
      </c>
      <c r="H169" s="37" t="n">
        <v>356</v>
      </c>
      <c r="I169" s="37" t="n">
        <v>33</v>
      </c>
      <c r="J169" s="37" t="n">
        <f aca="false">H169*E169</f>
        <v>32467200</v>
      </c>
      <c r="K169" s="36" t="n">
        <v>45644</v>
      </c>
      <c r="L169" s="66" t="n">
        <v>11.2</v>
      </c>
      <c r="M169" s="34" t="str">
        <f aca="false">IF(L169=0,"N/A",TEXT(H169/L169,"0.0"))</f>
        <v>31.8</v>
      </c>
      <c r="N169" s="34" t="str">
        <f aca="false">IF(H169=0,"Out of Stock",IF(H169&lt;I169,"Low Stock","In Stock"))</f>
        <v>In Stock</v>
      </c>
      <c r="O169" s="34" t="s">
        <v>3615</v>
      </c>
      <c r="P169" s="34" t="s">
        <v>3595</v>
      </c>
      <c r="Q169" s="42" t="n">
        <v>6</v>
      </c>
      <c r="R169" s="65" t="n">
        <v>3.42</v>
      </c>
      <c r="S169" s="37" t="n">
        <v>22</v>
      </c>
      <c r="T169" s="37" t="n">
        <f aca="false">(H169+S169)*E169</f>
        <v>34473600</v>
      </c>
    </row>
    <row r="170" customFormat="false" ht="15" hidden="false" customHeight="false" outlineLevel="0" collapsed="false">
      <c r="A170" s="43" t="s">
        <v>3821</v>
      </c>
      <c r="B170" s="44" t="s">
        <v>3641</v>
      </c>
      <c r="C170" s="43" t="s">
        <v>2181</v>
      </c>
      <c r="D170" s="44" t="s">
        <v>3611</v>
      </c>
      <c r="E170" s="46" t="n">
        <v>9200</v>
      </c>
      <c r="F170" s="46" t="n">
        <v>12400</v>
      </c>
      <c r="G170" s="47" t="n">
        <f aca="false">(F170-E170)/E170</f>
        <v>0.347826086956522</v>
      </c>
      <c r="H170" s="46" t="n">
        <v>167</v>
      </c>
      <c r="I170" s="46" t="n">
        <v>15</v>
      </c>
      <c r="J170" s="46" t="n">
        <f aca="false">H170*E170</f>
        <v>1536400</v>
      </c>
      <c r="K170" s="45" t="n">
        <v>45604</v>
      </c>
      <c r="L170" s="70" t="n">
        <v>75.5</v>
      </c>
      <c r="M170" s="43" t="str">
        <f aca="false">IF(L170=0,"N/A",TEXT(H170/L170,"0.0"))</f>
        <v>2.2</v>
      </c>
      <c r="N170" s="43" t="str">
        <f aca="false">IF(H170=0,"Out of Stock",IF(H170&lt;I170,"Low Stock","In Stock"))</f>
        <v>In Stock</v>
      </c>
      <c r="O170" s="43" t="s">
        <v>3612</v>
      </c>
      <c r="P170" s="43" t="s">
        <v>3608</v>
      </c>
      <c r="Q170" s="51" t="n">
        <v>24</v>
      </c>
      <c r="R170" s="69" t="n">
        <v>14.33</v>
      </c>
      <c r="S170" s="46" t="n">
        <v>8</v>
      </c>
      <c r="T170" s="46" t="n">
        <f aca="false">(H170+S170)*E170</f>
        <v>1610000</v>
      </c>
    </row>
    <row r="171" customFormat="false" ht="15" hidden="false" customHeight="false" outlineLevel="0" collapsed="false">
      <c r="A171" s="34" t="s">
        <v>3822</v>
      </c>
      <c r="B171" s="35" t="s">
        <v>3643</v>
      </c>
      <c r="C171" s="34" t="s">
        <v>2765</v>
      </c>
      <c r="D171" s="35" t="s">
        <v>3631</v>
      </c>
      <c r="E171" s="37" t="n">
        <v>112600</v>
      </c>
      <c r="F171" s="37" t="n">
        <v>186500</v>
      </c>
      <c r="G171" s="38" t="n">
        <f aca="false">(F171-E171)/E171</f>
        <v>0.656305506216696</v>
      </c>
      <c r="H171" s="37" t="n">
        <v>55</v>
      </c>
      <c r="I171" s="37" t="n">
        <v>12</v>
      </c>
      <c r="J171" s="37" t="n">
        <f aca="false">H171*E171</f>
        <v>6193000</v>
      </c>
      <c r="K171" s="36" t="n">
        <v>45468</v>
      </c>
      <c r="L171" s="66" t="n">
        <v>32.2</v>
      </c>
      <c r="M171" s="34" t="str">
        <f aca="false">IF(L171=0,"N/A",TEXT(H171/L171,"0.0"))</f>
        <v>1.7</v>
      </c>
      <c r="N171" s="34" t="str">
        <f aca="false">IF(H171=0,"Out of Stock",IF(H171&lt;I171,"Low Stock","In Stock"))</f>
        <v>In Stock</v>
      </c>
      <c r="O171" s="34" t="s">
        <v>3594</v>
      </c>
      <c r="P171" s="34" t="s">
        <v>3604</v>
      </c>
      <c r="Q171" s="42" t="n">
        <v>6</v>
      </c>
      <c r="R171" s="65" t="n">
        <v>13.27</v>
      </c>
      <c r="S171" s="37" t="n">
        <v>28</v>
      </c>
      <c r="T171" s="37" t="n">
        <f aca="false">(H171+S171)*E171</f>
        <v>9345800</v>
      </c>
    </row>
    <row r="172" customFormat="false" ht="15" hidden="false" customHeight="false" outlineLevel="0" collapsed="false">
      <c r="A172" s="43" t="s">
        <v>3823</v>
      </c>
      <c r="B172" s="44" t="s">
        <v>3645</v>
      </c>
      <c r="C172" s="43" t="s">
        <v>2103</v>
      </c>
      <c r="D172" s="44" t="s">
        <v>3602</v>
      </c>
      <c r="E172" s="46" t="n">
        <v>68400</v>
      </c>
      <c r="F172" s="46" t="n">
        <v>136600</v>
      </c>
      <c r="G172" s="47" t="n">
        <f aca="false">(F172-E172)/E172</f>
        <v>0.997076023391813</v>
      </c>
      <c r="H172" s="46" t="n">
        <v>240</v>
      </c>
      <c r="I172" s="46" t="n">
        <v>35</v>
      </c>
      <c r="J172" s="46" t="n">
        <f aca="false">H172*E172</f>
        <v>16416000</v>
      </c>
      <c r="K172" s="45" t="n">
        <v>45452</v>
      </c>
      <c r="L172" s="70" t="n">
        <v>9.6</v>
      </c>
      <c r="M172" s="43" t="str">
        <f aca="false">IF(L172=0,"N/A",TEXT(H172/L172,"0.0"))</f>
        <v>25.0</v>
      </c>
      <c r="N172" s="43" t="str">
        <f aca="false">IF(H172=0,"Out of Stock",IF(H172&lt;I172,"Low Stock","In Stock"))</f>
        <v>In Stock</v>
      </c>
      <c r="O172" s="43" t="s">
        <v>3599</v>
      </c>
      <c r="P172" s="43" t="s">
        <v>3595</v>
      </c>
      <c r="Q172" s="51" t="n">
        <v>24</v>
      </c>
      <c r="R172" s="69" t="n">
        <v>0.67</v>
      </c>
      <c r="S172" s="46" t="n">
        <v>7</v>
      </c>
      <c r="T172" s="46" t="n">
        <f aca="false">(H172+S172)*E172</f>
        <v>16894800</v>
      </c>
    </row>
    <row r="173" customFormat="false" ht="15" hidden="false" customHeight="false" outlineLevel="0" collapsed="false">
      <c r="A173" s="34" t="s">
        <v>3824</v>
      </c>
      <c r="B173" s="35" t="s">
        <v>3647</v>
      </c>
      <c r="C173" s="34" t="s">
        <v>2181</v>
      </c>
      <c r="D173" s="35" t="s">
        <v>3598</v>
      </c>
      <c r="E173" s="37" t="n">
        <v>106100</v>
      </c>
      <c r="F173" s="37" t="n">
        <v>133000</v>
      </c>
      <c r="G173" s="38" t="n">
        <f aca="false">(F173-E173)/E173</f>
        <v>0.253534401508011</v>
      </c>
      <c r="H173" s="37" t="n">
        <v>223</v>
      </c>
      <c r="I173" s="37" t="n">
        <v>44</v>
      </c>
      <c r="J173" s="37" t="n">
        <f aca="false">H173*E173</f>
        <v>23660300</v>
      </c>
      <c r="K173" s="36" t="n">
        <v>45495</v>
      </c>
      <c r="L173" s="66" t="n">
        <v>30.3</v>
      </c>
      <c r="M173" s="34" t="str">
        <f aca="false">IF(L173=0,"N/A",TEXT(H173/L173,"0.0"))</f>
        <v>7.4</v>
      </c>
      <c r="N173" s="34" t="str">
        <f aca="false">IF(H173=0,"Out of Stock",IF(H173&lt;I173,"Low Stock","In Stock"))</f>
        <v>In Stock</v>
      </c>
      <c r="O173" s="34" t="s">
        <v>3615</v>
      </c>
      <c r="P173" s="34" t="s">
        <v>3608</v>
      </c>
      <c r="Q173" s="42" t="n">
        <v>36</v>
      </c>
      <c r="R173" s="65" t="n">
        <v>2.23</v>
      </c>
      <c r="S173" s="37" t="n">
        <v>23</v>
      </c>
      <c r="T173" s="37" t="n">
        <f aca="false">(H173+S173)*E173</f>
        <v>26100600</v>
      </c>
    </row>
    <row r="174" customFormat="false" ht="15" hidden="false" customHeight="false" outlineLevel="0" collapsed="false">
      <c r="A174" s="43" t="s">
        <v>3825</v>
      </c>
      <c r="B174" s="44" t="s">
        <v>3649</v>
      </c>
      <c r="C174" s="43" t="s">
        <v>2181</v>
      </c>
      <c r="D174" s="44" t="s">
        <v>3602</v>
      </c>
      <c r="E174" s="46" t="n">
        <v>101200</v>
      </c>
      <c r="F174" s="46" t="n">
        <v>138500</v>
      </c>
      <c r="G174" s="47" t="n">
        <f aca="false">(F174-E174)/E174</f>
        <v>0.368577075098814</v>
      </c>
      <c r="H174" s="46" t="n">
        <v>162</v>
      </c>
      <c r="I174" s="46" t="n">
        <v>7</v>
      </c>
      <c r="J174" s="46" t="n">
        <f aca="false">H174*E174</f>
        <v>16394400</v>
      </c>
      <c r="K174" s="45" t="n">
        <v>45656</v>
      </c>
      <c r="L174" s="70" t="n">
        <v>45.9</v>
      </c>
      <c r="M174" s="43" t="str">
        <f aca="false">IF(L174=0,"N/A",TEXT(H174/L174,"0.0"))</f>
        <v>3.5</v>
      </c>
      <c r="N174" s="43" t="str">
        <f aca="false">IF(H174=0,"Out of Stock",IF(H174&lt;I174,"Low Stock","In Stock"))</f>
        <v>In Stock</v>
      </c>
      <c r="O174" s="43" t="s">
        <v>3599</v>
      </c>
      <c r="P174" s="43" t="s">
        <v>3595</v>
      </c>
      <c r="Q174" s="51" t="n">
        <v>18</v>
      </c>
      <c r="R174" s="69" t="n">
        <v>2.38</v>
      </c>
      <c r="S174" s="46" t="n">
        <v>30</v>
      </c>
      <c r="T174" s="46" t="n">
        <f aca="false">(H174+S174)*E174</f>
        <v>19430400</v>
      </c>
    </row>
    <row r="175" customFormat="false" ht="15" hidden="false" customHeight="false" outlineLevel="0" collapsed="false">
      <c r="A175" s="34" t="s">
        <v>3826</v>
      </c>
      <c r="B175" s="35" t="s">
        <v>2207</v>
      </c>
      <c r="C175" s="34" t="s">
        <v>2208</v>
      </c>
      <c r="D175" s="35" t="s">
        <v>3602</v>
      </c>
      <c r="E175" s="37" t="n">
        <v>118600</v>
      </c>
      <c r="F175" s="37" t="n">
        <v>203400</v>
      </c>
      <c r="G175" s="38" t="n">
        <f aca="false">(F175-E175)/E175</f>
        <v>0.715008431703204</v>
      </c>
      <c r="H175" s="37" t="n">
        <v>200</v>
      </c>
      <c r="I175" s="37" t="n">
        <v>29</v>
      </c>
      <c r="J175" s="37" t="n">
        <f aca="false">H175*E175</f>
        <v>23720000</v>
      </c>
      <c r="K175" s="36" t="n">
        <v>45362</v>
      </c>
      <c r="L175" s="66" t="n">
        <v>13.1</v>
      </c>
      <c r="M175" s="34" t="str">
        <f aca="false">IF(L175=0,"N/A",TEXT(H175/L175,"0.0"))</f>
        <v>15.3</v>
      </c>
      <c r="N175" s="34" t="str">
        <f aca="false">IF(H175=0,"Out of Stock",IF(H175&lt;I175,"Low Stock","In Stock"))</f>
        <v>In Stock</v>
      </c>
      <c r="O175" s="34" t="s">
        <v>3599</v>
      </c>
      <c r="P175" s="34" t="s">
        <v>3595</v>
      </c>
      <c r="Q175" s="42" t="n">
        <v>12</v>
      </c>
      <c r="R175" s="65" t="n">
        <v>7.63</v>
      </c>
      <c r="S175" s="37" t="n">
        <v>9</v>
      </c>
      <c r="T175" s="37" t="n">
        <f aca="false">(H175+S175)*E175</f>
        <v>24787400</v>
      </c>
    </row>
    <row r="176" customFormat="false" ht="15" hidden="false" customHeight="false" outlineLevel="0" collapsed="false">
      <c r="A176" s="43" t="s">
        <v>3827</v>
      </c>
      <c r="B176" s="44" t="s">
        <v>3652</v>
      </c>
      <c r="C176" s="43" t="s">
        <v>2765</v>
      </c>
      <c r="D176" s="44" t="s">
        <v>3598</v>
      </c>
      <c r="E176" s="46" t="n">
        <v>95000</v>
      </c>
      <c r="F176" s="46" t="n">
        <v>147400</v>
      </c>
      <c r="G176" s="47" t="n">
        <f aca="false">(F176-E176)/E176</f>
        <v>0.551578947368421</v>
      </c>
      <c r="H176" s="46" t="n">
        <v>446</v>
      </c>
      <c r="I176" s="46" t="n">
        <v>33</v>
      </c>
      <c r="J176" s="46" t="n">
        <f aca="false">H176*E176</f>
        <v>42370000</v>
      </c>
      <c r="K176" s="45" t="n">
        <v>45359</v>
      </c>
      <c r="L176" s="70" t="n">
        <v>6.5</v>
      </c>
      <c r="M176" s="43" t="str">
        <f aca="false">IF(L176=0,"N/A",TEXT(H176/L176,"0.0"))</f>
        <v>68.6</v>
      </c>
      <c r="N176" s="43" t="str">
        <f aca="false">IF(H176=0,"Out of Stock",IF(H176&lt;I176,"Low Stock","In Stock"))</f>
        <v>In Stock</v>
      </c>
      <c r="O176" s="43" t="s">
        <v>3594</v>
      </c>
      <c r="P176" s="43" t="s">
        <v>3595</v>
      </c>
      <c r="Q176" s="51" t="n">
        <v>18</v>
      </c>
      <c r="R176" s="69" t="n">
        <v>9.06</v>
      </c>
      <c r="S176" s="46" t="n">
        <v>7</v>
      </c>
      <c r="T176" s="46" t="n">
        <f aca="false">(H176+S176)*E176</f>
        <v>43035000</v>
      </c>
    </row>
    <row r="177" customFormat="false" ht="15" hidden="false" customHeight="false" outlineLevel="0" collapsed="false">
      <c r="A177" s="34" t="s">
        <v>3828</v>
      </c>
      <c r="B177" s="35" t="s">
        <v>3654</v>
      </c>
      <c r="C177" s="34" t="s">
        <v>2103</v>
      </c>
      <c r="D177" s="35" t="s">
        <v>3593</v>
      </c>
      <c r="E177" s="37" t="n">
        <v>42100</v>
      </c>
      <c r="F177" s="37" t="n">
        <v>52400</v>
      </c>
      <c r="G177" s="38" t="n">
        <f aca="false">(F177-E177)/E177</f>
        <v>0.244655581947743</v>
      </c>
      <c r="H177" s="37" t="n">
        <v>350</v>
      </c>
      <c r="I177" s="37" t="n">
        <v>9</v>
      </c>
      <c r="J177" s="37" t="n">
        <f aca="false">H177*E177</f>
        <v>14735000</v>
      </c>
      <c r="K177" s="36" t="n">
        <v>45481</v>
      </c>
      <c r="L177" s="66" t="n">
        <v>33.4</v>
      </c>
      <c r="M177" s="34" t="str">
        <f aca="false">IF(L177=0,"N/A",TEXT(H177/L177,"0.0"))</f>
        <v>10.5</v>
      </c>
      <c r="N177" s="34" t="str">
        <f aca="false">IF(H177=0,"Out of Stock",IF(H177&lt;I177,"Low Stock","In Stock"))</f>
        <v>In Stock</v>
      </c>
      <c r="O177" s="34" t="s">
        <v>3612</v>
      </c>
      <c r="P177" s="34" t="s">
        <v>3595</v>
      </c>
      <c r="Q177" s="42" t="n">
        <v>12</v>
      </c>
      <c r="R177" s="65" t="n">
        <v>0.36</v>
      </c>
      <c r="S177" s="37" t="n">
        <v>17</v>
      </c>
      <c r="T177" s="37" t="n">
        <f aca="false">(H177+S177)*E177</f>
        <v>15450700</v>
      </c>
    </row>
    <row r="178" customFormat="false" ht="15" hidden="false" customHeight="false" outlineLevel="0" collapsed="false">
      <c r="A178" s="43" t="s">
        <v>3829</v>
      </c>
      <c r="B178" s="44" t="s">
        <v>3656</v>
      </c>
      <c r="C178" s="43" t="s">
        <v>3592</v>
      </c>
      <c r="D178" s="44" t="s">
        <v>3602</v>
      </c>
      <c r="E178" s="46" t="n">
        <v>118600</v>
      </c>
      <c r="F178" s="46" t="n">
        <v>152200</v>
      </c>
      <c r="G178" s="47" t="n">
        <f aca="false">(F178-E178)/E178</f>
        <v>0.283305227655987</v>
      </c>
      <c r="H178" s="46" t="n">
        <v>119</v>
      </c>
      <c r="I178" s="46" t="n">
        <v>5</v>
      </c>
      <c r="J178" s="46" t="n">
        <f aca="false">H178*E178</f>
        <v>14113400</v>
      </c>
      <c r="K178" s="45" t="n">
        <v>45437</v>
      </c>
      <c r="L178" s="70" t="n">
        <v>31.1</v>
      </c>
      <c r="M178" s="43" t="str">
        <f aca="false">IF(L178=0,"N/A",TEXT(H178/L178,"0.0"))</f>
        <v>3.8</v>
      </c>
      <c r="N178" s="43" t="str">
        <f aca="false">IF(H178=0,"Out of Stock",IF(H178&lt;I178,"Low Stock","In Stock"))</f>
        <v>In Stock</v>
      </c>
      <c r="O178" s="43" t="s">
        <v>3594</v>
      </c>
      <c r="P178" s="43" t="s">
        <v>3595</v>
      </c>
      <c r="Q178" s="51" t="n">
        <v>24</v>
      </c>
      <c r="R178" s="69" t="n">
        <v>0.97</v>
      </c>
      <c r="S178" s="46" t="n">
        <v>18</v>
      </c>
      <c r="T178" s="46" t="n">
        <f aca="false">(H178+S178)*E178</f>
        <v>16248200</v>
      </c>
    </row>
    <row r="179" customFormat="false" ht="15" hidden="false" customHeight="false" outlineLevel="0" collapsed="false">
      <c r="A179" s="34" t="s">
        <v>3830</v>
      </c>
      <c r="B179" s="35" t="s">
        <v>3658</v>
      </c>
      <c r="C179" s="34" t="s">
        <v>2181</v>
      </c>
      <c r="D179" s="35" t="s">
        <v>3602</v>
      </c>
      <c r="E179" s="37" t="n">
        <v>100300</v>
      </c>
      <c r="F179" s="37" t="n">
        <v>170800</v>
      </c>
      <c r="G179" s="38" t="n">
        <f aca="false">(F179-E179)/E179</f>
        <v>0.702891326021934</v>
      </c>
      <c r="H179" s="37" t="n">
        <v>288</v>
      </c>
      <c r="I179" s="37" t="n">
        <v>39</v>
      </c>
      <c r="J179" s="37" t="n">
        <f aca="false">H179*E179</f>
        <v>28886400</v>
      </c>
      <c r="K179" s="36" t="n">
        <v>45502</v>
      </c>
      <c r="L179" s="66" t="n">
        <v>6.8</v>
      </c>
      <c r="M179" s="34" t="str">
        <f aca="false">IF(L179=0,"N/A",TEXT(H179/L179,"0.0"))</f>
        <v>42.4</v>
      </c>
      <c r="N179" s="34" t="str">
        <f aca="false">IF(H179=0,"Out of Stock",IF(H179&lt;I179,"Low Stock","In Stock"))</f>
        <v>In Stock</v>
      </c>
      <c r="O179" s="34" t="s">
        <v>3594</v>
      </c>
      <c r="P179" s="34" t="s">
        <v>3604</v>
      </c>
      <c r="Q179" s="42" t="n">
        <v>24</v>
      </c>
      <c r="R179" s="65" t="n">
        <v>12.38</v>
      </c>
      <c r="S179" s="37" t="n">
        <v>20</v>
      </c>
      <c r="T179" s="37" t="n">
        <f aca="false">(H179+S179)*E179</f>
        <v>30892400</v>
      </c>
    </row>
    <row r="180" customFormat="false" ht="15" hidden="false" customHeight="false" outlineLevel="0" collapsed="false">
      <c r="A180" s="43" t="s">
        <v>3831</v>
      </c>
      <c r="B180" s="44" t="s">
        <v>3660</v>
      </c>
      <c r="C180" s="43" t="s">
        <v>2765</v>
      </c>
      <c r="D180" s="44" t="s">
        <v>3598</v>
      </c>
      <c r="E180" s="46" t="n">
        <v>81200</v>
      </c>
      <c r="F180" s="46" t="n">
        <v>122600</v>
      </c>
      <c r="G180" s="47" t="n">
        <f aca="false">(F180-E180)/E180</f>
        <v>0.509852216748769</v>
      </c>
      <c r="H180" s="46" t="n">
        <v>466</v>
      </c>
      <c r="I180" s="46" t="n">
        <v>20</v>
      </c>
      <c r="J180" s="46" t="n">
        <f aca="false">H180*E180</f>
        <v>37839200</v>
      </c>
      <c r="K180" s="45" t="n">
        <v>45621</v>
      </c>
      <c r="L180" s="70" t="n">
        <v>54.9</v>
      </c>
      <c r="M180" s="43" t="str">
        <f aca="false">IF(L180=0,"N/A",TEXT(H180/L180,"0.0"))</f>
        <v>8.5</v>
      </c>
      <c r="N180" s="43" t="str">
        <f aca="false">IF(H180=0,"Out of Stock",IF(H180&lt;I180,"Low Stock","In Stock"))</f>
        <v>In Stock</v>
      </c>
      <c r="O180" s="43" t="s">
        <v>3603</v>
      </c>
      <c r="P180" s="43" t="s">
        <v>3595</v>
      </c>
      <c r="Q180" s="51" t="n">
        <v>24</v>
      </c>
      <c r="R180" s="69" t="n">
        <v>3.83</v>
      </c>
      <c r="S180" s="46" t="n">
        <v>19</v>
      </c>
      <c r="T180" s="46" t="n">
        <f aca="false">(H180+S180)*E180</f>
        <v>39382000</v>
      </c>
    </row>
    <row r="181" customFormat="false" ht="15" hidden="false" customHeight="false" outlineLevel="0" collapsed="false">
      <c r="A181" s="34" t="s">
        <v>3832</v>
      </c>
      <c r="B181" s="35" t="s">
        <v>3662</v>
      </c>
      <c r="C181" s="34" t="s">
        <v>2208</v>
      </c>
      <c r="D181" s="35" t="s">
        <v>3593</v>
      </c>
      <c r="E181" s="37" t="n">
        <v>115700</v>
      </c>
      <c r="F181" s="37" t="n">
        <v>172200</v>
      </c>
      <c r="G181" s="38" t="n">
        <f aca="false">(F181-E181)/E181</f>
        <v>0.488331892826275</v>
      </c>
      <c r="H181" s="37" t="n">
        <v>73</v>
      </c>
      <c r="I181" s="37" t="n">
        <v>23</v>
      </c>
      <c r="J181" s="37" t="n">
        <f aca="false">H181*E181</f>
        <v>8446100</v>
      </c>
      <c r="K181" s="36" t="n">
        <v>45433</v>
      </c>
      <c r="L181" s="66" t="n">
        <v>51.3</v>
      </c>
      <c r="M181" s="34" t="str">
        <f aca="false">IF(L181=0,"N/A",TEXT(H181/L181,"0.0"))</f>
        <v>1.4</v>
      </c>
      <c r="N181" s="34" t="str">
        <f aca="false">IF(H181=0,"Out of Stock",IF(H181&lt;I181,"Low Stock","In Stock"))</f>
        <v>In Stock</v>
      </c>
      <c r="O181" s="34" t="s">
        <v>3612</v>
      </c>
      <c r="P181" s="34" t="s">
        <v>3595</v>
      </c>
      <c r="Q181" s="42" t="n">
        <v>24</v>
      </c>
      <c r="R181" s="65" t="n">
        <v>14.45</v>
      </c>
      <c r="S181" s="37" t="n">
        <v>5</v>
      </c>
      <c r="T181" s="37" t="n">
        <f aca="false">(H181+S181)*E181</f>
        <v>9024600</v>
      </c>
    </row>
    <row r="182" customFormat="false" ht="15" hidden="false" customHeight="false" outlineLevel="0" collapsed="false">
      <c r="A182" s="43" t="s">
        <v>3833</v>
      </c>
      <c r="B182" s="44" t="s">
        <v>3664</v>
      </c>
      <c r="C182" s="43" t="s">
        <v>2765</v>
      </c>
      <c r="D182" s="44" t="s">
        <v>3598</v>
      </c>
      <c r="E182" s="46" t="n">
        <v>3200</v>
      </c>
      <c r="F182" s="46" t="n">
        <v>4900</v>
      </c>
      <c r="G182" s="47" t="n">
        <f aca="false">(F182-E182)/E182</f>
        <v>0.53125</v>
      </c>
      <c r="H182" s="46" t="n">
        <v>153</v>
      </c>
      <c r="I182" s="46" t="n">
        <v>14</v>
      </c>
      <c r="J182" s="46" t="n">
        <f aca="false">H182*E182</f>
        <v>489600</v>
      </c>
      <c r="K182" s="45" t="n">
        <v>45387</v>
      </c>
      <c r="L182" s="70" t="n">
        <v>4.4</v>
      </c>
      <c r="M182" s="43" t="str">
        <f aca="false">IF(L182=0,"N/A",TEXT(H182/L182,"0.0"))</f>
        <v>34.8</v>
      </c>
      <c r="N182" s="43" t="str">
        <f aca="false">IF(H182=0,"Out of Stock",IF(H182&lt;I182,"Low Stock","In Stock"))</f>
        <v>In Stock</v>
      </c>
      <c r="O182" s="43" t="s">
        <v>3599</v>
      </c>
      <c r="P182" s="43" t="s">
        <v>3604</v>
      </c>
      <c r="Q182" s="51" t="n">
        <v>36</v>
      </c>
      <c r="R182" s="69" t="n">
        <v>10.69</v>
      </c>
      <c r="S182" s="46" t="n">
        <v>13</v>
      </c>
      <c r="T182" s="46" t="n">
        <f aca="false">(H182+S182)*E182</f>
        <v>531200</v>
      </c>
    </row>
    <row r="183" customFormat="false" ht="15" hidden="false" customHeight="false" outlineLevel="0" collapsed="false">
      <c r="A183" s="34" t="s">
        <v>3834</v>
      </c>
      <c r="B183" s="35" t="s">
        <v>3666</v>
      </c>
      <c r="C183" s="34" t="s">
        <v>2103</v>
      </c>
      <c r="D183" s="35" t="s">
        <v>3607</v>
      </c>
      <c r="E183" s="37" t="n">
        <v>82600</v>
      </c>
      <c r="F183" s="37" t="n">
        <v>122400</v>
      </c>
      <c r="G183" s="38" t="n">
        <f aca="false">(F183-E183)/E183</f>
        <v>0.4818401937046</v>
      </c>
      <c r="H183" s="37" t="n">
        <v>482</v>
      </c>
      <c r="I183" s="37" t="n">
        <v>30</v>
      </c>
      <c r="J183" s="37" t="n">
        <f aca="false">H183*E183</f>
        <v>39813200</v>
      </c>
      <c r="K183" s="36" t="n">
        <v>45582</v>
      </c>
      <c r="L183" s="66" t="n">
        <v>34.3</v>
      </c>
      <c r="M183" s="34" t="str">
        <f aca="false">IF(L183=0,"N/A",TEXT(H183/L183,"0.0"))</f>
        <v>14.1</v>
      </c>
      <c r="N183" s="34" t="str">
        <f aca="false">IF(H183=0,"Out of Stock",IF(H183&lt;I183,"Low Stock","In Stock"))</f>
        <v>In Stock</v>
      </c>
      <c r="O183" s="34" t="s">
        <v>3603</v>
      </c>
      <c r="P183" s="34" t="s">
        <v>3604</v>
      </c>
      <c r="Q183" s="42" t="n">
        <v>24</v>
      </c>
      <c r="R183" s="65" t="n">
        <v>6.96</v>
      </c>
      <c r="S183" s="37" t="n">
        <v>13</v>
      </c>
      <c r="T183" s="37" t="n">
        <f aca="false">(H183+S183)*E183</f>
        <v>40887000</v>
      </c>
    </row>
    <row r="184" customFormat="false" ht="15" hidden="false" customHeight="false" outlineLevel="0" collapsed="false">
      <c r="A184" s="43" t="s">
        <v>3835</v>
      </c>
      <c r="B184" s="44" t="s">
        <v>3668</v>
      </c>
      <c r="C184" s="43" t="s">
        <v>2208</v>
      </c>
      <c r="D184" s="44" t="s">
        <v>3631</v>
      </c>
      <c r="E184" s="46" t="n">
        <v>44700</v>
      </c>
      <c r="F184" s="46" t="n">
        <v>65300</v>
      </c>
      <c r="G184" s="47" t="n">
        <f aca="false">(F184-E184)/E184</f>
        <v>0.460850111856823</v>
      </c>
      <c r="H184" s="46" t="n">
        <v>204</v>
      </c>
      <c r="I184" s="46" t="n">
        <v>13</v>
      </c>
      <c r="J184" s="46" t="n">
        <f aca="false">H184*E184</f>
        <v>9118800</v>
      </c>
      <c r="K184" s="45" t="n">
        <v>45424</v>
      </c>
      <c r="L184" s="70" t="n">
        <v>58.1</v>
      </c>
      <c r="M184" s="43" t="str">
        <f aca="false">IF(L184=0,"N/A",TEXT(H184/L184,"0.0"))</f>
        <v>3.5</v>
      </c>
      <c r="N184" s="43" t="str">
        <f aca="false">IF(H184=0,"Out of Stock",IF(H184&lt;I184,"Low Stock","In Stock"))</f>
        <v>In Stock</v>
      </c>
      <c r="O184" s="43" t="s">
        <v>3594</v>
      </c>
      <c r="P184" s="43" t="s">
        <v>3595</v>
      </c>
      <c r="Q184" s="51" t="n">
        <v>12</v>
      </c>
      <c r="R184" s="69" t="n">
        <v>3.77</v>
      </c>
      <c r="S184" s="46" t="n">
        <v>6</v>
      </c>
      <c r="T184" s="46" t="n">
        <f aca="false">(H184+S184)*E184</f>
        <v>9387000</v>
      </c>
    </row>
    <row r="185" customFormat="false" ht="15" hidden="false" customHeight="false" outlineLevel="0" collapsed="false">
      <c r="A185" s="34" t="s">
        <v>3836</v>
      </c>
      <c r="B185" s="35" t="s">
        <v>3670</v>
      </c>
      <c r="C185" s="34" t="s">
        <v>2181</v>
      </c>
      <c r="D185" s="35" t="s">
        <v>3598</v>
      </c>
      <c r="E185" s="37" t="n">
        <v>86900</v>
      </c>
      <c r="F185" s="37" t="n">
        <v>158800</v>
      </c>
      <c r="G185" s="38" t="n">
        <f aca="false">(F185-E185)/E185</f>
        <v>0.827387802071346</v>
      </c>
      <c r="H185" s="37" t="n">
        <v>186</v>
      </c>
      <c r="I185" s="37" t="n">
        <v>34</v>
      </c>
      <c r="J185" s="37" t="n">
        <f aca="false">H185*E185</f>
        <v>16163400</v>
      </c>
      <c r="K185" s="36" t="n">
        <v>45584</v>
      </c>
      <c r="L185" s="66" t="n">
        <v>44.3</v>
      </c>
      <c r="M185" s="34" t="str">
        <f aca="false">IF(L185=0,"N/A",TEXT(H185/L185,"0.0"))</f>
        <v>4.2</v>
      </c>
      <c r="N185" s="34" t="str">
        <f aca="false">IF(H185=0,"Out of Stock",IF(H185&lt;I185,"Low Stock","In Stock"))</f>
        <v>In Stock</v>
      </c>
      <c r="O185" s="34" t="s">
        <v>3612</v>
      </c>
      <c r="P185" s="34" t="s">
        <v>3595</v>
      </c>
      <c r="Q185" s="42" t="n">
        <v>18</v>
      </c>
      <c r="R185" s="65" t="n">
        <v>11.9</v>
      </c>
      <c r="S185" s="37" t="n">
        <v>24</v>
      </c>
      <c r="T185" s="37" t="n">
        <f aca="false">(H185+S185)*E185</f>
        <v>18249000</v>
      </c>
    </row>
    <row r="186" customFormat="false" ht="15" hidden="false" customHeight="false" outlineLevel="0" collapsed="false">
      <c r="A186" s="43" t="s">
        <v>3837</v>
      </c>
      <c r="B186" s="44" t="s">
        <v>3672</v>
      </c>
      <c r="C186" s="43" t="s">
        <v>2208</v>
      </c>
      <c r="D186" s="44" t="s">
        <v>3602</v>
      </c>
      <c r="E186" s="46" t="n">
        <v>62100</v>
      </c>
      <c r="F186" s="46" t="n">
        <v>79900</v>
      </c>
      <c r="G186" s="47" t="n">
        <f aca="false">(F186-E186)/E186</f>
        <v>0.286634460547504</v>
      </c>
      <c r="H186" s="46" t="n">
        <v>333</v>
      </c>
      <c r="I186" s="46" t="n">
        <v>33</v>
      </c>
      <c r="J186" s="46" t="n">
        <f aca="false">H186*E186</f>
        <v>20679300</v>
      </c>
      <c r="K186" s="45" t="n">
        <v>45449</v>
      </c>
      <c r="L186" s="70" t="n">
        <v>24.7</v>
      </c>
      <c r="M186" s="43" t="str">
        <f aca="false">IF(L186=0,"N/A",TEXT(H186/L186,"0.0"))</f>
        <v>13.5</v>
      </c>
      <c r="N186" s="43" t="str">
        <f aca="false">IF(H186=0,"Out of Stock",IF(H186&lt;I186,"Low Stock","In Stock"))</f>
        <v>In Stock</v>
      </c>
      <c r="O186" s="43" t="s">
        <v>3603</v>
      </c>
      <c r="P186" s="43" t="s">
        <v>3595</v>
      </c>
      <c r="Q186" s="51" t="n">
        <v>36</v>
      </c>
      <c r="R186" s="69" t="n">
        <v>14.34</v>
      </c>
      <c r="S186" s="46" t="n">
        <v>26</v>
      </c>
      <c r="T186" s="46" t="n">
        <f aca="false">(H186+S186)*E186</f>
        <v>22293900</v>
      </c>
    </row>
    <row r="187" customFormat="false" ht="15" hidden="false" customHeight="false" outlineLevel="0" collapsed="false">
      <c r="A187" s="34" t="s">
        <v>3838</v>
      </c>
      <c r="B187" s="35" t="s">
        <v>3674</v>
      </c>
      <c r="C187" s="34" t="s">
        <v>2103</v>
      </c>
      <c r="D187" s="35" t="s">
        <v>3602</v>
      </c>
      <c r="E187" s="37" t="n">
        <v>44700</v>
      </c>
      <c r="F187" s="37" t="n">
        <v>73400</v>
      </c>
      <c r="G187" s="38" t="n">
        <f aca="false">(F187-E187)/E187</f>
        <v>0.642058165548099</v>
      </c>
      <c r="H187" s="37" t="n">
        <v>80</v>
      </c>
      <c r="I187" s="37" t="n">
        <v>47</v>
      </c>
      <c r="J187" s="37" t="n">
        <f aca="false">H187*E187</f>
        <v>3576000</v>
      </c>
      <c r="K187" s="36" t="n">
        <v>45425</v>
      </c>
      <c r="L187" s="66" t="n">
        <v>31.4</v>
      </c>
      <c r="M187" s="34" t="str">
        <f aca="false">IF(L187=0,"N/A",TEXT(H187/L187,"0.0"))</f>
        <v>2.5</v>
      </c>
      <c r="N187" s="34" t="str">
        <f aca="false">IF(H187=0,"Out of Stock",IF(H187&lt;I187,"Low Stock","In Stock"))</f>
        <v>In Stock</v>
      </c>
      <c r="O187" s="34" t="s">
        <v>3615</v>
      </c>
      <c r="P187" s="34" t="s">
        <v>3595</v>
      </c>
      <c r="Q187" s="42" t="n">
        <v>24</v>
      </c>
      <c r="R187" s="65" t="n">
        <v>6.53</v>
      </c>
      <c r="S187" s="37" t="n">
        <v>16</v>
      </c>
      <c r="T187" s="37" t="n">
        <f aca="false">(H187+S187)*E187</f>
        <v>4291200</v>
      </c>
    </row>
    <row r="188" customFormat="false" ht="15" hidden="false" customHeight="false" outlineLevel="0" collapsed="false">
      <c r="A188" s="43" t="s">
        <v>3839</v>
      </c>
      <c r="B188" s="44" t="s">
        <v>3676</v>
      </c>
      <c r="C188" s="43" t="s">
        <v>2208</v>
      </c>
      <c r="D188" s="44" t="s">
        <v>3593</v>
      </c>
      <c r="E188" s="46" t="n">
        <v>87900</v>
      </c>
      <c r="F188" s="46" t="n">
        <v>117600</v>
      </c>
      <c r="G188" s="47" t="n">
        <f aca="false">(F188-E188)/E188</f>
        <v>0.337883959044369</v>
      </c>
      <c r="H188" s="46" t="n">
        <v>381</v>
      </c>
      <c r="I188" s="46" t="n">
        <v>48</v>
      </c>
      <c r="J188" s="46" t="n">
        <f aca="false">H188*E188</f>
        <v>33489900</v>
      </c>
      <c r="K188" s="45" t="n">
        <v>45629</v>
      </c>
      <c r="L188" s="70" t="n">
        <v>45.5</v>
      </c>
      <c r="M188" s="43" t="str">
        <f aca="false">IF(L188=0,"N/A",TEXT(H188/L188,"0.0"))</f>
        <v>8.4</v>
      </c>
      <c r="N188" s="43" t="str">
        <f aca="false">IF(H188=0,"Out of Stock",IF(H188&lt;I188,"Low Stock","In Stock"))</f>
        <v>In Stock</v>
      </c>
      <c r="O188" s="43" t="s">
        <v>3599</v>
      </c>
      <c r="P188" s="43" t="s">
        <v>3595</v>
      </c>
      <c r="Q188" s="51" t="n">
        <v>36</v>
      </c>
      <c r="R188" s="69" t="n">
        <v>9.65</v>
      </c>
      <c r="S188" s="46" t="n">
        <v>4</v>
      </c>
      <c r="T188" s="46" t="n">
        <f aca="false">(H188+S188)*E188</f>
        <v>33841500</v>
      </c>
    </row>
    <row r="189" customFormat="false" ht="15" hidden="false" customHeight="false" outlineLevel="0" collapsed="false">
      <c r="A189" s="34" t="s">
        <v>3840</v>
      </c>
      <c r="B189" s="35" t="s">
        <v>3678</v>
      </c>
      <c r="C189" s="34" t="s">
        <v>2208</v>
      </c>
      <c r="D189" s="35" t="s">
        <v>3631</v>
      </c>
      <c r="E189" s="37" t="n">
        <v>61900</v>
      </c>
      <c r="F189" s="37" t="n">
        <v>86400</v>
      </c>
      <c r="G189" s="38" t="n">
        <f aca="false">(F189-E189)/E189</f>
        <v>0.395799676898223</v>
      </c>
      <c r="H189" s="37" t="n">
        <v>378</v>
      </c>
      <c r="I189" s="37" t="n">
        <v>13</v>
      </c>
      <c r="J189" s="37" t="n">
        <f aca="false">H189*E189</f>
        <v>23398200</v>
      </c>
      <c r="K189" s="36" t="n">
        <v>45377</v>
      </c>
      <c r="L189" s="66" t="n">
        <v>61.2</v>
      </c>
      <c r="M189" s="34" t="str">
        <f aca="false">IF(L189=0,"N/A",TEXT(H189/L189,"0.0"))</f>
        <v>6.2</v>
      </c>
      <c r="N189" s="34" t="str">
        <f aca="false">IF(H189=0,"Out of Stock",IF(H189&lt;I189,"Low Stock","In Stock"))</f>
        <v>In Stock</v>
      </c>
      <c r="O189" s="34" t="s">
        <v>3594</v>
      </c>
      <c r="P189" s="34" t="s">
        <v>3595</v>
      </c>
      <c r="Q189" s="42" t="n">
        <v>36</v>
      </c>
      <c r="R189" s="65" t="n">
        <v>4.81</v>
      </c>
      <c r="S189" s="37" t="n">
        <v>15</v>
      </c>
      <c r="T189" s="37" t="n">
        <f aca="false">(H189+S189)*E189</f>
        <v>24326700</v>
      </c>
    </row>
    <row r="190" customFormat="false" ht="15" hidden="false" customHeight="false" outlineLevel="0" collapsed="false">
      <c r="A190" s="43" t="s">
        <v>3841</v>
      </c>
      <c r="B190" s="44" t="s">
        <v>3680</v>
      </c>
      <c r="C190" s="43" t="s">
        <v>2110</v>
      </c>
      <c r="D190" s="44" t="s">
        <v>3620</v>
      </c>
      <c r="E190" s="46" t="n">
        <v>103600</v>
      </c>
      <c r="F190" s="46" t="n">
        <v>129700</v>
      </c>
      <c r="G190" s="47" t="n">
        <f aca="false">(F190-E190)/E190</f>
        <v>0.251930501930502</v>
      </c>
      <c r="H190" s="46" t="n">
        <v>10</v>
      </c>
      <c r="I190" s="46" t="n">
        <v>5</v>
      </c>
      <c r="J190" s="46" t="n">
        <f aca="false">H190*E190</f>
        <v>1036000</v>
      </c>
      <c r="K190" s="45" t="n">
        <v>45489</v>
      </c>
      <c r="L190" s="70" t="n">
        <v>73.7</v>
      </c>
      <c r="M190" s="43" t="str">
        <f aca="false">IF(L190=0,"N/A",TEXT(H190/L190,"0.0"))</f>
        <v>0.1</v>
      </c>
      <c r="N190" s="43" t="str">
        <f aca="false">IF(H190=0,"Out of Stock",IF(H190&lt;I190,"Low Stock","In Stock"))</f>
        <v>In Stock</v>
      </c>
      <c r="O190" s="43" t="s">
        <v>3612</v>
      </c>
      <c r="P190" s="43" t="s">
        <v>3595</v>
      </c>
      <c r="Q190" s="51" t="n">
        <v>6</v>
      </c>
      <c r="R190" s="69" t="n">
        <v>0.89</v>
      </c>
      <c r="S190" s="46" t="n">
        <v>27</v>
      </c>
      <c r="T190" s="46" t="n">
        <f aca="false">(H190+S190)*E190</f>
        <v>3833200</v>
      </c>
    </row>
    <row r="191" customFormat="false" ht="15" hidden="false" customHeight="false" outlineLevel="0" collapsed="false">
      <c r="A191" s="34" t="s">
        <v>3842</v>
      </c>
      <c r="B191" s="35" t="s">
        <v>3682</v>
      </c>
      <c r="C191" s="34" t="s">
        <v>2103</v>
      </c>
      <c r="D191" s="35" t="s">
        <v>3598</v>
      </c>
      <c r="E191" s="37" t="n">
        <v>20200</v>
      </c>
      <c r="F191" s="37" t="n">
        <v>39700</v>
      </c>
      <c r="G191" s="38" t="n">
        <f aca="false">(F191-E191)/E191</f>
        <v>0.965346534653465</v>
      </c>
      <c r="H191" s="37" t="n">
        <v>157</v>
      </c>
      <c r="I191" s="37" t="n">
        <v>9</v>
      </c>
      <c r="J191" s="37" t="n">
        <f aca="false">H191*E191</f>
        <v>3171400</v>
      </c>
      <c r="K191" s="36" t="n">
        <v>45320</v>
      </c>
      <c r="L191" s="66" t="n">
        <v>29.7</v>
      </c>
      <c r="M191" s="34" t="str">
        <f aca="false">IF(L191=0,"N/A",TEXT(H191/L191,"0.0"))</f>
        <v>5.3</v>
      </c>
      <c r="N191" s="34" t="str">
        <f aca="false">IF(H191=0,"Out of Stock",IF(H191&lt;I191,"Low Stock","In Stock"))</f>
        <v>In Stock</v>
      </c>
      <c r="O191" s="34" t="s">
        <v>3603</v>
      </c>
      <c r="P191" s="34" t="s">
        <v>3595</v>
      </c>
      <c r="Q191" s="42" t="n">
        <v>24</v>
      </c>
      <c r="R191" s="65" t="n">
        <v>4.8</v>
      </c>
      <c r="S191" s="37" t="n">
        <v>29</v>
      </c>
      <c r="T191" s="37" t="n">
        <f aca="false">(H191+S191)*E191</f>
        <v>3757200</v>
      </c>
    </row>
    <row r="192" customFormat="false" ht="15" hidden="false" customHeight="false" outlineLevel="0" collapsed="false">
      <c r="A192" s="43" t="s">
        <v>3843</v>
      </c>
      <c r="B192" s="44" t="s">
        <v>3684</v>
      </c>
      <c r="C192" s="43" t="s">
        <v>2110</v>
      </c>
      <c r="D192" s="44" t="s">
        <v>3602</v>
      </c>
      <c r="E192" s="46" t="n">
        <v>38400</v>
      </c>
      <c r="F192" s="46" t="n">
        <v>55400</v>
      </c>
      <c r="G192" s="47" t="n">
        <f aca="false">(F192-E192)/E192</f>
        <v>0.442708333333333</v>
      </c>
      <c r="H192" s="46" t="n">
        <v>410</v>
      </c>
      <c r="I192" s="46" t="n">
        <v>40</v>
      </c>
      <c r="J192" s="46" t="n">
        <f aca="false">H192*E192</f>
        <v>15744000</v>
      </c>
      <c r="K192" s="45" t="n">
        <v>45545</v>
      </c>
      <c r="L192" s="70" t="n">
        <v>13.6</v>
      </c>
      <c r="M192" s="43" t="str">
        <f aca="false">IF(L192=0,"N/A",TEXT(H192/L192,"0.0"))</f>
        <v>30.1</v>
      </c>
      <c r="N192" s="43" t="str">
        <f aca="false">IF(H192=0,"Out of Stock",IF(H192&lt;I192,"Low Stock","In Stock"))</f>
        <v>In Stock</v>
      </c>
      <c r="O192" s="43" t="s">
        <v>3615</v>
      </c>
      <c r="P192" s="43" t="s">
        <v>3608</v>
      </c>
      <c r="Q192" s="51" t="n">
        <v>24</v>
      </c>
      <c r="R192" s="69" t="n">
        <v>2.37</v>
      </c>
      <c r="S192" s="46" t="n">
        <v>28</v>
      </c>
      <c r="T192" s="46" t="n">
        <f aca="false">(H192+S192)*E192</f>
        <v>16819200</v>
      </c>
    </row>
    <row r="193" customFormat="false" ht="15" hidden="false" customHeight="false" outlineLevel="0" collapsed="false">
      <c r="A193" s="34" t="s">
        <v>3844</v>
      </c>
      <c r="B193" s="35" t="s">
        <v>3686</v>
      </c>
      <c r="C193" s="34" t="s">
        <v>2244</v>
      </c>
      <c r="D193" s="35" t="s">
        <v>3611</v>
      </c>
      <c r="E193" s="37" t="n">
        <v>21200</v>
      </c>
      <c r="F193" s="37" t="n">
        <v>35000</v>
      </c>
      <c r="G193" s="38" t="n">
        <f aca="false">(F193-E193)/E193</f>
        <v>0.650943396226415</v>
      </c>
      <c r="H193" s="37" t="n">
        <v>321</v>
      </c>
      <c r="I193" s="37" t="n">
        <v>35</v>
      </c>
      <c r="J193" s="37" t="n">
        <f aca="false">H193*E193</f>
        <v>6805200</v>
      </c>
      <c r="K193" s="36" t="n">
        <v>45409</v>
      </c>
      <c r="L193" s="66" t="n">
        <v>56.3</v>
      </c>
      <c r="M193" s="34" t="str">
        <f aca="false">IF(L193=0,"N/A",TEXT(H193/L193,"0.0"))</f>
        <v>5.7</v>
      </c>
      <c r="N193" s="34" t="str">
        <f aca="false">IF(H193=0,"Out of Stock",IF(H193&lt;I193,"Low Stock","In Stock"))</f>
        <v>In Stock</v>
      </c>
      <c r="O193" s="34" t="s">
        <v>3615</v>
      </c>
      <c r="P193" s="34" t="s">
        <v>3595</v>
      </c>
      <c r="Q193" s="42" t="n">
        <v>12</v>
      </c>
      <c r="R193" s="65" t="n">
        <v>10.38</v>
      </c>
      <c r="S193" s="37" t="n">
        <v>8</v>
      </c>
      <c r="T193" s="37" t="n">
        <f aca="false">(H193+S193)*E193</f>
        <v>6974800</v>
      </c>
    </row>
    <row r="194" customFormat="false" ht="15" hidden="false" customHeight="false" outlineLevel="0" collapsed="false">
      <c r="A194" s="43" t="s">
        <v>3845</v>
      </c>
      <c r="B194" s="44" t="s">
        <v>3688</v>
      </c>
      <c r="C194" s="43" t="s">
        <v>2208</v>
      </c>
      <c r="D194" s="44" t="s">
        <v>3620</v>
      </c>
      <c r="E194" s="46" t="n">
        <v>99500</v>
      </c>
      <c r="F194" s="46" t="n">
        <v>122500</v>
      </c>
      <c r="G194" s="47" t="n">
        <f aca="false">(F194-E194)/E194</f>
        <v>0.231155778894472</v>
      </c>
      <c r="H194" s="46" t="n">
        <v>450</v>
      </c>
      <c r="I194" s="46" t="n">
        <v>29</v>
      </c>
      <c r="J194" s="46" t="n">
        <f aca="false">H194*E194</f>
        <v>44775000</v>
      </c>
      <c r="K194" s="45" t="n">
        <v>45594</v>
      </c>
      <c r="L194" s="70" t="n">
        <v>38.4</v>
      </c>
      <c r="M194" s="43" t="str">
        <f aca="false">IF(L194=0,"N/A",TEXT(H194/L194,"0.0"))</f>
        <v>11.7</v>
      </c>
      <c r="N194" s="43" t="str">
        <f aca="false">IF(H194=0,"Out of Stock",IF(H194&lt;I194,"Low Stock","In Stock"))</f>
        <v>In Stock</v>
      </c>
      <c r="O194" s="43" t="s">
        <v>3594</v>
      </c>
      <c r="P194" s="43" t="s">
        <v>3595</v>
      </c>
      <c r="Q194" s="51" t="n">
        <v>6</v>
      </c>
      <c r="R194" s="69" t="n">
        <v>2.64</v>
      </c>
      <c r="S194" s="46" t="n">
        <v>15</v>
      </c>
      <c r="T194" s="46" t="n">
        <f aca="false">(H194+S194)*E194</f>
        <v>46267500</v>
      </c>
    </row>
    <row r="195" customFormat="false" ht="15" hidden="false" customHeight="false" outlineLevel="0" collapsed="false">
      <c r="A195" s="34" t="s">
        <v>3846</v>
      </c>
      <c r="B195" s="35" t="s">
        <v>3690</v>
      </c>
      <c r="C195" s="34" t="s">
        <v>2208</v>
      </c>
      <c r="D195" s="35" t="s">
        <v>3593</v>
      </c>
      <c r="E195" s="37" t="n">
        <v>75400</v>
      </c>
      <c r="F195" s="37" t="n">
        <v>101400</v>
      </c>
      <c r="G195" s="38" t="n">
        <f aca="false">(F195-E195)/E195</f>
        <v>0.344827586206897</v>
      </c>
      <c r="H195" s="37" t="n">
        <v>457</v>
      </c>
      <c r="I195" s="37" t="n">
        <v>6</v>
      </c>
      <c r="J195" s="37" t="n">
        <f aca="false">H195*E195</f>
        <v>34457800</v>
      </c>
      <c r="K195" s="36" t="n">
        <v>45548</v>
      </c>
      <c r="L195" s="66" t="n">
        <v>77.7</v>
      </c>
      <c r="M195" s="34" t="str">
        <f aca="false">IF(L195=0,"N/A",TEXT(H195/L195,"0.0"))</f>
        <v>5.9</v>
      </c>
      <c r="N195" s="34" t="str">
        <f aca="false">IF(H195=0,"Out of Stock",IF(H195&lt;I195,"Low Stock","In Stock"))</f>
        <v>In Stock</v>
      </c>
      <c r="O195" s="34" t="s">
        <v>3612</v>
      </c>
      <c r="P195" s="34" t="s">
        <v>3595</v>
      </c>
      <c r="Q195" s="42" t="n">
        <v>18</v>
      </c>
      <c r="R195" s="65" t="n">
        <v>10.11</v>
      </c>
      <c r="S195" s="37" t="n">
        <v>30</v>
      </c>
      <c r="T195" s="37" t="n">
        <f aca="false">(H195+S195)*E195</f>
        <v>36719800</v>
      </c>
    </row>
    <row r="196" customFormat="false" ht="15" hidden="false" customHeight="false" outlineLevel="0" collapsed="false">
      <c r="A196" s="43" t="s">
        <v>3847</v>
      </c>
      <c r="B196" s="44" t="s">
        <v>3692</v>
      </c>
      <c r="C196" s="43" t="s">
        <v>2765</v>
      </c>
      <c r="D196" s="44" t="s">
        <v>3620</v>
      </c>
      <c r="E196" s="46" t="n">
        <v>23700</v>
      </c>
      <c r="F196" s="46" t="n">
        <v>31000</v>
      </c>
      <c r="G196" s="47" t="n">
        <f aca="false">(F196-E196)/E196</f>
        <v>0.308016877637131</v>
      </c>
      <c r="H196" s="46" t="n">
        <v>153</v>
      </c>
      <c r="I196" s="46" t="n">
        <v>48</v>
      </c>
      <c r="J196" s="46" t="n">
        <f aca="false">H196*E196</f>
        <v>3626100</v>
      </c>
      <c r="K196" s="45" t="n">
        <v>45582</v>
      </c>
      <c r="L196" s="70" t="n">
        <v>32.1</v>
      </c>
      <c r="M196" s="43" t="str">
        <f aca="false">IF(L196=0,"N/A",TEXT(H196/L196,"0.0"))</f>
        <v>4.8</v>
      </c>
      <c r="N196" s="43" t="str">
        <f aca="false">IF(H196=0,"Out of Stock",IF(H196&lt;I196,"Low Stock","In Stock"))</f>
        <v>In Stock</v>
      </c>
      <c r="O196" s="43" t="s">
        <v>3612</v>
      </c>
      <c r="P196" s="43" t="s">
        <v>3595</v>
      </c>
      <c r="Q196" s="51" t="n">
        <v>12</v>
      </c>
      <c r="R196" s="69" t="n">
        <v>1.75</v>
      </c>
      <c r="S196" s="46" t="n">
        <v>4</v>
      </c>
      <c r="T196" s="46" t="n">
        <f aca="false">(H196+S196)*E196</f>
        <v>3720900</v>
      </c>
    </row>
    <row r="197" customFormat="false" ht="15" hidden="false" customHeight="false" outlineLevel="0" collapsed="false">
      <c r="A197" s="34" t="s">
        <v>3848</v>
      </c>
      <c r="B197" s="35" t="s">
        <v>3694</v>
      </c>
      <c r="C197" s="34" t="s">
        <v>2110</v>
      </c>
      <c r="D197" s="35" t="s">
        <v>3607</v>
      </c>
      <c r="E197" s="37" t="n">
        <v>103500</v>
      </c>
      <c r="F197" s="37" t="n">
        <v>131100</v>
      </c>
      <c r="G197" s="38" t="n">
        <f aca="false">(F197-E197)/E197</f>
        <v>0.266666666666667</v>
      </c>
      <c r="H197" s="37" t="n">
        <v>308</v>
      </c>
      <c r="I197" s="37" t="n">
        <v>36</v>
      </c>
      <c r="J197" s="37" t="n">
        <f aca="false">H197*E197</f>
        <v>31878000</v>
      </c>
      <c r="K197" s="36" t="n">
        <v>45503</v>
      </c>
      <c r="L197" s="66" t="n">
        <v>2.3</v>
      </c>
      <c r="M197" s="34" t="str">
        <f aca="false">IF(L197=0,"N/A",TEXT(H197/L197,"0.0"))</f>
        <v>133.9</v>
      </c>
      <c r="N197" s="34" t="str">
        <f aca="false">IF(H197=0,"Out of Stock",IF(H197&lt;I197,"Low Stock","In Stock"))</f>
        <v>In Stock</v>
      </c>
      <c r="O197" s="34" t="s">
        <v>3612</v>
      </c>
      <c r="P197" s="34" t="s">
        <v>3595</v>
      </c>
      <c r="Q197" s="42" t="n">
        <v>12</v>
      </c>
      <c r="R197" s="65" t="n">
        <v>8.9</v>
      </c>
      <c r="S197" s="37" t="n">
        <v>28</v>
      </c>
      <c r="T197" s="37" t="n">
        <f aca="false">(H197+S197)*E197</f>
        <v>34776000</v>
      </c>
    </row>
    <row r="198" customFormat="false" ht="15" hidden="false" customHeight="false" outlineLevel="0" collapsed="false">
      <c r="A198" s="43" t="s">
        <v>3849</v>
      </c>
      <c r="B198" s="44" t="s">
        <v>2102</v>
      </c>
      <c r="C198" s="43" t="s">
        <v>2103</v>
      </c>
      <c r="D198" s="44" t="s">
        <v>3593</v>
      </c>
      <c r="E198" s="46" t="n">
        <v>37200</v>
      </c>
      <c r="F198" s="46" t="n">
        <v>73900</v>
      </c>
      <c r="G198" s="47" t="n">
        <f aca="false">(F198-E198)/E198</f>
        <v>0.986559139784946</v>
      </c>
      <c r="H198" s="46" t="n">
        <v>462</v>
      </c>
      <c r="I198" s="46" t="n">
        <v>6</v>
      </c>
      <c r="J198" s="46" t="n">
        <f aca="false">H198*E198</f>
        <v>17186400</v>
      </c>
      <c r="K198" s="45" t="n">
        <v>45327</v>
      </c>
      <c r="L198" s="70" t="n">
        <v>39.7</v>
      </c>
      <c r="M198" s="43" t="str">
        <f aca="false">IF(L198=0,"N/A",TEXT(H198/L198,"0.0"))</f>
        <v>11.6</v>
      </c>
      <c r="N198" s="43" t="str">
        <f aca="false">IF(H198=0,"Out of Stock",IF(H198&lt;I198,"Low Stock","In Stock"))</f>
        <v>In Stock</v>
      </c>
      <c r="O198" s="43" t="s">
        <v>3612</v>
      </c>
      <c r="P198" s="43" t="s">
        <v>3595</v>
      </c>
      <c r="Q198" s="51" t="n">
        <v>12</v>
      </c>
      <c r="R198" s="69" t="n">
        <v>2.59</v>
      </c>
      <c r="S198" s="46" t="n">
        <v>28</v>
      </c>
      <c r="T198" s="46" t="n">
        <f aca="false">(H198+S198)*E198</f>
        <v>18228000</v>
      </c>
    </row>
    <row r="199" customFormat="false" ht="15" hidden="false" customHeight="false" outlineLevel="0" collapsed="false">
      <c r="A199" s="34" t="s">
        <v>3850</v>
      </c>
      <c r="B199" s="35" t="s">
        <v>3697</v>
      </c>
      <c r="C199" s="34" t="s">
        <v>2208</v>
      </c>
      <c r="D199" s="35" t="s">
        <v>3611</v>
      </c>
      <c r="E199" s="37" t="n">
        <v>44700</v>
      </c>
      <c r="F199" s="37" t="n">
        <v>55100</v>
      </c>
      <c r="G199" s="38" t="n">
        <f aca="false">(F199-E199)/E199</f>
        <v>0.232662192393736</v>
      </c>
      <c r="H199" s="37" t="n">
        <v>383</v>
      </c>
      <c r="I199" s="37" t="n">
        <v>47</v>
      </c>
      <c r="J199" s="37" t="n">
        <f aca="false">H199*E199</f>
        <v>17120100</v>
      </c>
      <c r="K199" s="36" t="n">
        <v>45626</v>
      </c>
      <c r="L199" s="66" t="n">
        <v>37.2</v>
      </c>
      <c r="M199" s="34" t="str">
        <f aca="false">IF(L199=0,"N/A",TEXT(H199/L199,"0.0"))</f>
        <v>10.3</v>
      </c>
      <c r="N199" s="34" t="str">
        <f aca="false">IF(H199=0,"Out of Stock",IF(H199&lt;I199,"Low Stock","In Stock"))</f>
        <v>In Stock</v>
      </c>
      <c r="O199" s="34" t="s">
        <v>3599</v>
      </c>
      <c r="P199" s="34" t="s">
        <v>3608</v>
      </c>
      <c r="Q199" s="42" t="n">
        <v>6</v>
      </c>
      <c r="R199" s="65" t="n">
        <v>5.06</v>
      </c>
      <c r="S199" s="37" t="n">
        <v>2</v>
      </c>
      <c r="T199" s="37" t="n">
        <f aca="false">(H199+S199)*E199</f>
        <v>17209500</v>
      </c>
    </row>
    <row r="200" customFormat="false" ht="15" hidden="false" customHeight="false" outlineLevel="0" collapsed="false">
      <c r="A200" s="43" t="s">
        <v>3851</v>
      </c>
      <c r="B200" s="44" t="s">
        <v>3699</v>
      </c>
      <c r="C200" s="43" t="s">
        <v>3592</v>
      </c>
      <c r="D200" s="44" t="s">
        <v>3598</v>
      </c>
      <c r="E200" s="46" t="n">
        <v>75600</v>
      </c>
      <c r="F200" s="46" t="n">
        <v>91900</v>
      </c>
      <c r="G200" s="47" t="n">
        <f aca="false">(F200-E200)/E200</f>
        <v>0.215608465608466</v>
      </c>
      <c r="H200" s="46" t="n">
        <v>194</v>
      </c>
      <c r="I200" s="46" t="n">
        <v>17</v>
      </c>
      <c r="J200" s="46" t="n">
        <f aca="false">H200*E200</f>
        <v>14666400</v>
      </c>
      <c r="K200" s="45" t="n">
        <v>45651</v>
      </c>
      <c r="L200" s="70" t="n">
        <v>72.5</v>
      </c>
      <c r="M200" s="43" t="str">
        <f aca="false">IF(L200=0,"N/A",TEXT(H200/L200,"0.0"))</f>
        <v>2.7</v>
      </c>
      <c r="N200" s="43" t="str">
        <f aca="false">IF(H200=0,"Out of Stock",IF(H200&lt;I200,"Low Stock","In Stock"))</f>
        <v>In Stock</v>
      </c>
      <c r="O200" s="43" t="s">
        <v>3603</v>
      </c>
      <c r="P200" s="43" t="s">
        <v>3595</v>
      </c>
      <c r="Q200" s="51" t="n">
        <v>18</v>
      </c>
      <c r="R200" s="69" t="n">
        <v>5.89</v>
      </c>
      <c r="S200" s="46" t="n">
        <v>12</v>
      </c>
      <c r="T200" s="46" t="n">
        <f aca="false">(H200+S200)*E200</f>
        <v>15573600</v>
      </c>
    </row>
    <row r="201" customFormat="false" ht="15" hidden="false" customHeight="false" outlineLevel="0" collapsed="false">
      <c r="A201" s="34" t="s">
        <v>3852</v>
      </c>
      <c r="B201" s="35" t="s">
        <v>3701</v>
      </c>
      <c r="C201" s="34" t="s">
        <v>2765</v>
      </c>
      <c r="D201" s="35" t="s">
        <v>3607</v>
      </c>
      <c r="E201" s="37" t="n">
        <v>67600</v>
      </c>
      <c r="F201" s="37" t="n">
        <v>127300</v>
      </c>
      <c r="G201" s="38" t="n">
        <f aca="false">(F201-E201)/E201</f>
        <v>0.883136094674556</v>
      </c>
      <c r="H201" s="37" t="n">
        <v>401</v>
      </c>
      <c r="I201" s="37" t="n">
        <v>32</v>
      </c>
      <c r="J201" s="37" t="n">
        <f aca="false">H201*E201</f>
        <v>27107600</v>
      </c>
      <c r="K201" s="36" t="n">
        <v>45550</v>
      </c>
      <c r="L201" s="66" t="n">
        <v>33.2</v>
      </c>
      <c r="M201" s="34" t="str">
        <f aca="false">IF(L201=0,"N/A",TEXT(H201/L201,"0.0"))</f>
        <v>12.1</v>
      </c>
      <c r="N201" s="34" t="str">
        <f aca="false">IF(H201=0,"Out of Stock",IF(H201&lt;I201,"Low Stock","In Stock"))</f>
        <v>In Stock</v>
      </c>
      <c r="O201" s="34" t="s">
        <v>3612</v>
      </c>
      <c r="P201" s="34" t="s">
        <v>3608</v>
      </c>
      <c r="Q201" s="42" t="n">
        <v>18</v>
      </c>
      <c r="R201" s="65" t="n">
        <v>2.07</v>
      </c>
      <c r="S201" s="37" t="n">
        <v>10</v>
      </c>
      <c r="T201" s="37" t="n">
        <f aca="false">(H201+S201)*E201</f>
        <v>27783600</v>
      </c>
    </row>
    <row r="202" customFormat="false" ht="15" hidden="false" customHeight="false" outlineLevel="0" collapsed="false">
      <c r="A202" s="43" t="s">
        <v>3853</v>
      </c>
      <c r="B202" s="44" t="s">
        <v>3703</v>
      </c>
      <c r="C202" s="43" t="s">
        <v>2103</v>
      </c>
      <c r="D202" s="44" t="s">
        <v>3611</v>
      </c>
      <c r="E202" s="46" t="n">
        <v>37400</v>
      </c>
      <c r="F202" s="46" t="n">
        <v>52900</v>
      </c>
      <c r="G202" s="47" t="n">
        <f aca="false">(F202-E202)/E202</f>
        <v>0.414438502673797</v>
      </c>
      <c r="H202" s="46" t="n">
        <v>467</v>
      </c>
      <c r="I202" s="46" t="n">
        <v>33</v>
      </c>
      <c r="J202" s="46" t="n">
        <f aca="false">H202*E202</f>
        <v>17465800</v>
      </c>
      <c r="K202" s="45" t="n">
        <v>45487</v>
      </c>
      <c r="L202" s="70" t="n">
        <v>73.6</v>
      </c>
      <c r="M202" s="43" t="str">
        <f aca="false">IF(L202=0,"N/A",TEXT(H202/L202,"0.0"))</f>
        <v>6.3</v>
      </c>
      <c r="N202" s="43" t="str">
        <f aca="false">IF(H202=0,"Out of Stock",IF(H202&lt;I202,"Low Stock","In Stock"))</f>
        <v>In Stock</v>
      </c>
      <c r="O202" s="43" t="s">
        <v>3594</v>
      </c>
      <c r="P202" s="43" t="s">
        <v>3595</v>
      </c>
      <c r="Q202" s="51" t="n">
        <v>18</v>
      </c>
      <c r="R202" s="69" t="n">
        <v>12.1</v>
      </c>
      <c r="S202" s="46" t="n">
        <v>2</v>
      </c>
      <c r="T202" s="46" t="n">
        <f aca="false">(H202+S202)*E202</f>
        <v>17540600</v>
      </c>
    </row>
    <row r="203" customFormat="false" ht="15" hidden="false" customHeight="false" outlineLevel="0" collapsed="false">
      <c r="A203" s="34" t="s">
        <v>3854</v>
      </c>
      <c r="B203" s="35" t="s">
        <v>3591</v>
      </c>
      <c r="C203" s="34" t="s">
        <v>3592</v>
      </c>
      <c r="D203" s="35" t="s">
        <v>3607</v>
      </c>
      <c r="E203" s="37" t="n">
        <v>17300</v>
      </c>
      <c r="F203" s="37" t="n">
        <v>31900</v>
      </c>
      <c r="G203" s="38" t="n">
        <f aca="false">(F203-E203)/E203</f>
        <v>0.84393063583815</v>
      </c>
      <c r="H203" s="37" t="n">
        <v>54</v>
      </c>
      <c r="I203" s="37" t="n">
        <v>20</v>
      </c>
      <c r="J203" s="37" t="n">
        <f aca="false">H203*E203</f>
        <v>934200</v>
      </c>
      <c r="K203" s="36" t="n">
        <v>45330</v>
      </c>
      <c r="L203" s="66" t="n">
        <v>6.9</v>
      </c>
      <c r="M203" s="34" t="str">
        <f aca="false">IF(L203=0,"N/A",TEXT(H203/L203,"0.0"))</f>
        <v>7.8</v>
      </c>
      <c r="N203" s="34" t="str">
        <f aca="false">IF(H203=0,"Out of Stock",IF(H203&lt;I203,"Low Stock","In Stock"))</f>
        <v>In Stock</v>
      </c>
      <c r="O203" s="34" t="s">
        <v>3599</v>
      </c>
      <c r="P203" s="34" t="s">
        <v>3595</v>
      </c>
      <c r="Q203" s="42" t="n">
        <v>36</v>
      </c>
      <c r="R203" s="65" t="n">
        <v>1.07</v>
      </c>
      <c r="S203" s="37" t="n">
        <v>11</v>
      </c>
      <c r="T203" s="37" t="n">
        <f aca="false">(H203+S203)*E203</f>
        <v>1124500</v>
      </c>
    </row>
    <row r="204" customFormat="false" ht="15" hidden="false" customHeight="false" outlineLevel="0" collapsed="false">
      <c r="A204" s="43" t="s">
        <v>3855</v>
      </c>
      <c r="B204" s="44" t="s">
        <v>3597</v>
      </c>
      <c r="C204" s="43" t="s">
        <v>2181</v>
      </c>
      <c r="D204" s="44" t="s">
        <v>3620</v>
      </c>
      <c r="E204" s="46" t="n">
        <v>1700</v>
      </c>
      <c r="F204" s="46" t="n">
        <v>3000</v>
      </c>
      <c r="G204" s="47" t="n">
        <f aca="false">(F204-E204)/E204</f>
        <v>0.764705882352941</v>
      </c>
      <c r="H204" s="46" t="n">
        <v>377</v>
      </c>
      <c r="I204" s="46" t="n">
        <v>26</v>
      </c>
      <c r="J204" s="46" t="n">
        <f aca="false">H204*E204</f>
        <v>640900</v>
      </c>
      <c r="K204" s="45" t="n">
        <v>45593</v>
      </c>
      <c r="L204" s="70" t="n">
        <v>69.7</v>
      </c>
      <c r="M204" s="43" t="str">
        <f aca="false">IF(L204=0,"N/A",TEXT(H204/L204,"0.0"))</f>
        <v>5.4</v>
      </c>
      <c r="N204" s="43" t="str">
        <f aca="false">IF(H204=0,"Out of Stock",IF(H204&lt;I204,"Low Stock","In Stock"))</f>
        <v>In Stock</v>
      </c>
      <c r="O204" s="43" t="s">
        <v>3603</v>
      </c>
      <c r="P204" s="43" t="s">
        <v>3595</v>
      </c>
      <c r="Q204" s="51" t="n">
        <v>36</v>
      </c>
      <c r="R204" s="69" t="n">
        <v>1.15</v>
      </c>
      <c r="S204" s="46" t="n">
        <v>19</v>
      </c>
      <c r="T204" s="46" t="n">
        <f aca="false">(H204+S204)*E204</f>
        <v>673200</v>
      </c>
    </row>
    <row r="205" customFormat="false" ht="15" hidden="false" customHeight="false" outlineLevel="0" collapsed="false">
      <c r="A205" s="34" t="s">
        <v>3856</v>
      </c>
      <c r="B205" s="35" t="s">
        <v>3601</v>
      </c>
      <c r="C205" s="34" t="s">
        <v>2181</v>
      </c>
      <c r="D205" s="35" t="s">
        <v>3598</v>
      </c>
      <c r="E205" s="37" t="n">
        <v>14300</v>
      </c>
      <c r="F205" s="37" t="n">
        <v>24200</v>
      </c>
      <c r="G205" s="38" t="n">
        <f aca="false">(F205-E205)/E205</f>
        <v>0.692307692307692</v>
      </c>
      <c r="H205" s="37" t="n">
        <v>28</v>
      </c>
      <c r="I205" s="37" t="n">
        <v>50</v>
      </c>
      <c r="J205" s="37" t="n">
        <f aca="false">H205*E205</f>
        <v>400400</v>
      </c>
      <c r="K205" s="36" t="n">
        <v>45375</v>
      </c>
      <c r="L205" s="66" t="n">
        <v>12</v>
      </c>
      <c r="M205" s="34" t="str">
        <f aca="false">IF(L205=0,"N/A",TEXT(H205/L205,"0.0"))</f>
        <v>2.3</v>
      </c>
      <c r="N205" s="34" t="str">
        <f aca="false">IF(H205=0,"Out of Stock",IF(H205&lt;I205,"Low Stock","In Stock"))</f>
        <v>Low Stock</v>
      </c>
      <c r="O205" s="34" t="s">
        <v>3599</v>
      </c>
      <c r="P205" s="34" t="s">
        <v>3595</v>
      </c>
      <c r="Q205" s="42" t="n">
        <v>6</v>
      </c>
      <c r="R205" s="65" t="n">
        <v>11.22</v>
      </c>
      <c r="S205" s="37" t="n">
        <v>29</v>
      </c>
      <c r="T205" s="37" t="n">
        <f aca="false">(H205+S205)*E205</f>
        <v>815100</v>
      </c>
    </row>
    <row r="206" customFormat="false" ht="15" hidden="false" customHeight="false" outlineLevel="0" collapsed="false">
      <c r="A206" s="43" t="s">
        <v>3857</v>
      </c>
      <c r="B206" s="44" t="s">
        <v>3606</v>
      </c>
      <c r="C206" s="43" t="s">
        <v>2110</v>
      </c>
      <c r="D206" s="44" t="s">
        <v>3620</v>
      </c>
      <c r="E206" s="46" t="n">
        <v>1000</v>
      </c>
      <c r="F206" s="46" t="n">
        <v>1500</v>
      </c>
      <c r="G206" s="47" t="n">
        <f aca="false">(F206-E206)/E206</f>
        <v>0.5</v>
      </c>
      <c r="H206" s="46" t="n">
        <v>351</v>
      </c>
      <c r="I206" s="46" t="n">
        <v>19</v>
      </c>
      <c r="J206" s="46" t="n">
        <f aca="false">H206*E206</f>
        <v>351000</v>
      </c>
      <c r="K206" s="45" t="n">
        <v>45419</v>
      </c>
      <c r="L206" s="70" t="n">
        <v>17.6</v>
      </c>
      <c r="M206" s="43" t="str">
        <f aca="false">IF(L206=0,"N/A",TEXT(H206/L206,"0.0"))</f>
        <v>19.9</v>
      </c>
      <c r="N206" s="43" t="str">
        <f aca="false">IF(H206=0,"Out of Stock",IF(H206&lt;I206,"Low Stock","In Stock"))</f>
        <v>In Stock</v>
      </c>
      <c r="O206" s="43" t="s">
        <v>3594</v>
      </c>
      <c r="P206" s="43" t="s">
        <v>3595</v>
      </c>
      <c r="Q206" s="51" t="n">
        <v>18</v>
      </c>
      <c r="R206" s="69" t="n">
        <v>1.28</v>
      </c>
      <c r="S206" s="46" t="n">
        <v>22</v>
      </c>
      <c r="T206" s="46" t="n">
        <f aca="false">(H206+S206)*E206</f>
        <v>373000</v>
      </c>
    </row>
    <row r="207" customFormat="false" ht="15" hidden="false" customHeight="false" outlineLevel="0" collapsed="false">
      <c r="A207" s="34" t="s">
        <v>3858</v>
      </c>
      <c r="B207" s="35" t="s">
        <v>3610</v>
      </c>
      <c r="C207" s="34" t="s">
        <v>2208</v>
      </c>
      <c r="D207" s="35" t="s">
        <v>3607</v>
      </c>
      <c r="E207" s="37" t="n">
        <v>26300</v>
      </c>
      <c r="F207" s="37" t="n">
        <v>46500</v>
      </c>
      <c r="G207" s="38" t="n">
        <f aca="false">(F207-E207)/E207</f>
        <v>0.768060836501901</v>
      </c>
      <c r="H207" s="37" t="n">
        <v>253</v>
      </c>
      <c r="I207" s="37" t="n">
        <v>43</v>
      </c>
      <c r="J207" s="37" t="n">
        <f aca="false">H207*E207</f>
        <v>6653900</v>
      </c>
      <c r="K207" s="36" t="n">
        <v>45548</v>
      </c>
      <c r="L207" s="66" t="n">
        <v>56.8</v>
      </c>
      <c r="M207" s="34" t="str">
        <f aca="false">IF(L207=0,"N/A",TEXT(H207/L207,"0.0"))</f>
        <v>4.5</v>
      </c>
      <c r="N207" s="34" t="str">
        <f aca="false">IF(H207=0,"Out of Stock",IF(H207&lt;I207,"Low Stock","In Stock"))</f>
        <v>In Stock</v>
      </c>
      <c r="O207" s="34" t="s">
        <v>3615</v>
      </c>
      <c r="P207" s="34" t="s">
        <v>3604</v>
      </c>
      <c r="Q207" s="42" t="n">
        <v>36</v>
      </c>
      <c r="R207" s="65" t="n">
        <v>4.39</v>
      </c>
      <c r="S207" s="37" t="n">
        <v>15</v>
      </c>
      <c r="T207" s="37" t="n">
        <f aca="false">(H207+S207)*E207</f>
        <v>7048400</v>
      </c>
    </row>
    <row r="208" customFormat="false" ht="15" hidden="false" customHeight="false" outlineLevel="0" collapsed="false">
      <c r="A208" s="43" t="s">
        <v>3859</v>
      </c>
      <c r="B208" s="44" t="s">
        <v>3614</v>
      </c>
      <c r="C208" s="43" t="s">
        <v>2103</v>
      </c>
      <c r="D208" s="44" t="s">
        <v>3593</v>
      </c>
      <c r="E208" s="46" t="n">
        <v>1300</v>
      </c>
      <c r="F208" s="46" t="n">
        <v>1600</v>
      </c>
      <c r="G208" s="47" t="n">
        <f aca="false">(F208-E208)/E208</f>
        <v>0.230769230769231</v>
      </c>
      <c r="H208" s="46" t="n">
        <v>498</v>
      </c>
      <c r="I208" s="46" t="n">
        <v>17</v>
      </c>
      <c r="J208" s="46" t="n">
        <f aca="false">H208*E208</f>
        <v>647400</v>
      </c>
      <c r="K208" s="45" t="n">
        <v>45648</v>
      </c>
      <c r="L208" s="70" t="n">
        <v>21.8</v>
      </c>
      <c r="M208" s="43" t="str">
        <f aca="false">IF(L208=0,"N/A",TEXT(H208/L208,"0.0"))</f>
        <v>22.8</v>
      </c>
      <c r="N208" s="43" t="str">
        <f aca="false">IF(H208=0,"Out of Stock",IF(H208&lt;I208,"Low Stock","In Stock"))</f>
        <v>In Stock</v>
      </c>
      <c r="O208" s="43" t="s">
        <v>3615</v>
      </c>
      <c r="P208" s="43" t="s">
        <v>3595</v>
      </c>
      <c r="Q208" s="51" t="n">
        <v>12</v>
      </c>
      <c r="R208" s="69" t="n">
        <v>8.18</v>
      </c>
      <c r="S208" s="46" t="n">
        <v>28</v>
      </c>
      <c r="T208" s="46" t="n">
        <f aca="false">(H208+S208)*E208</f>
        <v>683800</v>
      </c>
    </row>
    <row r="209" customFormat="false" ht="15" hidden="false" customHeight="false" outlineLevel="0" collapsed="false">
      <c r="A209" s="34" t="s">
        <v>3860</v>
      </c>
      <c r="B209" s="35" t="s">
        <v>3617</v>
      </c>
      <c r="C209" s="34" t="s">
        <v>2103</v>
      </c>
      <c r="D209" s="35" t="s">
        <v>3602</v>
      </c>
      <c r="E209" s="37" t="n">
        <v>111700</v>
      </c>
      <c r="F209" s="37" t="n">
        <v>162800</v>
      </c>
      <c r="G209" s="38" t="n">
        <f aca="false">(F209-E209)/E209</f>
        <v>0.457475380483438</v>
      </c>
      <c r="H209" s="37" t="n">
        <v>116</v>
      </c>
      <c r="I209" s="37" t="n">
        <v>15</v>
      </c>
      <c r="J209" s="37" t="n">
        <f aca="false">H209*E209</f>
        <v>12957200</v>
      </c>
      <c r="K209" s="36" t="n">
        <v>45591</v>
      </c>
      <c r="L209" s="66" t="n">
        <v>32.2</v>
      </c>
      <c r="M209" s="34" t="str">
        <f aca="false">IF(L209=0,"N/A",TEXT(H209/L209,"0.0"))</f>
        <v>3.6</v>
      </c>
      <c r="N209" s="34" t="str">
        <f aca="false">IF(H209=0,"Out of Stock",IF(H209&lt;I209,"Low Stock","In Stock"))</f>
        <v>In Stock</v>
      </c>
      <c r="O209" s="34" t="s">
        <v>3603</v>
      </c>
      <c r="P209" s="34" t="s">
        <v>3608</v>
      </c>
      <c r="Q209" s="42" t="n">
        <v>36</v>
      </c>
      <c r="R209" s="65" t="n">
        <v>8.93</v>
      </c>
      <c r="S209" s="37" t="n">
        <v>26</v>
      </c>
      <c r="T209" s="37" t="n">
        <f aca="false">(H209+S209)*E209</f>
        <v>15861400</v>
      </c>
    </row>
    <row r="210" customFormat="false" ht="15" hidden="false" customHeight="false" outlineLevel="0" collapsed="false">
      <c r="A210" s="43" t="s">
        <v>3861</v>
      </c>
      <c r="B210" s="44" t="s">
        <v>3619</v>
      </c>
      <c r="C210" s="43" t="s">
        <v>2110</v>
      </c>
      <c r="D210" s="44" t="s">
        <v>3631</v>
      </c>
      <c r="E210" s="46" t="n">
        <v>29100</v>
      </c>
      <c r="F210" s="46" t="n">
        <v>44800</v>
      </c>
      <c r="G210" s="47" t="n">
        <f aca="false">(F210-E210)/E210</f>
        <v>0.539518900343643</v>
      </c>
      <c r="H210" s="46" t="n">
        <v>422</v>
      </c>
      <c r="I210" s="46" t="n">
        <v>27</v>
      </c>
      <c r="J210" s="46" t="n">
        <f aca="false">H210*E210</f>
        <v>12280200</v>
      </c>
      <c r="K210" s="45" t="n">
        <v>45373</v>
      </c>
      <c r="L210" s="70" t="n">
        <v>59.1</v>
      </c>
      <c r="M210" s="43" t="str">
        <f aca="false">IF(L210=0,"N/A",TEXT(H210/L210,"0.0"))</f>
        <v>7.1</v>
      </c>
      <c r="N210" s="43" t="str">
        <f aca="false">IF(H210=0,"Out of Stock",IF(H210&lt;I210,"Low Stock","In Stock"))</f>
        <v>In Stock</v>
      </c>
      <c r="O210" s="43" t="s">
        <v>3612</v>
      </c>
      <c r="P210" s="43" t="s">
        <v>3595</v>
      </c>
      <c r="Q210" s="51" t="n">
        <v>18</v>
      </c>
      <c r="R210" s="69" t="n">
        <v>0.2</v>
      </c>
      <c r="S210" s="46" t="n">
        <v>16</v>
      </c>
      <c r="T210" s="46" t="n">
        <f aca="false">(H210+S210)*E210</f>
        <v>12745800</v>
      </c>
    </row>
    <row r="211" customFormat="false" ht="15" hidden="false" customHeight="false" outlineLevel="0" collapsed="false">
      <c r="A211" s="34" t="s">
        <v>3862</v>
      </c>
      <c r="B211" s="35" t="s">
        <v>3622</v>
      </c>
      <c r="C211" s="34" t="s">
        <v>3592</v>
      </c>
      <c r="D211" s="35" t="s">
        <v>3620</v>
      </c>
      <c r="E211" s="37" t="n">
        <v>8700</v>
      </c>
      <c r="F211" s="37" t="n">
        <v>13900</v>
      </c>
      <c r="G211" s="38" t="n">
        <f aca="false">(F211-E211)/E211</f>
        <v>0.597701149425287</v>
      </c>
      <c r="H211" s="37" t="n">
        <v>462</v>
      </c>
      <c r="I211" s="37" t="n">
        <v>8</v>
      </c>
      <c r="J211" s="37" t="n">
        <f aca="false">H211*E211</f>
        <v>4019400</v>
      </c>
      <c r="K211" s="36" t="n">
        <v>45390</v>
      </c>
      <c r="L211" s="66" t="n">
        <v>50</v>
      </c>
      <c r="M211" s="34" t="str">
        <f aca="false">IF(L211=0,"N/A",TEXT(H211/L211,"0.0"))</f>
        <v>9.2</v>
      </c>
      <c r="N211" s="34" t="str">
        <f aca="false">IF(H211=0,"Out of Stock",IF(H211&lt;I211,"Low Stock","In Stock"))</f>
        <v>In Stock</v>
      </c>
      <c r="O211" s="34" t="s">
        <v>3615</v>
      </c>
      <c r="P211" s="34" t="s">
        <v>3595</v>
      </c>
      <c r="Q211" s="42" t="n">
        <v>24</v>
      </c>
      <c r="R211" s="65" t="n">
        <v>6.51</v>
      </c>
      <c r="S211" s="37" t="n">
        <v>26</v>
      </c>
      <c r="T211" s="37" t="n">
        <f aca="false">(H211+S211)*E211</f>
        <v>4245600</v>
      </c>
    </row>
    <row r="212" customFormat="false" ht="15" hidden="false" customHeight="false" outlineLevel="0" collapsed="false">
      <c r="A212" s="43" t="s">
        <v>3863</v>
      </c>
      <c r="B212" s="44" t="s">
        <v>3624</v>
      </c>
      <c r="C212" s="43" t="s">
        <v>2765</v>
      </c>
      <c r="D212" s="44" t="s">
        <v>3593</v>
      </c>
      <c r="E212" s="46" t="n">
        <v>101600</v>
      </c>
      <c r="F212" s="46" t="n">
        <v>196400</v>
      </c>
      <c r="G212" s="47" t="n">
        <f aca="false">(F212-E212)/E212</f>
        <v>0.933070866141732</v>
      </c>
      <c r="H212" s="46" t="n">
        <v>185</v>
      </c>
      <c r="I212" s="46" t="n">
        <v>49</v>
      </c>
      <c r="J212" s="46" t="n">
        <f aca="false">H212*E212</f>
        <v>18796000</v>
      </c>
      <c r="K212" s="45" t="n">
        <v>45597</v>
      </c>
      <c r="L212" s="70" t="n">
        <v>54.8</v>
      </c>
      <c r="M212" s="43" t="str">
        <f aca="false">IF(L212=0,"N/A",TEXT(H212/L212,"0.0"))</f>
        <v>3.4</v>
      </c>
      <c r="N212" s="43" t="str">
        <f aca="false">IF(H212=0,"Out of Stock",IF(H212&lt;I212,"Low Stock","In Stock"))</f>
        <v>In Stock</v>
      </c>
      <c r="O212" s="43" t="s">
        <v>3612</v>
      </c>
      <c r="P212" s="43" t="s">
        <v>3595</v>
      </c>
      <c r="Q212" s="51" t="n">
        <v>36</v>
      </c>
      <c r="R212" s="69" t="n">
        <v>14.39</v>
      </c>
      <c r="S212" s="46" t="n">
        <v>21</v>
      </c>
      <c r="T212" s="46" t="n">
        <f aca="false">(H212+S212)*E212</f>
        <v>20929600</v>
      </c>
    </row>
    <row r="213" customFormat="false" ht="15" hidden="false" customHeight="false" outlineLevel="0" collapsed="false">
      <c r="A213" s="34" t="s">
        <v>3864</v>
      </c>
      <c r="B213" s="35" t="s">
        <v>3626</v>
      </c>
      <c r="C213" s="34" t="s">
        <v>2208</v>
      </c>
      <c r="D213" s="35" t="s">
        <v>3631</v>
      </c>
      <c r="E213" s="37" t="n">
        <v>97700</v>
      </c>
      <c r="F213" s="37" t="n">
        <v>180600</v>
      </c>
      <c r="G213" s="38" t="n">
        <f aca="false">(F213-E213)/E213</f>
        <v>0.848515864892528</v>
      </c>
      <c r="H213" s="37" t="n">
        <v>189</v>
      </c>
      <c r="I213" s="37" t="n">
        <v>36</v>
      </c>
      <c r="J213" s="37" t="n">
        <f aca="false">H213*E213</f>
        <v>18465300</v>
      </c>
      <c r="K213" s="36" t="n">
        <v>45459</v>
      </c>
      <c r="L213" s="66" t="n">
        <v>24.7</v>
      </c>
      <c r="M213" s="34" t="str">
        <f aca="false">IF(L213=0,"N/A",TEXT(H213/L213,"0.0"))</f>
        <v>7.7</v>
      </c>
      <c r="N213" s="34" t="str">
        <f aca="false">IF(H213=0,"Out of Stock",IF(H213&lt;I213,"Low Stock","In Stock"))</f>
        <v>In Stock</v>
      </c>
      <c r="O213" s="34" t="s">
        <v>3599</v>
      </c>
      <c r="P213" s="34" t="s">
        <v>3608</v>
      </c>
      <c r="Q213" s="42" t="n">
        <v>12</v>
      </c>
      <c r="R213" s="65" t="n">
        <v>4.77</v>
      </c>
      <c r="S213" s="37" t="n">
        <v>15</v>
      </c>
      <c r="T213" s="37" t="n">
        <f aca="false">(H213+S213)*E213</f>
        <v>19930800</v>
      </c>
    </row>
    <row r="214" customFormat="false" ht="15" hidden="false" customHeight="false" outlineLevel="0" collapsed="false">
      <c r="A214" s="43" t="s">
        <v>3865</v>
      </c>
      <c r="B214" s="44" t="s">
        <v>3628</v>
      </c>
      <c r="C214" s="43" t="s">
        <v>2103</v>
      </c>
      <c r="D214" s="44" t="s">
        <v>3620</v>
      </c>
      <c r="E214" s="46" t="n">
        <v>91000</v>
      </c>
      <c r="F214" s="46" t="n">
        <v>134900</v>
      </c>
      <c r="G214" s="47" t="n">
        <f aca="false">(F214-E214)/E214</f>
        <v>0.482417582417582</v>
      </c>
      <c r="H214" s="46" t="n">
        <v>238</v>
      </c>
      <c r="I214" s="46" t="n">
        <v>34</v>
      </c>
      <c r="J214" s="46" t="n">
        <f aca="false">H214*E214</f>
        <v>21658000</v>
      </c>
      <c r="K214" s="45" t="n">
        <v>45451</v>
      </c>
      <c r="L214" s="70" t="n">
        <v>26.6</v>
      </c>
      <c r="M214" s="43" t="str">
        <f aca="false">IF(L214=0,"N/A",TEXT(H214/L214,"0.0"))</f>
        <v>8.9</v>
      </c>
      <c r="N214" s="43" t="str">
        <f aca="false">IF(H214=0,"Out of Stock",IF(H214&lt;I214,"Low Stock","In Stock"))</f>
        <v>In Stock</v>
      </c>
      <c r="O214" s="43" t="s">
        <v>3603</v>
      </c>
      <c r="P214" s="43" t="s">
        <v>3604</v>
      </c>
      <c r="Q214" s="51" t="n">
        <v>24</v>
      </c>
      <c r="R214" s="69" t="n">
        <v>12.71</v>
      </c>
      <c r="S214" s="46" t="n">
        <v>25</v>
      </c>
      <c r="T214" s="46" t="n">
        <f aca="false">(H214+S214)*E214</f>
        <v>23933000</v>
      </c>
    </row>
    <row r="215" customFormat="false" ht="15" hidden="false" customHeight="false" outlineLevel="0" collapsed="false">
      <c r="A215" s="34" t="s">
        <v>3866</v>
      </c>
      <c r="B215" s="35" t="s">
        <v>3630</v>
      </c>
      <c r="C215" s="34" t="s">
        <v>2208</v>
      </c>
      <c r="D215" s="35" t="s">
        <v>3602</v>
      </c>
      <c r="E215" s="37" t="n">
        <v>19100</v>
      </c>
      <c r="F215" s="37" t="n">
        <v>34200</v>
      </c>
      <c r="G215" s="38" t="n">
        <f aca="false">(F215-E215)/E215</f>
        <v>0.790575916230367</v>
      </c>
      <c r="H215" s="37" t="n">
        <v>197</v>
      </c>
      <c r="I215" s="37" t="n">
        <v>31</v>
      </c>
      <c r="J215" s="37" t="n">
        <f aca="false">H215*E215</f>
        <v>3762700</v>
      </c>
      <c r="K215" s="36" t="n">
        <v>45507</v>
      </c>
      <c r="L215" s="66" t="n">
        <v>76</v>
      </c>
      <c r="M215" s="34" t="str">
        <f aca="false">IF(L215=0,"N/A",TEXT(H215/L215,"0.0"))</f>
        <v>2.6</v>
      </c>
      <c r="N215" s="34" t="str">
        <f aca="false">IF(H215=0,"Out of Stock",IF(H215&lt;I215,"Low Stock","In Stock"))</f>
        <v>In Stock</v>
      </c>
      <c r="O215" s="34" t="s">
        <v>3603</v>
      </c>
      <c r="P215" s="34" t="s">
        <v>3595</v>
      </c>
      <c r="Q215" s="42" t="n">
        <v>18</v>
      </c>
      <c r="R215" s="65" t="n">
        <v>2.18</v>
      </c>
      <c r="S215" s="37" t="n">
        <v>27</v>
      </c>
      <c r="T215" s="37" t="n">
        <f aca="false">(H215+S215)*E215</f>
        <v>4278400</v>
      </c>
    </row>
    <row r="216" customFormat="false" ht="15" hidden="false" customHeight="false" outlineLevel="0" collapsed="false">
      <c r="A216" s="43" t="s">
        <v>3867</v>
      </c>
      <c r="B216" s="44" t="s">
        <v>3633</v>
      </c>
      <c r="C216" s="43" t="s">
        <v>2208</v>
      </c>
      <c r="D216" s="44" t="s">
        <v>3631</v>
      </c>
      <c r="E216" s="46" t="n">
        <v>2300</v>
      </c>
      <c r="F216" s="46" t="n">
        <v>3600</v>
      </c>
      <c r="G216" s="47" t="n">
        <f aca="false">(F216-E216)/E216</f>
        <v>0.565217391304348</v>
      </c>
      <c r="H216" s="46" t="n">
        <v>418</v>
      </c>
      <c r="I216" s="46" t="n">
        <v>47</v>
      </c>
      <c r="J216" s="46" t="n">
        <f aca="false">H216*E216</f>
        <v>961400</v>
      </c>
      <c r="K216" s="45" t="n">
        <v>45315</v>
      </c>
      <c r="L216" s="70" t="n">
        <v>72.5</v>
      </c>
      <c r="M216" s="43" t="str">
        <f aca="false">IF(L216=0,"N/A",TEXT(H216/L216,"0.0"))</f>
        <v>5.8</v>
      </c>
      <c r="N216" s="43" t="str">
        <f aca="false">IF(H216=0,"Out of Stock",IF(H216&lt;I216,"Low Stock","In Stock"))</f>
        <v>In Stock</v>
      </c>
      <c r="O216" s="43" t="s">
        <v>3599</v>
      </c>
      <c r="P216" s="43" t="s">
        <v>3595</v>
      </c>
      <c r="Q216" s="51" t="n">
        <v>12</v>
      </c>
      <c r="R216" s="69" t="n">
        <v>8.93</v>
      </c>
      <c r="S216" s="46" t="n">
        <v>4</v>
      </c>
      <c r="T216" s="46" t="n">
        <f aca="false">(H216+S216)*E216</f>
        <v>970600</v>
      </c>
    </row>
    <row r="217" customFormat="false" ht="15" hidden="false" customHeight="false" outlineLevel="0" collapsed="false">
      <c r="A217" s="34" t="s">
        <v>3868</v>
      </c>
      <c r="B217" s="35" t="s">
        <v>3635</v>
      </c>
      <c r="C217" s="34" t="s">
        <v>3592</v>
      </c>
      <c r="D217" s="35" t="s">
        <v>3611</v>
      </c>
      <c r="E217" s="37" t="n">
        <v>62400</v>
      </c>
      <c r="F217" s="37" t="n">
        <v>82400</v>
      </c>
      <c r="G217" s="38" t="n">
        <f aca="false">(F217-E217)/E217</f>
        <v>0.320512820512821</v>
      </c>
      <c r="H217" s="37" t="n">
        <v>172</v>
      </c>
      <c r="I217" s="37" t="n">
        <v>17</v>
      </c>
      <c r="J217" s="37" t="n">
        <f aca="false">H217*E217</f>
        <v>10732800</v>
      </c>
      <c r="K217" s="36" t="n">
        <v>45655</v>
      </c>
      <c r="L217" s="66" t="n">
        <v>2.7</v>
      </c>
      <c r="M217" s="34" t="str">
        <f aca="false">IF(L217=0,"N/A",TEXT(H217/L217,"0.0"))</f>
        <v>63.7</v>
      </c>
      <c r="N217" s="34" t="str">
        <f aca="false">IF(H217=0,"Out of Stock",IF(H217&lt;I217,"Low Stock","In Stock"))</f>
        <v>In Stock</v>
      </c>
      <c r="O217" s="34" t="s">
        <v>3612</v>
      </c>
      <c r="P217" s="34" t="s">
        <v>3595</v>
      </c>
      <c r="Q217" s="42" t="n">
        <v>36</v>
      </c>
      <c r="R217" s="65" t="n">
        <v>2.46</v>
      </c>
      <c r="S217" s="37" t="n">
        <v>12</v>
      </c>
      <c r="T217" s="37" t="n">
        <f aca="false">(H217+S217)*E217</f>
        <v>11481600</v>
      </c>
    </row>
    <row r="218" customFormat="false" ht="15" hidden="false" customHeight="false" outlineLevel="0" collapsed="false">
      <c r="A218" s="43" t="s">
        <v>3869</v>
      </c>
      <c r="B218" s="44" t="s">
        <v>3637</v>
      </c>
      <c r="C218" s="43" t="s">
        <v>2103</v>
      </c>
      <c r="D218" s="44" t="s">
        <v>3611</v>
      </c>
      <c r="E218" s="46" t="n">
        <v>80000</v>
      </c>
      <c r="F218" s="46" t="n">
        <v>142300</v>
      </c>
      <c r="G218" s="47" t="n">
        <f aca="false">(F218-E218)/E218</f>
        <v>0.77875</v>
      </c>
      <c r="H218" s="46" t="n">
        <v>221</v>
      </c>
      <c r="I218" s="46" t="n">
        <v>32</v>
      </c>
      <c r="J218" s="46" t="n">
        <f aca="false">H218*E218</f>
        <v>17680000</v>
      </c>
      <c r="K218" s="45" t="n">
        <v>45300</v>
      </c>
      <c r="L218" s="70" t="n">
        <v>75.8</v>
      </c>
      <c r="M218" s="43" t="str">
        <f aca="false">IF(L218=0,"N/A",TEXT(H218/L218,"0.0"))</f>
        <v>2.9</v>
      </c>
      <c r="N218" s="43" t="str">
        <f aca="false">IF(H218=0,"Out of Stock",IF(H218&lt;I218,"Low Stock","In Stock"))</f>
        <v>In Stock</v>
      </c>
      <c r="O218" s="43" t="s">
        <v>3612</v>
      </c>
      <c r="P218" s="43" t="s">
        <v>3595</v>
      </c>
      <c r="Q218" s="51" t="n">
        <v>6</v>
      </c>
      <c r="R218" s="69" t="n">
        <v>7.36</v>
      </c>
      <c r="S218" s="46" t="n">
        <v>5</v>
      </c>
      <c r="T218" s="46" t="n">
        <f aca="false">(H218+S218)*E218</f>
        <v>18080000</v>
      </c>
    </row>
    <row r="219" customFormat="false" ht="15" hidden="false" customHeight="false" outlineLevel="0" collapsed="false">
      <c r="A219" s="34" t="s">
        <v>3870</v>
      </c>
      <c r="B219" s="35" t="s">
        <v>3639</v>
      </c>
      <c r="C219" s="34" t="s">
        <v>3592</v>
      </c>
      <c r="D219" s="35" t="s">
        <v>3631</v>
      </c>
      <c r="E219" s="37" t="n">
        <v>93000</v>
      </c>
      <c r="F219" s="37" t="n">
        <v>147100</v>
      </c>
      <c r="G219" s="38" t="n">
        <f aca="false">(F219-E219)/E219</f>
        <v>0.581720430107527</v>
      </c>
      <c r="H219" s="37" t="n">
        <v>148</v>
      </c>
      <c r="I219" s="37" t="n">
        <v>14</v>
      </c>
      <c r="J219" s="37" t="n">
        <f aca="false">H219*E219</f>
        <v>13764000</v>
      </c>
      <c r="K219" s="36" t="n">
        <v>45455</v>
      </c>
      <c r="L219" s="66" t="n">
        <v>19.6</v>
      </c>
      <c r="M219" s="34" t="str">
        <f aca="false">IF(L219=0,"N/A",TEXT(H219/L219,"0.0"))</f>
        <v>7.6</v>
      </c>
      <c r="N219" s="34" t="str">
        <f aca="false">IF(H219=0,"Out of Stock",IF(H219&lt;I219,"Low Stock","In Stock"))</f>
        <v>In Stock</v>
      </c>
      <c r="O219" s="34" t="s">
        <v>3603</v>
      </c>
      <c r="P219" s="34" t="s">
        <v>3604</v>
      </c>
      <c r="Q219" s="42" t="n">
        <v>12</v>
      </c>
      <c r="R219" s="65" t="n">
        <v>7.46</v>
      </c>
      <c r="S219" s="37" t="n">
        <v>30</v>
      </c>
      <c r="T219" s="37" t="n">
        <f aca="false">(H219+S219)*E219</f>
        <v>16554000</v>
      </c>
    </row>
    <row r="220" customFormat="false" ht="15" hidden="false" customHeight="false" outlineLevel="0" collapsed="false">
      <c r="A220" s="43" t="s">
        <v>3871</v>
      </c>
      <c r="B220" s="44" t="s">
        <v>3641</v>
      </c>
      <c r="C220" s="43" t="s">
        <v>3592</v>
      </c>
      <c r="D220" s="44" t="s">
        <v>3631</v>
      </c>
      <c r="E220" s="46" t="n">
        <v>83200</v>
      </c>
      <c r="F220" s="46" t="n">
        <v>110400</v>
      </c>
      <c r="G220" s="47" t="n">
        <f aca="false">(F220-E220)/E220</f>
        <v>0.326923076923077</v>
      </c>
      <c r="H220" s="46" t="n">
        <v>322</v>
      </c>
      <c r="I220" s="46" t="n">
        <v>24</v>
      </c>
      <c r="J220" s="46" t="n">
        <f aca="false">H220*E220</f>
        <v>26790400</v>
      </c>
      <c r="K220" s="45" t="n">
        <v>45529</v>
      </c>
      <c r="L220" s="70" t="n">
        <v>55</v>
      </c>
      <c r="M220" s="43" t="str">
        <f aca="false">IF(L220=0,"N/A",TEXT(H220/L220,"0.0"))</f>
        <v>5.9</v>
      </c>
      <c r="N220" s="43" t="str">
        <f aca="false">IF(H220=0,"Out of Stock",IF(H220&lt;I220,"Low Stock","In Stock"))</f>
        <v>In Stock</v>
      </c>
      <c r="O220" s="43" t="s">
        <v>3599</v>
      </c>
      <c r="P220" s="43" t="s">
        <v>3608</v>
      </c>
      <c r="Q220" s="51" t="n">
        <v>36</v>
      </c>
      <c r="R220" s="69" t="n">
        <v>9.21</v>
      </c>
      <c r="S220" s="46" t="n">
        <v>13</v>
      </c>
      <c r="T220" s="46" t="n">
        <f aca="false">(H220+S220)*E220</f>
        <v>27872000</v>
      </c>
    </row>
    <row r="221" customFormat="false" ht="15" hidden="false" customHeight="false" outlineLevel="0" collapsed="false">
      <c r="A221" s="34" t="s">
        <v>3872</v>
      </c>
      <c r="B221" s="35" t="s">
        <v>3643</v>
      </c>
      <c r="C221" s="34" t="s">
        <v>2765</v>
      </c>
      <c r="D221" s="35" t="s">
        <v>3631</v>
      </c>
      <c r="E221" s="37" t="n">
        <v>95400</v>
      </c>
      <c r="F221" s="37" t="n">
        <v>143000</v>
      </c>
      <c r="G221" s="38" t="n">
        <f aca="false">(F221-E221)/E221</f>
        <v>0.49895178197065</v>
      </c>
      <c r="H221" s="37" t="n">
        <v>352</v>
      </c>
      <c r="I221" s="37" t="n">
        <v>13</v>
      </c>
      <c r="J221" s="37" t="n">
        <f aca="false">H221*E221</f>
        <v>33580800</v>
      </c>
      <c r="K221" s="36" t="n">
        <v>45618</v>
      </c>
      <c r="L221" s="66" t="n">
        <v>30.2</v>
      </c>
      <c r="M221" s="34" t="str">
        <f aca="false">IF(L221=0,"N/A",TEXT(H221/L221,"0.0"))</f>
        <v>11.7</v>
      </c>
      <c r="N221" s="34" t="str">
        <f aca="false">IF(H221=0,"Out of Stock",IF(H221&lt;I221,"Low Stock","In Stock"))</f>
        <v>In Stock</v>
      </c>
      <c r="O221" s="34" t="s">
        <v>3612</v>
      </c>
      <c r="P221" s="34" t="s">
        <v>3604</v>
      </c>
      <c r="Q221" s="42" t="n">
        <v>24</v>
      </c>
      <c r="R221" s="65" t="n">
        <v>1.04</v>
      </c>
      <c r="S221" s="37" t="n">
        <v>15</v>
      </c>
      <c r="T221" s="37" t="n">
        <f aca="false">(H221+S221)*E221</f>
        <v>35011800</v>
      </c>
    </row>
    <row r="222" customFormat="false" ht="15" hidden="false" customHeight="false" outlineLevel="0" collapsed="false">
      <c r="A222" s="43" t="s">
        <v>3873</v>
      </c>
      <c r="B222" s="44" t="s">
        <v>3645</v>
      </c>
      <c r="C222" s="43" t="s">
        <v>2103</v>
      </c>
      <c r="D222" s="44" t="s">
        <v>3602</v>
      </c>
      <c r="E222" s="46" t="n">
        <v>43200</v>
      </c>
      <c r="F222" s="46" t="n">
        <v>75600</v>
      </c>
      <c r="G222" s="47" t="n">
        <f aca="false">(F222-E222)/E222</f>
        <v>0.75</v>
      </c>
      <c r="H222" s="46" t="n">
        <v>465</v>
      </c>
      <c r="I222" s="46" t="n">
        <v>25</v>
      </c>
      <c r="J222" s="46" t="n">
        <f aca="false">H222*E222</f>
        <v>20088000</v>
      </c>
      <c r="K222" s="45" t="n">
        <v>45465</v>
      </c>
      <c r="L222" s="70" t="n">
        <v>51.1</v>
      </c>
      <c r="M222" s="43" t="str">
        <f aca="false">IF(L222=0,"N/A",TEXT(H222/L222,"0.0"))</f>
        <v>9.1</v>
      </c>
      <c r="N222" s="43" t="str">
        <f aca="false">IF(H222=0,"Out of Stock",IF(H222&lt;I222,"Low Stock","In Stock"))</f>
        <v>In Stock</v>
      </c>
      <c r="O222" s="43" t="s">
        <v>3594</v>
      </c>
      <c r="P222" s="43" t="s">
        <v>3595</v>
      </c>
      <c r="Q222" s="51" t="n">
        <v>18</v>
      </c>
      <c r="R222" s="69" t="n">
        <v>14.59</v>
      </c>
      <c r="S222" s="46" t="n">
        <v>28</v>
      </c>
      <c r="T222" s="46" t="n">
        <f aca="false">(H222+S222)*E222</f>
        <v>21297600</v>
      </c>
    </row>
    <row r="223" customFormat="false" ht="15" hidden="false" customHeight="false" outlineLevel="0" collapsed="false">
      <c r="A223" s="34" t="s">
        <v>3874</v>
      </c>
      <c r="B223" s="35" t="s">
        <v>3647</v>
      </c>
      <c r="C223" s="34" t="s">
        <v>2244</v>
      </c>
      <c r="D223" s="35" t="s">
        <v>3607</v>
      </c>
      <c r="E223" s="37" t="n">
        <v>43800</v>
      </c>
      <c r="F223" s="37" t="n">
        <v>77000</v>
      </c>
      <c r="G223" s="38" t="n">
        <f aca="false">(F223-E223)/E223</f>
        <v>0.757990867579909</v>
      </c>
      <c r="H223" s="37" t="n">
        <v>461</v>
      </c>
      <c r="I223" s="37" t="n">
        <v>13</v>
      </c>
      <c r="J223" s="37" t="n">
        <f aca="false">H223*E223</f>
        <v>20191800</v>
      </c>
      <c r="K223" s="36" t="n">
        <v>45549</v>
      </c>
      <c r="L223" s="66" t="n">
        <v>77.3</v>
      </c>
      <c r="M223" s="34" t="str">
        <f aca="false">IF(L223=0,"N/A",TEXT(H223/L223,"0.0"))</f>
        <v>6.0</v>
      </c>
      <c r="N223" s="34" t="str">
        <f aca="false">IF(H223=0,"Out of Stock",IF(H223&lt;I223,"Low Stock","In Stock"))</f>
        <v>In Stock</v>
      </c>
      <c r="O223" s="34" t="s">
        <v>3594</v>
      </c>
      <c r="P223" s="34" t="s">
        <v>3608</v>
      </c>
      <c r="Q223" s="42" t="n">
        <v>12</v>
      </c>
      <c r="R223" s="65" t="n">
        <v>9.53</v>
      </c>
      <c r="S223" s="37" t="n">
        <v>25</v>
      </c>
      <c r="T223" s="37" t="n">
        <f aca="false">(H223+S223)*E223</f>
        <v>21286800</v>
      </c>
    </row>
    <row r="224" customFormat="false" ht="15" hidden="false" customHeight="false" outlineLevel="0" collapsed="false">
      <c r="A224" s="43" t="s">
        <v>3875</v>
      </c>
      <c r="B224" s="44" t="s">
        <v>3649</v>
      </c>
      <c r="C224" s="43" t="s">
        <v>2103</v>
      </c>
      <c r="D224" s="44" t="s">
        <v>3607</v>
      </c>
      <c r="E224" s="46" t="n">
        <v>107900</v>
      </c>
      <c r="F224" s="46" t="n">
        <v>151000</v>
      </c>
      <c r="G224" s="47" t="n">
        <f aca="false">(F224-E224)/E224</f>
        <v>0.399443929564412</v>
      </c>
      <c r="H224" s="46" t="n">
        <v>288</v>
      </c>
      <c r="I224" s="46" t="n">
        <v>35</v>
      </c>
      <c r="J224" s="46" t="n">
        <f aca="false">H224*E224</f>
        <v>31075200</v>
      </c>
      <c r="K224" s="45" t="n">
        <v>45315</v>
      </c>
      <c r="L224" s="70" t="n">
        <v>71.4</v>
      </c>
      <c r="M224" s="43" t="str">
        <f aca="false">IF(L224=0,"N/A",TEXT(H224/L224,"0.0"))</f>
        <v>4.0</v>
      </c>
      <c r="N224" s="43" t="str">
        <f aca="false">IF(H224=0,"Out of Stock",IF(H224&lt;I224,"Low Stock","In Stock"))</f>
        <v>In Stock</v>
      </c>
      <c r="O224" s="43" t="s">
        <v>3603</v>
      </c>
      <c r="P224" s="43" t="s">
        <v>3595</v>
      </c>
      <c r="Q224" s="51" t="n">
        <v>6</v>
      </c>
      <c r="R224" s="69" t="n">
        <v>7.71</v>
      </c>
      <c r="S224" s="46" t="n">
        <v>10</v>
      </c>
      <c r="T224" s="46" t="n">
        <f aca="false">(H224+S224)*E224</f>
        <v>32154200</v>
      </c>
    </row>
    <row r="225" customFormat="false" ht="15" hidden="false" customHeight="false" outlineLevel="0" collapsed="false">
      <c r="A225" s="34" t="s">
        <v>3876</v>
      </c>
      <c r="B225" s="35" t="s">
        <v>2207</v>
      </c>
      <c r="C225" s="34" t="s">
        <v>2244</v>
      </c>
      <c r="D225" s="35" t="s">
        <v>3631</v>
      </c>
      <c r="E225" s="37" t="n">
        <v>11100</v>
      </c>
      <c r="F225" s="37" t="n">
        <v>18000</v>
      </c>
      <c r="G225" s="38" t="n">
        <f aca="false">(F225-E225)/E225</f>
        <v>0.621621621621622</v>
      </c>
      <c r="H225" s="37" t="n">
        <v>236</v>
      </c>
      <c r="I225" s="37" t="n">
        <v>43</v>
      </c>
      <c r="J225" s="37" t="n">
        <f aca="false">H225*E225</f>
        <v>2619600</v>
      </c>
      <c r="K225" s="36" t="n">
        <v>45421</v>
      </c>
      <c r="L225" s="66" t="n">
        <v>72.1</v>
      </c>
      <c r="M225" s="34" t="str">
        <f aca="false">IF(L225=0,"N/A",TEXT(H225/L225,"0.0"))</f>
        <v>3.3</v>
      </c>
      <c r="N225" s="34" t="str">
        <f aca="false">IF(H225=0,"Out of Stock",IF(H225&lt;I225,"Low Stock","In Stock"))</f>
        <v>In Stock</v>
      </c>
      <c r="O225" s="34" t="s">
        <v>3615</v>
      </c>
      <c r="P225" s="34" t="s">
        <v>3604</v>
      </c>
      <c r="Q225" s="42" t="n">
        <v>18</v>
      </c>
      <c r="R225" s="65" t="n">
        <v>14.38</v>
      </c>
      <c r="S225" s="37" t="n">
        <v>30</v>
      </c>
      <c r="T225" s="37" t="n">
        <f aca="false">(H225+S225)*E225</f>
        <v>2952600</v>
      </c>
    </row>
    <row r="226" customFormat="false" ht="15" hidden="false" customHeight="false" outlineLevel="0" collapsed="false">
      <c r="A226" s="43" t="s">
        <v>3877</v>
      </c>
      <c r="B226" s="44" t="s">
        <v>3652</v>
      </c>
      <c r="C226" s="43" t="s">
        <v>2208</v>
      </c>
      <c r="D226" s="44" t="s">
        <v>3607</v>
      </c>
      <c r="E226" s="46" t="n">
        <v>25800</v>
      </c>
      <c r="F226" s="46" t="n">
        <v>47300</v>
      </c>
      <c r="G226" s="47" t="n">
        <f aca="false">(F226-E226)/E226</f>
        <v>0.833333333333333</v>
      </c>
      <c r="H226" s="46" t="n">
        <v>141</v>
      </c>
      <c r="I226" s="46" t="n">
        <v>50</v>
      </c>
      <c r="J226" s="46" t="n">
        <f aca="false">H226*E226</f>
        <v>3637800</v>
      </c>
      <c r="K226" s="45" t="n">
        <v>45640</v>
      </c>
      <c r="L226" s="70" t="n">
        <v>12.3</v>
      </c>
      <c r="M226" s="43" t="str">
        <f aca="false">IF(L226=0,"N/A",TEXT(H226/L226,"0.0"))</f>
        <v>11.5</v>
      </c>
      <c r="N226" s="43" t="str">
        <f aca="false">IF(H226=0,"Out of Stock",IF(H226&lt;I226,"Low Stock","In Stock"))</f>
        <v>In Stock</v>
      </c>
      <c r="O226" s="43" t="s">
        <v>3599</v>
      </c>
      <c r="P226" s="43" t="s">
        <v>3595</v>
      </c>
      <c r="Q226" s="51" t="n">
        <v>24</v>
      </c>
      <c r="R226" s="69" t="n">
        <v>11.69</v>
      </c>
      <c r="S226" s="46" t="n">
        <v>27</v>
      </c>
      <c r="T226" s="46" t="n">
        <f aca="false">(H226+S226)*E226</f>
        <v>4334400</v>
      </c>
    </row>
    <row r="227" customFormat="false" ht="15" hidden="false" customHeight="false" outlineLevel="0" collapsed="false">
      <c r="A227" s="34" t="s">
        <v>3878</v>
      </c>
      <c r="B227" s="35" t="s">
        <v>3654</v>
      </c>
      <c r="C227" s="34" t="s">
        <v>2110</v>
      </c>
      <c r="D227" s="35" t="s">
        <v>3620</v>
      </c>
      <c r="E227" s="37" t="n">
        <v>43300</v>
      </c>
      <c r="F227" s="37" t="n">
        <v>64300</v>
      </c>
      <c r="G227" s="38" t="n">
        <f aca="false">(F227-E227)/E227</f>
        <v>0.484988452655889</v>
      </c>
      <c r="H227" s="37" t="n">
        <v>317</v>
      </c>
      <c r="I227" s="37" t="n">
        <v>35</v>
      </c>
      <c r="J227" s="37" t="n">
        <f aca="false">H227*E227</f>
        <v>13726100</v>
      </c>
      <c r="K227" s="36" t="n">
        <v>45392</v>
      </c>
      <c r="L227" s="66" t="n">
        <v>45.4</v>
      </c>
      <c r="M227" s="34" t="str">
        <f aca="false">IF(L227=0,"N/A",TEXT(H227/L227,"0.0"))</f>
        <v>7.0</v>
      </c>
      <c r="N227" s="34" t="str">
        <f aca="false">IF(H227=0,"Out of Stock",IF(H227&lt;I227,"Low Stock","In Stock"))</f>
        <v>In Stock</v>
      </c>
      <c r="O227" s="34" t="s">
        <v>3603</v>
      </c>
      <c r="P227" s="34" t="s">
        <v>3595</v>
      </c>
      <c r="Q227" s="42" t="n">
        <v>18</v>
      </c>
      <c r="R227" s="65" t="n">
        <v>4.16</v>
      </c>
      <c r="S227" s="37" t="n">
        <v>25</v>
      </c>
      <c r="T227" s="37" t="n">
        <f aca="false">(H227+S227)*E227</f>
        <v>14808600</v>
      </c>
    </row>
    <row r="228" customFormat="false" ht="15" hidden="false" customHeight="false" outlineLevel="0" collapsed="false">
      <c r="A228" s="43" t="s">
        <v>3879</v>
      </c>
      <c r="B228" s="44" t="s">
        <v>3656</v>
      </c>
      <c r="C228" s="43" t="s">
        <v>2244</v>
      </c>
      <c r="D228" s="44" t="s">
        <v>3593</v>
      </c>
      <c r="E228" s="46" t="n">
        <v>26700</v>
      </c>
      <c r="F228" s="46" t="n">
        <v>49600</v>
      </c>
      <c r="G228" s="47" t="n">
        <f aca="false">(F228-E228)/E228</f>
        <v>0.857677902621723</v>
      </c>
      <c r="H228" s="46" t="n">
        <v>330</v>
      </c>
      <c r="I228" s="46" t="n">
        <v>17</v>
      </c>
      <c r="J228" s="46" t="n">
        <f aca="false">H228*E228</f>
        <v>8811000</v>
      </c>
      <c r="K228" s="45" t="n">
        <v>45383</v>
      </c>
      <c r="L228" s="70" t="n">
        <v>76.7</v>
      </c>
      <c r="M228" s="43" t="str">
        <f aca="false">IF(L228=0,"N/A",TEXT(H228/L228,"0.0"))</f>
        <v>4.3</v>
      </c>
      <c r="N228" s="43" t="str">
        <f aca="false">IF(H228=0,"Out of Stock",IF(H228&lt;I228,"Low Stock","In Stock"))</f>
        <v>In Stock</v>
      </c>
      <c r="O228" s="43" t="s">
        <v>3615</v>
      </c>
      <c r="P228" s="43" t="s">
        <v>3595</v>
      </c>
      <c r="Q228" s="51" t="n">
        <v>18</v>
      </c>
      <c r="R228" s="69" t="n">
        <v>9.12</v>
      </c>
      <c r="S228" s="46" t="n">
        <v>19</v>
      </c>
      <c r="T228" s="46" t="n">
        <f aca="false">(H228+S228)*E228</f>
        <v>9318300</v>
      </c>
    </row>
    <row r="229" customFormat="false" ht="15" hidden="false" customHeight="false" outlineLevel="0" collapsed="false">
      <c r="A229" s="34" t="s">
        <v>3880</v>
      </c>
      <c r="B229" s="35" t="s">
        <v>3658</v>
      </c>
      <c r="C229" s="34" t="s">
        <v>2244</v>
      </c>
      <c r="D229" s="35" t="s">
        <v>3607</v>
      </c>
      <c r="E229" s="37" t="n">
        <v>66500</v>
      </c>
      <c r="F229" s="37" t="n">
        <v>94800</v>
      </c>
      <c r="G229" s="38" t="n">
        <f aca="false">(F229-E229)/E229</f>
        <v>0.425563909774436</v>
      </c>
      <c r="H229" s="37" t="n">
        <v>404</v>
      </c>
      <c r="I229" s="37" t="n">
        <v>29</v>
      </c>
      <c r="J229" s="37" t="n">
        <f aca="false">H229*E229</f>
        <v>26866000</v>
      </c>
      <c r="K229" s="36" t="n">
        <v>45619</v>
      </c>
      <c r="L229" s="66" t="n">
        <v>34.4</v>
      </c>
      <c r="M229" s="34" t="str">
        <f aca="false">IF(L229=0,"N/A",TEXT(H229/L229,"0.0"))</f>
        <v>11.7</v>
      </c>
      <c r="N229" s="34" t="str">
        <f aca="false">IF(H229=0,"Out of Stock",IF(H229&lt;I229,"Low Stock","In Stock"))</f>
        <v>In Stock</v>
      </c>
      <c r="O229" s="34" t="s">
        <v>3612</v>
      </c>
      <c r="P229" s="34" t="s">
        <v>3595</v>
      </c>
      <c r="Q229" s="42" t="n">
        <v>18</v>
      </c>
      <c r="R229" s="65" t="n">
        <v>12.81</v>
      </c>
      <c r="S229" s="37" t="n">
        <v>26</v>
      </c>
      <c r="T229" s="37" t="n">
        <f aca="false">(H229+S229)*E229</f>
        <v>28595000</v>
      </c>
    </row>
    <row r="230" customFormat="false" ht="15" hidden="false" customHeight="false" outlineLevel="0" collapsed="false">
      <c r="A230" s="43" t="s">
        <v>3881</v>
      </c>
      <c r="B230" s="44" t="s">
        <v>3660</v>
      </c>
      <c r="C230" s="43" t="s">
        <v>2103</v>
      </c>
      <c r="D230" s="44" t="s">
        <v>3631</v>
      </c>
      <c r="E230" s="46" t="n">
        <v>3800</v>
      </c>
      <c r="F230" s="46" t="n">
        <v>4600</v>
      </c>
      <c r="G230" s="47" t="n">
        <f aca="false">(F230-E230)/E230</f>
        <v>0.210526315789474</v>
      </c>
      <c r="H230" s="46" t="n">
        <v>329</v>
      </c>
      <c r="I230" s="46" t="n">
        <v>31</v>
      </c>
      <c r="J230" s="46" t="n">
        <f aca="false">H230*E230</f>
        <v>1250200</v>
      </c>
      <c r="K230" s="45" t="n">
        <v>45302</v>
      </c>
      <c r="L230" s="70" t="n">
        <v>7.2</v>
      </c>
      <c r="M230" s="43" t="str">
        <f aca="false">IF(L230=0,"N/A",TEXT(H230/L230,"0.0"))</f>
        <v>45.7</v>
      </c>
      <c r="N230" s="43" t="str">
        <f aca="false">IF(H230=0,"Out of Stock",IF(H230&lt;I230,"Low Stock","In Stock"))</f>
        <v>In Stock</v>
      </c>
      <c r="O230" s="43" t="s">
        <v>3603</v>
      </c>
      <c r="P230" s="43" t="s">
        <v>3604</v>
      </c>
      <c r="Q230" s="51" t="n">
        <v>12</v>
      </c>
      <c r="R230" s="69" t="n">
        <v>11.66</v>
      </c>
      <c r="S230" s="46" t="n">
        <v>14</v>
      </c>
      <c r="T230" s="46" t="n">
        <f aca="false">(H230+S230)*E230</f>
        <v>1303400</v>
      </c>
    </row>
    <row r="231" customFormat="false" ht="15" hidden="false" customHeight="false" outlineLevel="0" collapsed="false">
      <c r="A231" s="34" t="s">
        <v>3882</v>
      </c>
      <c r="B231" s="35" t="s">
        <v>3662</v>
      </c>
      <c r="C231" s="34" t="s">
        <v>2244</v>
      </c>
      <c r="D231" s="35" t="s">
        <v>3602</v>
      </c>
      <c r="E231" s="37" t="n">
        <v>78300</v>
      </c>
      <c r="F231" s="37" t="n">
        <v>121800</v>
      </c>
      <c r="G231" s="38" t="n">
        <f aca="false">(F231-E231)/E231</f>
        <v>0.555555555555556</v>
      </c>
      <c r="H231" s="37" t="n">
        <v>160</v>
      </c>
      <c r="I231" s="37" t="n">
        <v>11</v>
      </c>
      <c r="J231" s="37" t="n">
        <f aca="false">H231*E231</f>
        <v>12528000</v>
      </c>
      <c r="K231" s="36" t="n">
        <v>45510</v>
      </c>
      <c r="L231" s="66" t="n">
        <v>75</v>
      </c>
      <c r="M231" s="34" t="str">
        <f aca="false">IF(L231=0,"N/A",TEXT(H231/L231,"0.0"))</f>
        <v>2.1</v>
      </c>
      <c r="N231" s="34" t="str">
        <f aca="false">IF(H231=0,"Out of Stock",IF(H231&lt;I231,"Low Stock","In Stock"))</f>
        <v>In Stock</v>
      </c>
      <c r="O231" s="34" t="s">
        <v>3603</v>
      </c>
      <c r="P231" s="34" t="s">
        <v>3595</v>
      </c>
      <c r="Q231" s="42" t="n">
        <v>36</v>
      </c>
      <c r="R231" s="65" t="n">
        <v>4.21</v>
      </c>
      <c r="S231" s="37" t="n">
        <v>14</v>
      </c>
      <c r="T231" s="37" t="n">
        <f aca="false">(H231+S231)*E231</f>
        <v>13624200</v>
      </c>
    </row>
    <row r="232" customFormat="false" ht="15" hidden="false" customHeight="false" outlineLevel="0" collapsed="false">
      <c r="A232" s="43" t="s">
        <v>3883</v>
      </c>
      <c r="B232" s="44" t="s">
        <v>3664</v>
      </c>
      <c r="C232" s="43" t="s">
        <v>2103</v>
      </c>
      <c r="D232" s="44" t="s">
        <v>3593</v>
      </c>
      <c r="E232" s="46" t="n">
        <v>17300</v>
      </c>
      <c r="F232" s="46" t="n">
        <v>25200</v>
      </c>
      <c r="G232" s="47" t="n">
        <f aca="false">(F232-E232)/E232</f>
        <v>0.456647398843931</v>
      </c>
      <c r="H232" s="46" t="n">
        <v>8</v>
      </c>
      <c r="I232" s="46" t="n">
        <v>12</v>
      </c>
      <c r="J232" s="46" t="n">
        <f aca="false">H232*E232</f>
        <v>138400</v>
      </c>
      <c r="K232" s="45" t="n">
        <v>45449</v>
      </c>
      <c r="L232" s="70" t="n">
        <v>5.1</v>
      </c>
      <c r="M232" s="43" t="str">
        <f aca="false">IF(L232=0,"N/A",TEXT(H232/L232,"0.0"))</f>
        <v>1.6</v>
      </c>
      <c r="N232" s="43" t="str">
        <f aca="false">IF(H232=0,"Out of Stock",IF(H232&lt;I232,"Low Stock","In Stock"))</f>
        <v>Low Stock</v>
      </c>
      <c r="O232" s="43" t="s">
        <v>3599</v>
      </c>
      <c r="P232" s="43" t="s">
        <v>3595</v>
      </c>
      <c r="Q232" s="51" t="n">
        <v>18</v>
      </c>
      <c r="R232" s="69" t="n">
        <v>8.33</v>
      </c>
      <c r="S232" s="46" t="n">
        <v>10</v>
      </c>
      <c r="T232" s="46" t="n">
        <f aca="false">(H232+S232)*E232</f>
        <v>311400</v>
      </c>
    </row>
    <row r="233" customFormat="false" ht="15" hidden="false" customHeight="false" outlineLevel="0" collapsed="false">
      <c r="A233" s="34" t="s">
        <v>3884</v>
      </c>
      <c r="B233" s="35" t="s">
        <v>3666</v>
      </c>
      <c r="C233" s="34" t="s">
        <v>2181</v>
      </c>
      <c r="D233" s="35" t="s">
        <v>3598</v>
      </c>
      <c r="E233" s="37" t="n">
        <v>49600</v>
      </c>
      <c r="F233" s="37" t="n">
        <v>81300</v>
      </c>
      <c r="G233" s="38" t="n">
        <f aca="false">(F233-E233)/E233</f>
        <v>0.639112903225807</v>
      </c>
      <c r="H233" s="37" t="n">
        <v>321</v>
      </c>
      <c r="I233" s="37" t="n">
        <v>32</v>
      </c>
      <c r="J233" s="37" t="n">
        <f aca="false">H233*E233</f>
        <v>15921600</v>
      </c>
      <c r="K233" s="36" t="n">
        <v>45570</v>
      </c>
      <c r="L233" s="66" t="n">
        <v>52.1</v>
      </c>
      <c r="M233" s="34" t="str">
        <f aca="false">IF(L233=0,"N/A",TEXT(H233/L233,"0.0"))</f>
        <v>6.2</v>
      </c>
      <c r="N233" s="34" t="str">
        <f aca="false">IF(H233=0,"Out of Stock",IF(H233&lt;I233,"Low Stock","In Stock"))</f>
        <v>In Stock</v>
      </c>
      <c r="O233" s="34" t="s">
        <v>3615</v>
      </c>
      <c r="P233" s="34" t="s">
        <v>3595</v>
      </c>
      <c r="Q233" s="42" t="n">
        <v>36</v>
      </c>
      <c r="R233" s="65" t="n">
        <v>2.75</v>
      </c>
      <c r="S233" s="37" t="n">
        <v>12</v>
      </c>
      <c r="T233" s="37" t="n">
        <f aca="false">(H233+S233)*E233</f>
        <v>16516800</v>
      </c>
    </row>
    <row r="234" customFormat="false" ht="15" hidden="false" customHeight="false" outlineLevel="0" collapsed="false">
      <c r="A234" s="43" t="s">
        <v>3885</v>
      </c>
      <c r="B234" s="44" t="s">
        <v>3668</v>
      </c>
      <c r="C234" s="43" t="s">
        <v>2765</v>
      </c>
      <c r="D234" s="44" t="s">
        <v>3593</v>
      </c>
      <c r="E234" s="46" t="n">
        <v>99600</v>
      </c>
      <c r="F234" s="46" t="n">
        <v>164800</v>
      </c>
      <c r="G234" s="47" t="n">
        <f aca="false">(F234-E234)/E234</f>
        <v>0.654618473895582</v>
      </c>
      <c r="H234" s="46" t="n">
        <v>452</v>
      </c>
      <c r="I234" s="46" t="n">
        <v>37</v>
      </c>
      <c r="J234" s="46" t="n">
        <f aca="false">H234*E234</f>
        <v>45019200</v>
      </c>
      <c r="K234" s="45" t="n">
        <v>45340</v>
      </c>
      <c r="L234" s="70" t="n">
        <v>5.4</v>
      </c>
      <c r="M234" s="43" t="str">
        <f aca="false">IF(L234=0,"N/A",TEXT(H234/L234,"0.0"))</f>
        <v>83.7</v>
      </c>
      <c r="N234" s="43" t="str">
        <f aca="false">IF(H234=0,"Out of Stock",IF(H234&lt;I234,"Low Stock","In Stock"))</f>
        <v>In Stock</v>
      </c>
      <c r="O234" s="43" t="s">
        <v>3615</v>
      </c>
      <c r="P234" s="43" t="s">
        <v>3595</v>
      </c>
      <c r="Q234" s="51" t="n">
        <v>24</v>
      </c>
      <c r="R234" s="69" t="n">
        <v>10.73</v>
      </c>
      <c r="S234" s="46" t="n">
        <v>22</v>
      </c>
      <c r="T234" s="46" t="n">
        <f aca="false">(H234+S234)*E234</f>
        <v>47210400</v>
      </c>
    </row>
    <row r="235" customFormat="false" ht="15" hidden="false" customHeight="false" outlineLevel="0" collapsed="false">
      <c r="A235" s="34" t="s">
        <v>3886</v>
      </c>
      <c r="B235" s="35" t="s">
        <v>3670</v>
      </c>
      <c r="C235" s="34" t="s">
        <v>2103</v>
      </c>
      <c r="D235" s="35" t="s">
        <v>3602</v>
      </c>
      <c r="E235" s="37" t="n">
        <v>13900</v>
      </c>
      <c r="F235" s="37" t="n">
        <v>22500</v>
      </c>
      <c r="G235" s="38" t="n">
        <f aca="false">(F235-E235)/E235</f>
        <v>0.618705035971223</v>
      </c>
      <c r="H235" s="37" t="n">
        <v>481</v>
      </c>
      <c r="I235" s="37" t="n">
        <v>50</v>
      </c>
      <c r="J235" s="37" t="n">
        <f aca="false">H235*E235</f>
        <v>6685900</v>
      </c>
      <c r="K235" s="36" t="n">
        <v>45436</v>
      </c>
      <c r="L235" s="66" t="n">
        <v>19.6</v>
      </c>
      <c r="M235" s="34" t="str">
        <f aca="false">IF(L235=0,"N/A",TEXT(H235/L235,"0.0"))</f>
        <v>24.5</v>
      </c>
      <c r="N235" s="34" t="str">
        <f aca="false">IF(H235=0,"Out of Stock",IF(H235&lt;I235,"Low Stock","In Stock"))</f>
        <v>In Stock</v>
      </c>
      <c r="O235" s="34" t="s">
        <v>3612</v>
      </c>
      <c r="P235" s="34" t="s">
        <v>3595</v>
      </c>
      <c r="Q235" s="42" t="n">
        <v>18</v>
      </c>
      <c r="R235" s="65" t="n">
        <v>5.47</v>
      </c>
      <c r="S235" s="37" t="n">
        <v>24</v>
      </c>
      <c r="T235" s="37" t="n">
        <f aca="false">(H235+S235)*E235</f>
        <v>7019500</v>
      </c>
    </row>
    <row r="236" customFormat="false" ht="15" hidden="false" customHeight="false" outlineLevel="0" collapsed="false">
      <c r="A236" s="43" t="s">
        <v>3887</v>
      </c>
      <c r="B236" s="44" t="s">
        <v>3672</v>
      </c>
      <c r="C236" s="43" t="s">
        <v>2208</v>
      </c>
      <c r="D236" s="44" t="s">
        <v>3631</v>
      </c>
      <c r="E236" s="46" t="n">
        <v>98900</v>
      </c>
      <c r="F236" s="46" t="n">
        <v>124200</v>
      </c>
      <c r="G236" s="47" t="n">
        <f aca="false">(F236-E236)/E236</f>
        <v>0.255813953488372</v>
      </c>
      <c r="H236" s="46" t="n">
        <v>205</v>
      </c>
      <c r="I236" s="46" t="n">
        <v>39</v>
      </c>
      <c r="J236" s="46" t="n">
        <f aca="false">H236*E236</f>
        <v>20274500</v>
      </c>
      <c r="K236" s="45" t="n">
        <v>45533</v>
      </c>
      <c r="L236" s="70" t="n">
        <v>5.9</v>
      </c>
      <c r="M236" s="43" t="str">
        <f aca="false">IF(L236=0,"N/A",TEXT(H236/L236,"0.0"))</f>
        <v>34.7</v>
      </c>
      <c r="N236" s="43" t="str">
        <f aca="false">IF(H236=0,"Out of Stock",IF(H236&lt;I236,"Low Stock","In Stock"))</f>
        <v>In Stock</v>
      </c>
      <c r="O236" s="43" t="s">
        <v>3599</v>
      </c>
      <c r="P236" s="43" t="s">
        <v>3608</v>
      </c>
      <c r="Q236" s="51" t="n">
        <v>24</v>
      </c>
      <c r="R236" s="69" t="n">
        <v>9.66</v>
      </c>
      <c r="S236" s="46" t="n">
        <v>13</v>
      </c>
      <c r="T236" s="46" t="n">
        <f aca="false">(H236+S236)*E236</f>
        <v>21560200</v>
      </c>
    </row>
    <row r="237" customFormat="false" ht="15" hidden="false" customHeight="false" outlineLevel="0" collapsed="false">
      <c r="A237" s="34" t="s">
        <v>3888</v>
      </c>
      <c r="B237" s="35" t="s">
        <v>3674</v>
      </c>
      <c r="C237" s="34" t="s">
        <v>2181</v>
      </c>
      <c r="D237" s="35" t="s">
        <v>3620</v>
      </c>
      <c r="E237" s="37" t="n">
        <v>107200</v>
      </c>
      <c r="F237" s="37" t="n">
        <v>146400</v>
      </c>
      <c r="G237" s="38" t="n">
        <f aca="false">(F237-E237)/E237</f>
        <v>0.365671641791045</v>
      </c>
      <c r="H237" s="37" t="n">
        <v>81</v>
      </c>
      <c r="I237" s="37" t="n">
        <v>12</v>
      </c>
      <c r="J237" s="37" t="n">
        <f aca="false">H237*E237</f>
        <v>8683200</v>
      </c>
      <c r="K237" s="36" t="n">
        <v>45405</v>
      </c>
      <c r="L237" s="66" t="n">
        <v>61.3</v>
      </c>
      <c r="M237" s="34" t="str">
        <f aca="false">IF(L237=0,"N/A",TEXT(H237/L237,"0.0"))</f>
        <v>1.3</v>
      </c>
      <c r="N237" s="34" t="str">
        <f aca="false">IF(H237=0,"Out of Stock",IF(H237&lt;I237,"Low Stock","In Stock"))</f>
        <v>In Stock</v>
      </c>
      <c r="O237" s="34" t="s">
        <v>3615</v>
      </c>
      <c r="P237" s="34" t="s">
        <v>3608</v>
      </c>
      <c r="Q237" s="42" t="n">
        <v>12</v>
      </c>
      <c r="R237" s="65" t="n">
        <v>3.99</v>
      </c>
      <c r="S237" s="37" t="n">
        <v>27</v>
      </c>
      <c r="T237" s="37" t="n">
        <f aca="false">(H237+S237)*E237</f>
        <v>11577600</v>
      </c>
    </row>
    <row r="238" customFormat="false" ht="15" hidden="false" customHeight="false" outlineLevel="0" collapsed="false">
      <c r="A238" s="43" t="s">
        <v>3889</v>
      </c>
      <c r="B238" s="44" t="s">
        <v>3676</v>
      </c>
      <c r="C238" s="43" t="s">
        <v>3592</v>
      </c>
      <c r="D238" s="44" t="s">
        <v>3620</v>
      </c>
      <c r="E238" s="46" t="n">
        <v>84700</v>
      </c>
      <c r="F238" s="46" t="n">
        <v>158800</v>
      </c>
      <c r="G238" s="47" t="n">
        <f aca="false">(F238-E238)/E238</f>
        <v>0.874852420306966</v>
      </c>
      <c r="H238" s="46" t="n">
        <v>115</v>
      </c>
      <c r="I238" s="46" t="n">
        <v>35</v>
      </c>
      <c r="J238" s="46" t="n">
        <f aca="false">H238*E238</f>
        <v>9740500</v>
      </c>
      <c r="K238" s="45" t="n">
        <v>45546</v>
      </c>
      <c r="L238" s="70" t="n">
        <v>4.3</v>
      </c>
      <c r="M238" s="43" t="str">
        <f aca="false">IF(L238=0,"N/A",TEXT(H238/L238,"0.0"))</f>
        <v>26.7</v>
      </c>
      <c r="N238" s="43" t="str">
        <f aca="false">IF(H238=0,"Out of Stock",IF(H238&lt;I238,"Low Stock","In Stock"))</f>
        <v>In Stock</v>
      </c>
      <c r="O238" s="43" t="s">
        <v>3599</v>
      </c>
      <c r="P238" s="43" t="s">
        <v>3608</v>
      </c>
      <c r="Q238" s="51" t="n">
        <v>12</v>
      </c>
      <c r="R238" s="69" t="n">
        <v>11.4</v>
      </c>
      <c r="S238" s="46" t="n">
        <v>7</v>
      </c>
      <c r="T238" s="46" t="n">
        <f aca="false">(H238+S238)*E238</f>
        <v>10333400</v>
      </c>
    </row>
    <row r="239" customFormat="false" ht="15" hidden="false" customHeight="false" outlineLevel="0" collapsed="false">
      <c r="A239" s="34" t="s">
        <v>3890</v>
      </c>
      <c r="B239" s="35" t="s">
        <v>3678</v>
      </c>
      <c r="C239" s="34" t="s">
        <v>2765</v>
      </c>
      <c r="D239" s="35" t="s">
        <v>3631</v>
      </c>
      <c r="E239" s="37" t="n">
        <v>51200</v>
      </c>
      <c r="F239" s="37" t="n">
        <v>92400</v>
      </c>
      <c r="G239" s="38" t="n">
        <f aca="false">(F239-E239)/E239</f>
        <v>0.8046875</v>
      </c>
      <c r="H239" s="37" t="n">
        <v>343</v>
      </c>
      <c r="I239" s="37" t="n">
        <v>30</v>
      </c>
      <c r="J239" s="37" t="n">
        <f aca="false">H239*E239</f>
        <v>17561600</v>
      </c>
      <c r="K239" s="36" t="n">
        <v>45403</v>
      </c>
      <c r="L239" s="66" t="n">
        <v>2.5</v>
      </c>
      <c r="M239" s="34" t="str">
        <f aca="false">IF(L239=0,"N/A",TEXT(H239/L239,"0.0"))</f>
        <v>137.2</v>
      </c>
      <c r="N239" s="34" t="str">
        <f aca="false">IF(H239=0,"Out of Stock",IF(H239&lt;I239,"Low Stock","In Stock"))</f>
        <v>In Stock</v>
      </c>
      <c r="O239" s="34" t="s">
        <v>3603</v>
      </c>
      <c r="P239" s="34" t="s">
        <v>3608</v>
      </c>
      <c r="Q239" s="42" t="n">
        <v>6</v>
      </c>
      <c r="R239" s="65" t="n">
        <v>4.42</v>
      </c>
      <c r="S239" s="37" t="n">
        <v>24</v>
      </c>
      <c r="T239" s="37" t="n">
        <f aca="false">(H239+S239)*E239</f>
        <v>18790400</v>
      </c>
    </row>
    <row r="240" customFormat="false" ht="15" hidden="false" customHeight="false" outlineLevel="0" collapsed="false">
      <c r="A240" s="43" t="s">
        <v>3891</v>
      </c>
      <c r="B240" s="44" t="s">
        <v>3680</v>
      </c>
      <c r="C240" s="43" t="s">
        <v>3592</v>
      </c>
      <c r="D240" s="44" t="s">
        <v>3620</v>
      </c>
      <c r="E240" s="46" t="n">
        <v>26700</v>
      </c>
      <c r="F240" s="46" t="n">
        <v>44600</v>
      </c>
      <c r="G240" s="47" t="n">
        <f aca="false">(F240-E240)/E240</f>
        <v>0.670411985018727</v>
      </c>
      <c r="H240" s="46" t="n">
        <v>106</v>
      </c>
      <c r="I240" s="46" t="n">
        <v>19</v>
      </c>
      <c r="J240" s="46" t="n">
        <f aca="false">H240*E240</f>
        <v>2830200</v>
      </c>
      <c r="K240" s="45" t="n">
        <v>45376</v>
      </c>
      <c r="L240" s="70" t="n">
        <v>47</v>
      </c>
      <c r="M240" s="43" t="str">
        <f aca="false">IF(L240=0,"N/A",TEXT(H240/L240,"0.0"))</f>
        <v>2.3</v>
      </c>
      <c r="N240" s="43" t="str">
        <f aca="false">IF(H240=0,"Out of Stock",IF(H240&lt;I240,"Low Stock","In Stock"))</f>
        <v>In Stock</v>
      </c>
      <c r="O240" s="43" t="s">
        <v>3594</v>
      </c>
      <c r="P240" s="43" t="s">
        <v>3595</v>
      </c>
      <c r="Q240" s="51" t="n">
        <v>6</v>
      </c>
      <c r="R240" s="69" t="n">
        <v>5.31</v>
      </c>
      <c r="S240" s="46" t="n">
        <v>0</v>
      </c>
      <c r="T240" s="46" t="n">
        <f aca="false">(H240+S240)*E240</f>
        <v>2830200</v>
      </c>
    </row>
    <row r="241" customFormat="false" ht="15" hidden="false" customHeight="false" outlineLevel="0" collapsed="false">
      <c r="A241" s="34" t="s">
        <v>3892</v>
      </c>
      <c r="B241" s="35" t="s">
        <v>3682</v>
      </c>
      <c r="C241" s="34" t="s">
        <v>2244</v>
      </c>
      <c r="D241" s="35" t="s">
        <v>3607</v>
      </c>
      <c r="E241" s="37" t="n">
        <v>22000</v>
      </c>
      <c r="F241" s="37" t="n">
        <v>33400</v>
      </c>
      <c r="G241" s="38" t="n">
        <f aca="false">(F241-E241)/E241</f>
        <v>0.518181818181818</v>
      </c>
      <c r="H241" s="37" t="n">
        <v>77</v>
      </c>
      <c r="I241" s="37" t="n">
        <v>39</v>
      </c>
      <c r="J241" s="37" t="n">
        <f aca="false">H241*E241</f>
        <v>1694000</v>
      </c>
      <c r="K241" s="36" t="n">
        <v>45583</v>
      </c>
      <c r="L241" s="66" t="n">
        <v>1.6</v>
      </c>
      <c r="M241" s="34" t="str">
        <f aca="false">IF(L241=0,"N/A",TEXT(H241/L241,"0.0"))</f>
        <v>48.1</v>
      </c>
      <c r="N241" s="34" t="str">
        <f aca="false">IF(H241=0,"Out of Stock",IF(H241&lt;I241,"Low Stock","In Stock"))</f>
        <v>In Stock</v>
      </c>
      <c r="O241" s="34" t="s">
        <v>3612</v>
      </c>
      <c r="P241" s="34" t="s">
        <v>3608</v>
      </c>
      <c r="Q241" s="42" t="n">
        <v>18</v>
      </c>
      <c r="R241" s="65" t="n">
        <v>11.19</v>
      </c>
      <c r="S241" s="37" t="n">
        <v>20</v>
      </c>
      <c r="T241" s="37" t="n">
        <f aca="false">(H241+S241)*E241</f>
        <v>2134000</v>
      </c>
    </row>
    <row r="242" customFormat="false" ht="15" hidden="false" customHeight="false" outlineLevel="0" collapsed="false">
      <c r="A242" s="43" t="s">
        <v>3893</v>
      </c>
      <c r="B242" s="44" t="s">
        <v>3684</v>
      </c>
      <c r="C242" s="43" t="s">
        <v>2765</v>
      </c>
      <c r="D242" s="44" t="s">
        <v>3593</v>
      </c>
      <c r="E242" s="46" t="n">
        <v>51400</v>
      </c>
      <c r="F242" s="46" t="n">
        <v>68300</v>
      </c>
      <c r="G242" s="47" t="n">
        <f aca="false">(F242-E242)/E242</f>
        <v>0.328793774319066</v>
      </c>
      <c r="H242" s="46" t="n">
        <v>103</v>
      </c>
      <c r="I242" s="46" t="n">
        <v>43</v>
      </c>
      <c r="J242" s="46" t="n">
        <f aca="false">H242*E242</f>
        <v>5294200</v>
      </c>
      <c r="K242" s="45" t="n">
        <v>45477</v>
      </c>
      <c r="L242" s="70" t="n">
        <v>21.2</v>
      </c>
      <c r="M242" s="43" t="str">
        <f aca="false">IF(L242=0,"N/A",TEXT(H242/L242,"0.0"))</f>
        <v>4.9</v>
      </c>
      <c r="N242" s="43" t="str">
        <f aca="false">IF(H242=0,"Out of Stock",IF(H242&lt;I242,"Low Stock","In Stock"))</f>
        <v>In Stock</v>
      </c>
      <c r="O242" s="43" t="s">
        <v>3603</v>
      </c>
      <c r="P242" s="43" t="s">
        <v>3595</v>
      </c>
      <c r="Q242" s="51" t="n">
        <v>18</v>
      </c>
      <c r="R242" s="69" t="n">
        <v>4.97</v>
      </c>
      <c r="S242" s="46" t="n">
        <v>6</v>
      </c>
      <c r="T242" s="46" t="n">
        <f aca="false">(H242+S242)*E242</f>
        <v>5602600</v>
      </c>
    </row>
    <row r="243" customFormat="false" ht="15" hidden="false" customHeight="false" outlineLevel="0" collapsed="false">
      <c r="A243" s="34" t="s">
        <v>3894</v>
      </c>
      <c r="B243" s="35" t="s">
        <v>3686</v>
      </c>
      <c r="C243" s="34" t="s">
        <v>2110</v>
      </c>
      <c r="D243" s="35" t="s">
        <v>3631</v>
      </c>
      <c r="E243" s="37" t="n">
        <v>59600</v>
      </c>
      <c r="F243" s="37" t="n">
        <v>72900</v>
      </c>
      <c r="G243" s="38" t="n">
        <f aca="false">(F243-E243)/E243</f>
        <v>0.223154362416107</v>
      </c>
      <c r="H243" s="37" t="n">
        <v>308</v>
      </c>
      <c r="I243" s="37" t="n">
        <v>46</v>
      </c>
      <c r="J243" s="37" t="n">
        <f aca="false">H243*E243</f>
        <v>18356800</v>
      </c>
      <c r="K243" s="36" t="n">
        <v>45440</v>
      </c>
      <c r="L243" s="66" t="n">
        <v>54.1</v>
      </c>
      <c r="M243" s="34" t="str">
        <f aca="false">IF(L243=0,"N/A",TEXT(H243/L243,"0.0"))</f>
        <v>5.7</v>
      </c>
      <c r="N243" s="34" t="str">
        <f aca="false">IF(H243=0,"Out of Stock",IF(H243&lt;I243,"Low Stock","In Stock"))</f>
        <v>In Stock</v>
      </c>
      <c r="O243" s="34" t="s">
        <v>3615</v>
      </c>
      <c r="P243" s="34" t="s">
        <v>3595</v>
      </c>
      <c r="Q243" s="42" t="n">
        <v>12</v>
      </c>
      <c r="R243" s="65" t="n">
        <v>6.14</v>
      </c>
      <c r="S243" s="37" t="n">
        <v>24</v>
      </c>
      <c r="T243" s="37" t="n">
        <f aca="false">(H243+S243)*E243</f>
        <v>19787200</v>
      </c>
    </row>
    <row r="244" customFormat="false" ht="15" hidden="false" customHeight="false" outlineLevel="0" collapsed="false">
      <c r="A244" s="43" t="s">
        <v>3895</v>
      </c>
      <c r="B244" s="44" t="s">
        <v>3688</v>
      </c>
      <c r="C244" s="43" t="s">
        <v>2208</v>
      </c>
      <c r="D244" s="44" t="s">
        <v>3607</v>
      </c>
      <c r="E244" s="46" t="n">
        <v>14400</v>
      </c>
      <c r="F244" s="46" t="n">
        <v>25800</v>
      </c>
      <c r="G244" s="47" t="n">
        <f aca="false">(F244-E244)/E244</f>
        <v>0.791666666666667</v>
      </c>
      <c r="H244" s="46" t="n">
        <v>447</v>
      </c>
      <c r="I244" s="46" t="n">
        <v>18</v>
      </c>
      <c r="J244" s="46" t="n">
        <f aca="false">H244*E244</f>
        <v>6436800</v>
      </c>
      <c r="K244" s="45" t="n">
        <v>45571</v>
      </c>
      <c r="L244" s="70" t="n">
        <v>16.8</v>
      </c>
      <c r="M244" s="43" t="str">
        <f aca="false">IF(L244=0,"N/A",TEXT(H244/L244,"0.0"))</f>
        <v>26.6</v>
      </c>
      <c r="N244" s="43" t="str">
        <f aca="false">IF(H244=0,"Out of Stock",IF(H244&lt;I244,"Low Stock","In Stock"))</f>
        <v>In Stock</v>
      </c>
      <c r="O244" s="43" t="s">
        <v>3599</v>
      </c>
      <c r="P244" s="43" t="s">
        <v>3608</v>
      </c>
      <c r="Q244" s="51" t="n">
        <v>18</v>
      </c>
      <c r="R244" s="69" t="n">
        <v>11.06</v>
      </c>
      <c r="S244" s="46" t="n">
        <v>18</v>
      </c>
      <c r="T244" s="46" t="n">
        <f aca="false">(H244+S244)*E244</f>
        <v>6696000</v>
      </c>
    </row>
    <row r="245" customFormat="false" ht="15" hidden="false" customHeight="false" outlineLevel="0" collapsed="false">
      <c r="A245" s="34" t="s">
        <v>3896</v>
      </c>
      <c r="B245" s="35" t="s">
        <v>3690</v>
      </c>
      <c r="C245" s="34" t="s">
        <v>2181</v>
      </c>
      <c r="D245" s="35" t="s">
        <v>3631</v>
      </c>
      <c r="E245" s="37" t="n">
        <v>47800</v>
      </c>
      <c r="F245" s="37" t="n">
        <v>75100</v>
      </c>
      <c r="G245" s="38" t="n">
        <f aca="false">(F245-E245)/E245</f>
        <v>0.571129707112971</v>
      </c>
      <c r="H245" s="37" t="n">
        <v>331</v>
      </c>
      <c r="I245" s="37" t="n">
        <v>45</v>
      </c>
      <c r="J245" s="37" t="n">
        <f aca="false">H245*E245</f>
        <v>15821800</v>
      </c>
      <c r="K245" s="36" t="n">
        <v>45649</v>
      </c>
      <c r="L245" s="66" t="n">
        <v>19.2</v>
      </c>
      <c r="M245" s="34" t="str">
        <f aca="false">IF(L245=0,"N/A",TEXT(H245/L245,"0.0"))</f>
        <v>17.2</v>
      </c>
      <c r="N245" s="34" t="str">
        <f aca="false">IF(H245=0,"Out of Stock",IF(H245&lt;I245,"Low Stock","In Stock"))</f>
        <v>In Stock</v>
      </c>
      <c r="O245" s="34" t="s">
        <v>3599</v>
      </c>
      <c r="P245" s="34" t="s">
        <v>3608</v>
      </c>
      <c r="Q245" s="42" t="n">
        <v>18</v>
      </c>
      <c r="R245" s="65" t="n">
        <v>13.28</v>
      </c>
      <c r="S245" s="37" t="n">
        <v>28</v>
      </c>
      <c r="T245" s="37" t="n">
        <f aca="false">(H245+S245)*E245</f>
        <v>17160200</v>
      </c>
    </row>
    <row r="246" customFormat="false" ht="15" hidden="false" customHeight="false" outlineLevel="0" collapsed="false">
      <c r="A246" s="43" t="s">
        <v>3897</v>
      </c>
      <c r="B246" s="44" t="s">
        <v>3692</v>
      </c>
      <c r="C246" s="43" t="s">
        <v>3592</v>
      </c>
      <c r="D246" s="44" t="s">
        <v>3631</v>
      </c>
      <c r="E246" s="46" t="n">
        <v>2100</v>
      </c>
      <c r="F246" s="46" t="n">
        <v>2900</v>
      </c>
      <c r="G246" s="47" t="n">
        <f aca="false">(F246-E246)/E246</f>
        <v>0.380952380952381</v>
      </c>
      <c r="H246" s="46" t="n">
        <v>92</v>
      </c>
      <c r="I246" s="46" t="n">
        <v>26</v>
      </c>
      <c r="J246" s="46" t="n">
        <f aca="false">H246*E246</f>
        <v>193200</v>
      </c>
      <c r="K246" s="45" t="n">
        <v>45506</v>
      </c>
      <c r="L246" s="70" t="n">
        <v>17.3</v>
      </c>
      <c r="M246" s="43" t="str">
        <f aca="false">IF(L246=0,"N/A",TEXT(H246/L246,"0.0"))</f>
        <v>5.3</v>
      </c>
      <c r="N246" s="43" t="str">
        <f aca="false">IF(H246=0,"Out of Stock",IF(H246&lt;I246,"Low Stock","In Stock"))</f>
        <v>In Stock</v>
      </c>
      <c r="O246" s="43" t="s">
        <v>3603</v>
      </c>
      <c r="P246" s="43" t="s">
        <v>3604</v>
      </c>
      <c r="Q246" s="51" t="n">
        <v>18</v>
      </c>
      <c r="R246" s="69" t="n">
        <v>10.83</v>
      </c>
      <c r="S246" s="46" t="n">
        <v>30</v>
      </c>
      <c r="T246" s="46" t="n">
        <f aca="false">(H246+S246)*E246</f>
        <v>256200</v>
      </c>
    </row>
    <row r="247" customFormat="false" ht="15" hidden="false" customHeight="false" outlineLevel="0" collapsed="false">
      <c r="A247" s="34" t="s">
        <v>3898</v>
      </c>
      <c r="B247" s="35" t="s">
        <v>3694</v>
      </c>
      <c r="C247" s="34" t="s">
        <v>2244</v>
      </c>
      <c r="D247" s="35" t="s">
        <v>3607</v>
      </c>
      <c r="E247" s="37" t="n">
        <v>22100</v>
      </c>
      <c r="F247" s="37" t="n">
        <v>42800</v>
      </c>
      <c r="G247" s="38" t="n">
        <f aca="false">(F247-E247)/E247</f>
        <v>0.936651583710407</v>
      </c>
      <c r="H247" s="37" t="n">
        <v>245</v>
      </c>
      <c r="I247" s="37" t="n">
        <v>40</v>
      </c>
      <c r="J247" s="37" t="n">
        <f aca="false">H247*E247</f>
        <v>5414500</v>
      </c>
      <c r="K247" s="36" t="n">
        <v>45606</v>
      </c>
      <c r="L247" s="66" t="n">
        <v>48.1</v>
      </c>
      <c r="M247" s="34" t="str">
        <f aca="false">IF(L247=0,"N/A",TEXT(H247/L247,"0.0"))</f>
        <v>5.1</v>
      </c>
      <c r="N247" s="34" t="str">
        <f aca="false">IF(H247=0,"Out of Stock",IF(H247&lt;I247,"Low Stock","In Stock"))</f>
        <v>In Stock</v>
      </c>
      <c r="O247" s="34" t="s">
        <v>3615</v>
      </c>
      <c r="P247" s="34" t="s">
        <v>3608</v>
      </c>
      <c r="Q247" s="42" t="n">
        <v>12</v>
      </c>
      <c r="R247" s="65" t="n">
        <v>14.8</v>
      </c>
      <c r="S247" s="37" t="n">
        <v>25</v>
      </c>
      <c r="T247" s="37" t="n">
        <f aca="false">(H247+S247)*E247</f>
        <v>5967000</v>
      </c>
    </row>
    <row r="248" customFormat="false" ht="15" hidden="false" customHeight="false" outlineLevel="0" collapsed="false">
      <c r="A248" s="43" t="s">
        <v>3899</v>
      </c>
      <c r="B248" s="44" t="s">
        <v>2102</v>
      </c>
      <c r="C248" s="43" t="s">
        <v>3592</v>
      </c>
      <c r="D248" s="44" t="s">
        <v>3620</v>
      </c>
      <c r="E248" s="46" t="n">
        <v>112200</v>
      </c>
      <c r="F248" s="46" t="n">
        <v>137400</v>
      </c>
      <c r="G248" s="47" t="n">
        <f aca="false">(F248-E248)/E248</f>
        <v>0.224598930481283</v>
      </c>
      <c r="H248" s="46" t="n">
        <v>25</v>
      </c>
      <c r="I248" s="46" t="n">
        <v>5</v>
      </c>
      <c r="J248" s="46" t="n">
        <f aca="false">H248*E248</f>
        <v>2805000</v>
      </c>
      <c r="K248" s="45" t="n">
        <v>45646</v>
      </c>
      <c r="L248" s="70" t="n">
        <v>75.8</v>
      </c>
      <c r="M248" s="43" t="str">
        <f aca="false">IF(L248=0,"N/A",TEXT(H248/L248,"0.0"))</f>
        <v>0.3</v>
      </c>
      <c r="N248" s="43" t="str">
        <f aca="false">IF(H248=0,"Out of Stock",IF(H248&lt;I248,"Low Stock","In Stock"))</f>
        <v>In Stock</v>
      </c>
      <c r="O248" s="43" t="s">
        <v>3603</v>
      </c>
      <c r="P248" s="43" t="s">
        <v>3608</v>
      </c>
      <c r="Q248" s="51" t="n">
        <v>24</v>
      </c>
      <c r="R248" s="69" t="n">
        <v>0.1</v>
      </c>
      <c r="S248" s="46" t="n">
        <v>29</v>
      </c>
      <c r="T248" s="46" t="n">
        <f aca="false">(H248+S248)*E248</f>
        <v>6058800</v>
      </c>
    </row>
    <row r="249" customFormat="false" ht="15" hidden="false" customHeight="false" outlineLevel="0" collapsed="false">
      <c r="A249" s="34" t="s">
        <v>3900</v>
      </c>
      <c r="B249" s="35" t="s">
        <v>3697</v>
      </c>
      <c r="C249" s="34" t="s">
        <v>2103</v>
      </c>
      <c r="D249" s="35" t="s">
        <v>3620</v>
      </c>
      <c r="E249" s="37" t="n">
        <v>7500</v>
      </c>
      <c r="F249" s="37" t="n">
        <v>11200</v>
      </c>
      <c r="G249" s="38" t="n">
        <f aca="false">(F249-E249)/E249</f>
        <v>0.493333333333333</v>
      </c>
      <c r="H249" s="37" t="n">
        <v>330</v>
      </c>
      <c r="I249" s="37" t="n">
        <v>17</v>
      </c>
      <c r="J249" s="37" t="n">
        <f aca="false">H249*E249</f>
        <v>2475000</v>
      </c>
      <c r="K249" s="36" t="n">
        <v>45311</v>
      </c>
      <c r="L249" s="66" t="n">
        <v>77.7</v>
      </c>
      <c r="M249" s="34" t="str">
        <f aca="false">IF(L249=0,"N/A",TEXT(H249/L249,"0.0"))</f>
        <v>4.2</v>
      </c>
      <c r="N249" s="34" t="str">
        <f aca="false">IF(H249=0,"Out of Stock",IF(H249&lt;I249,"Low Stock","In Stock"))</f>
        <v>In Stock</v>
      </c>
      <c r="O249" s="34" t="s">
        <v>3612</v>
      </c>
      <c r="P249" s="34" t="s">
        <v>3604</v>
      </c>
      <c r="Q249" s="42" t="n">
        <v>6</v>
      </c>
      <c r="R249" s="65" t="n">
        <v>13.16</v>
      </c>
      <c r="S249" s="37" t="n">
        <v>23</v>
      </c>
      <c r="T249" s="37" t="n">
        <f aca="false">(H249+S249)*E249</f>
        <v>2647500</v>
      </c>
    </row>
    <row r="250" customFormat="false" ht="15" hidden="false" customHeight="false" outlineLevel="0" collapsed="false">
      <c r="A250" s="43" t="s">
        <v>3901</v>
      </c>
      <c r="B250" s="44" t="s">
        <v>3699</v>
      </c>
      <c r="C250" s="43" t="s">
        <v>2110</v>
      </c>
      <c r="D250" s="44" t="s">
        <v>3620</v>
      </c>
      <c r="E250" s="46" t="n">
        <v>39400</v>
      </c>
      <c r="F250" s="46" t="n">
        <v>71600</v>
      </c>
      <c r="G250" s="47" t="n">
        <f aca="false">(F250-E250)/E250</f>
        <v>0.817258883248731</v>
      </c>
      <c r="H250" s="46" t="n">
        <v>460</v>
      </c>
      <c r="I250" s="46" t="n">
        <v>12</v>
      </c>
      <c r="J250" s="46" t="n">
        <f aca="false">H250*E250</f>
        <v>18124000</v>
      </c>
      <c r="K250" s="45" t="n">
        <v>45567</v>
      </c>
      <c r="L250" s="70" t="n">
        <v>24.9</v>
      </c>
      <c r="M250" s="43" t="str">
        <f aca="false">IF(L250=0,"N/A",TEXT(H250/L250,"0.0"))</f>
        <v>18.5</v>
      </c>
      <c r="N250" s="43" t="str">
        <f aca="false">IF(H250=0,"Out of Stock",IF(H250&lt;I250,"Low Stock","In Stock"))</f>
        <v>In Stock</v>
      </c>
      <c r="O250" s="43" t="s">
        <v>3615</v>
      </c>
      <c r="P250" s="43" t="s">
        <v>3595</v>
      </c>
      <c r="Q250" s="51" t="n">
        <v>12</v>
      </c>
      <c r="R250" s="69" t="n">
        <v>6.91</v>
      </c>
      <c r="S250" s="46" t="n">
        <v>8</v>
      </c>
      <c r="T250" s="46" t="n">
        <f aca="false">(H250+S250)*E250</f>
        <v>18439200</v>
      </c>
    </row>
    <row r="251" customFormat="false" ht="15" hidden="false" customHeight="false" outlineLevel="0" collapsed="false">
      <c r="A251" s="34" t="s">
        <v>3902</v>
      </c>
      <c r="B251" s="35" t="s">
        <v>3701</v>
      </c>
      <c r="C251" s="34" t="s">
        <v>2208</v>
      </c>
      <c r="D251" s="35" t="s">
        <v>3602</v>
      </c>
      <c r="E251" s="37" t="n">
        <v>2300</v>
      </c>
      <c r="F251" s="37" t="n">
        <v>3000</v>
      </c>
      <c r="G251" s="38" t="n">
        <f aca="false">(F251-E251)/E251</f>
        <v>0.304347826086957</v>
      </c>
      <c r="H251" s="37" t="n">
        <v>371</v>
      </c>
      <c r="I251" s="37" t="n">
        <v>20</v>
      </c>
      <c r="J251" s="37" t="n">
        <f aca="false">H251*E251</f>
        <v>853300</v>
      </c>
      <c r="K251" s="36" t="n">
        <v>45506</v>
      </c>
      <c r="L251" s="66" t="n">
        <v>37</v>
      </c>
      <c r="M251" s="34" t="str">
        <f aca="false">IF(L251=0,"N/A",TEXT(H251/L251,"0.0"))</f>
        <v>10.0</v>
      </c>
      <c r="N251" s="34" t="str">
        <f aca="false">IF(H251=0,"Out of Stock",IF(H251&lt;I251,"Low Stock","In Stock"))</f>
        <v>In Stock</v>
      </c>
      <c r="O251" s="34" t="s">
        <v>3612</v>
      </c>
      <c r="P251" s="34" t="s">
        <v>3595</v>
      </c>
      <c r="Q251" s="42" t="n">
        <v>36</v>
      </c>
      <c r="R251" s="65" t="n">
        <v>8.74</v>
      </c>
      <c r="S251" s="37" t="n">
        <v>28</v>
      </c>
      <c r="T251" s="37" t="n">
        <f aca="false">(H251+S251)*E251</f>
        <v>917700</v>
      </c>
    </row>
    <row r="252" customFormat="false" ht="15" hidden="false" customHeight="false" outlineLevel="0" collapsed="false">
      <c r="A252" s="43" t="s">
        <v>3903</v>
      </c>
      <c r="B252" s="44" t="s">
        <v>3703</v>
      </c>
      <c r="C252" s="43" t="s">
        <v>3592</v>
      </c>
      <c r="D252" s="44" t="s">
        <v>3598</v>
      </c>
      <c r="E252" s="46" t="n">
        <v>74300</v>
      </c>
      <c r="F252" s="46" t="n">
        <v>117700</v>
      </c>
      <c r="G252" s="47" t="n">
        <f aca="false">(F252-E252)/E252</f>
        <v>0.584118438761777</v>
      </c>
      <c r="H252" s="46" t="n">
        <v>374</v>
      </c>
      <c r="I252" s="46" t="n">
        <v>49</v>
      </c>
      <c r="J252" s="46" t="n">
        <f aca="false">H252*E252</f>
        <v>27788200</v>
      </c>
      <c r="K252" s="45" t="n">
        <v>45574</v>
      </c>
      <c r="L252" s="70" t="n">
        <v>13.1</v>
      </c>
      <c r="M252" s="43" t="str">
        <f aca="false">IF(L252=0,"N/A",TEXT(H252/L252,"0.0"))</f>
        <v>28.5</v>
      </c>
      <c r="N252" s="43" t="str">
        <f aca="false">IF(H252=0,"Out of Stock",IF(H252&lt;I252,"Low Stock","In Stock"))</f>
        <v>In Stock</v>
      </c>
      <c r="O252" s="43" t="s">
        <v>3615</v>
      </c>
      <c r="P252" s="43" t="s">
        <v>3595</v>
      </c>
      <c r="Q252" s="51" t="n">
        <v>24</v>
      </c>
      <c r="R252" s="69" t="n">
        <v>6.02</v>
      </c>
      <c r="S252" s="46" t="n">
        <v>2</v>
      </c>
      <c r="T252" s="46" t="n">
        <f aca="false">(H252+S252)*E252</f>
        <v>27936800</v>
      </c>
    </row>
    <row r="253" customFormat="false" ht="15" hidden="false" customHeight="false" outlineLevel="0" collapsed="false">
      <c r="A253" s="52" t="s">
        <v>2740</v>
      </c>
      <c r="B253" s="53"/>
      <c r="C253" s="53"/>
      <c r="D253" s="53"/>
      <c r="E253" s="53"/>
      <c r="F253" s="53"/>
      <c r="G253" s="53"/>
      <c r="H253" s="54" t="n">
        <f aca="false">SUM(H3:H252)</f>
        <v>63870</v>
      </c>
      <c r="I253" s="53"/>
      <c r="J253" s="54" t="n">
        <f aca="false">SUM(J3:J252)</f>
        <v>3606432600</v>
      </c>
      <c r="K253" s="53"/>
      <c r="L253" s="53"/>
      <c r="M253" s="53"/>
      <c r="N253" s="53"/>
      <c r="O253" s="53"/>
      <c r="P253" s="53"/>
      <c r="Q253" s="53"/>
      <c r="R253" s="53"/>
      <c r="S253" s="53"/>
      <c r="T253" s="54" t="n">
        <f aca="false">SUM(T3:T252)</f>
        <v>3827058500</v>
      </c>
    </row>
  </sheetData>
  <autoFilter ref="A2:T252"/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2026-05-28T11:10:19Z</dcterms:created>
  <dc:creator>openpyxl</dc:creator>
  <dc:description/>
  <dc:language>en-US</dc:language>
  <cp:lastModifiedBy/>
  <dcterms:modified xsi:type="dcterms:W3CDTF">2026-05-28T11:10:21Z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